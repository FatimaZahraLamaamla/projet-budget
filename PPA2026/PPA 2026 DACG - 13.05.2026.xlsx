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itulatif" sheetId="1" state="visible" r:id="rId3"/>
    <sheet name="Marchés" sheetId="2" state="visible" r:id="rId4"/>
    <sheet name="Bons de commande" sheetId="3" state="visible" r:id="rId5"/>
    <sheet name="Contrat-Convention de droit co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<sst xmlns="http://schemas.openxmlformats.org/spreadsheetml/2006/main" count="139" uniqueCount="38">
  <si>
    <t xml:space="preserve">ANNEE</t>
  </si>
  <si>
    <t xml:space="preserve">PROGRAMME PREVISIONNEL DES ACHATS</t>
  </si>
  <si>
    <t xml:space="preserve">DIRECTION DE L'AUDIT ET DU CONTRÔLE DE LA GESTION</t>
  </si>
  <si>
    <t xml:space="preserve">Type de support d'engagement</t>
  </si>
  <si>
    <t xml:space="preserve">OBJET
(le plus détaillé possible)</t>
  </si>
  <si>
    <t xml:space="preserve">Nature de la prestation </t>
  </si>
  <si>
    <t xml:space="preserve">Budget Prévisionnel (TTC)</t>
  </si>
  <si>
    <t xml:space="preserve">Période d'exécution</t>
  </si>
  <si>
    <t xml:space="preserve">Période prévue 
pour le lancement</t>
  </si>
  <si>
    <t xml:space="preserve">Lieu d'execution</t>
  </si>
  <si>
    <t xml:space="preserve">Nature Budget</t>
  </si>
  <si>
    <t xml:space="preserve">Justification du besoin</t>
  </si>
  <si>
    <t xml:space="preserve">Marché</t>
  </si>
  <si>
    <t xml:space="preserve">Elaboration d'une cartographie des risques couvrant les processus de la SNRT</t>
  </si>
  <si>
    <t xml:space="preserve">Services</t>
  </si>
  <si>
    <t xml:space="preserve">Janvier 2026</t>
  </si>
  <si>
    <t xml:space="preserve">Siège</t>
  </si>
  <si>
    <t xml:space="preserve">Exploitation</t>
  </si>
  <si>
    <t xml:space="preserve">Recommandations du commissaire aux comptes</t>
  </si>
  <si>
    <t xml:space="preserve">Bon de commande</t>
  </si>
  <si>
    <t xml:space="preserve">Formations et séminaires au profit de l'équipe DACG</t>
  </si>
  <si>
    <t xml:space="preserve">Selon l'engagement</t>
  </si>
  <si>
    <t xml:space="preserve">Renforcement des compétences des auditeurs dans les domaines liées à leur fonction</t>
  </si>
  <si>
    <t xml:space="preserve">Certifications et formations diplômantes au profit de l'équipe DACG</t>
  </si>
  <si>
    <t xml:space="preserve">Contrat de droit commun</t>
  </si>
  <si>
    <t xml:space="preserve">Abonnement à la base de données ARTEMIS</t>
  </si>
  <si>
    <t xml:space="preserve">Durant l'année</t>
  </si>
  <si>
    <t xml:space="preserve">RABAT</t>
  </si>
  <si>
    <t xml:space="preserve">Reconduction du contrat n°01/2024 
avec ARTEMIS</t>
  </si>
  <si>
    <t xml:space="preserve">Prestation de conseil juridique au profit de la SNRT</t>
  </si>
  <si>
    <t xml:space="preserve">Reconduction du contrat n°529CT/SNRT/2022
avec AB LAW</t>
  </si>
  <si>
    <t xml:space="preserve">Consultations portant sur des problématiques spécifiques liées aux domaines comptable, fiscal et social</t>
  </si>
  <si>
    <t xml:space="preserve">Reconduction du contrat n°404CT/SNRT/2023
avec EL JERARI AUDIT CONSEIL</t>
  </si>
  <si>
    <t xml:space="preserve">Total général</t>
  </si>
  <si>
    <t xml:space="preserve">Mode de passation</t>
  </si>
  <si>
    <t xml:space="preserve">PME (Oui / Non)</t>
  </si>
  <si>
    <t xml:space="preserve">Appel d'offres ouvert</t>
  </si>
  <si>
    <t xml:space="preserve">NON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</si>
</sst>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m\-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b val="true"/>
      <sz val="13"/>
      <color theme="0"/>
      <name val="Calibri "/>
      <family val="0"/>
      <charset val="1"/>
    </font>
    <font>
      <sz val="13"/>
      <color rgb="FF000000"/>
      <name val="Calibri"/>
      <family val="2"/>
      <charset val="1"/>
    </font>
    <font>
      <sz val="13"/>
      <name val="Calibri"/>
      <family val="2"/>
      <charset val="1"/>
    </font>
    <font>
      <sz val="1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5999"/>
        <bgColor rgb="FF99CCFF"/>
      </patternFill>
    </fill>
    <fill>
      <patternFill patternType="solid">
        <fgColor theme="0" tint="-0.05"/>
        <bgColor rgb="FFDEEBF7"/>
      </patternFill>
    </fill>
    <fill>
      <patternFill patternType="solid">
        <fgColor theme="3" tint="0.3999"/>
        <bgColor rgb="FF808080"/>
      </patternFill>
    </fill>
    <fill>
      <patternFill patternType="solid">
        <fgColor theme="4" tint="0.7999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1.29"/>
    <col collapsed="false" customWidth="true" hidden="false" outlineLevel="0" max="2" min="2" style="0" width="51.57"/>
    <col collapsed="false" customWidth="true" hidden="false" outlineLevel="0" max="3" min="3" style="0" width="17.42"/>
    <col collapsed="false" customWidth="true" hidden="false" outlineLevel="0" max="4" min="4" style="0" width="21.43"/>
    <col collapsed="false" customWidth="true" hidden="false" outlineLevel="0" max="5" min="5" style="0" width="21.85"/>
    <col collapsed="false" customWidth="true" hidden="false" outlineLevel="0" max="6" min="6" style="0" width="20.14"/>
    <col collapsed="false" customWidth="true" hidden="false" outlineLevel="0" max="7" min="7" style="0" width="20.42"/>
    <col collapsed="false" customWidth="true" hidden="false" outlineLevel="0" max="8" min="8" style="0" width="19.14"/>
    <col collapsed="false" customWidth="true" hidden="false" outlineLevel="0" max="9" min="9" style="0" width="67.86"/>
  </cols>
  <sheetData>
    <row r="1" customFormat="false" ht="16.15" hidden="false" customHeight="false" outlineLevel="0" collapsed="false">
      <c r="A1" s="1"/>
      <c r="B1" s="1"/>
      <c r="C1" s="1"/>
      <c r="D1" s="1"/>
      <c r="E1" s="1"/>
      <c r="F1" s="1"/>
      <c r="G1" s="1"/>
      <c r="H1" s="2" t="s">
        <v>0</v>
      </c>
      <c r="I1" s="3" t="n">
        <v>2026</v>
      </c>
    </row>
    <row r="2" customFormat="false" ht="16.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16.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6.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26.8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="12" customFormat="true" ht="26.85" hidden="false" customHeight="false" outlineLevel="0" collapsed="false">
      <c r="A7" s="5" t="s">
        <v>12</v>
      </c>
      <c r="B7" s="6" t="s">
        <v>13</v>
      </c>
      <c r="C7" s="7" t="s">
        <v>14</v>
      </c>
      <c r="D7" s="8" t="n">
        <f aca="false">840000+120000+192000</f>
        <v>1152000</v>
      </c>
      <c r="E7" s="9" t="n">
        <v>2026</v>
      </c>
      <c r="F7" s="10" t="s">
        <v>15</v>
      </c>
      <c r="G7" s="11" t="s">
        <v>16</v>
      </c>
      <c r="H7" s="11" t="s">
        <v>17</v>
      </c>
      <c r="I7" s="6" t="s">
        <v>18</v>
      </c>
    </row>
    <row r="8" customFormat="false" ht="26.85" hidden="false" customHeight="false" outlineLevel="0" collapsed="false">
      <c r="A8" s="5" t="s">
        <v>19</v>
      </c>
      <c r="B8" s="6" t="s">
        <v>20</v>
      </c>
      <c r="C8" s="6" t="s">
        <v>14</v>
      </c>
      <c r="D8" s="13" t="n">
        <f aca="false">240000-120000</f>
        <v>120000</v>
      </c>
      <c r="E8" s="14" t="n">
        <v>2026</v>
      </c>
      <c r="F8" s="10" t="s">
        <v>15</v>
      </c>
      <c r="G8" s="9" t="s">
        <v>21</v>
      </c>
      <c r="H8" s="6" t="s">
        <v>17</v>
      </c>
      <c r="I8" s="6" t="s">
        <v>22</v>
      </c>
    </row>
    <row r="9" customFormat="false" ht="26.85" hidden="false" customHeight="false" outlineLevel="0" collapsed="false">
      <c r="A9" s="5" t="s">
        <v>19</v>
      </c>
      <c r="B9" s="6" t="s">
        <v>23</v>
      </c>
      <c r="C9" s="6" t="s">
        <v>14</v>
      </c>
      <c r="D9" s="13" t="n">
        <v>100000</v>
      </c>
      <c r="E9" s="14" t="n">
        <v>2026</v>
      </c>
      <c r="F9" s="10" t="s">
        <v>15</v>
      </c>
      <c r="G9" s="9" t="s">
        <v>21</v>
      </c>
      <c r="H9" s="6" t="s">
        <v>17</v>
      </c>
      <c r="I9" s="6" t="s">
        <v>22</v>
      </c>
    </row>
    <row r="10" customFormat="false" ht="26.85" hidden="false" customHeight="false" outlineLevel="0" collapsed="false">
      <c r="A10" s="5" t="s">
        <v>24</v>
      </c>
      <c r="B10" s="6" t="s">
        <v>25</v>
      </c>
      <c r="C10" s="6" t="s">
        <v>14</v>
      </c>
      <c r="D10" s="13" t="n">
        <v>118500</v>
      </c>
      <c r="E10" s="6" t="s">
        <v>26</v>
      </c>
      <c r="F10" s="10" t="s">
        <v>15</v>
      </c>
      <c r="G10" s="15" t="s">
        <v>27</v>
      </c>
      <c r="H10" s="6" t="s">
        <v>17</v>
      </c>
      <c r="I10" s="6" t="s">
        <v>28</v>
      </c>
    </row>
    <row r="11" customFormat="false" ht="26.85" hidden="false" customHeight="false" outlineLevel="0" collapsed="false">
      <c r="A11" s="5" t="s">
        <v>24</v>
      </c>
      <c r="B11" s="6" t="s">
        <v>29</v>
      </c>
      <c r="C11" s="6" t="s">
        <v>14</v>
      </c>
      <c r="D11" s="13" t="n">
        <v>100000</v>
      </c>
      <c r="E11" s="6" t="s">
        <v>26</v>
      </c>
      <c r="F11" s="10" t="s">
        <v>15</v>
      </c>
      <c r="G11" s="15" t="s">
        <v>27</v>
      </c>
      <c r="H11" s="6" t="s">
        <v>17</v>
      </c>
      <c r="I11" s="6" t="s">
        <v>30</v>
      </c>
    </row>
    <row r="12" customFormat="false" ht="39.55" hidden="false" customHeight="false" outlineLevel="0" collapsed="false">
      <c r="A12" s="5" t="s">
        <v>24</v>
      </c>
      <c r="B12" s="6" t="s">
        <v>31</v>
      </c>
      <c r="C12" s="6" t="s">
        <v>14</v>
      </c>
      <c r="D12" s="13" t="n">
        <v>100000</v>
      </c>
      <c r="E12" s="6" t="s">
        <v>26</v>
      </c>
      <c r="F12" s="10" t="s">
        <v>15</v>
      </c>
      <c r="G12" s="15" t="s">
        <v>27</v>
      </c>
      <c r="H12" s="6" t="s">
        <v>17</v>
      </c>
      <c r="I12" s="6" t="s">
        <v>32</v>
      </c>
    </row>
    <row r="14" customFormat="false" ht="15" hidden="false" customHeight="false" outlineLevel="0" collapsed="false">
      <c r="B14" s="16" t="s">
        <v>33</v>
      </c>
      <c r="C14" s="16"/>
      <c r="D14" s="17" t="n">
        <f aca="false">SUM(D7:D13)</f>
        <v>1690500</v>
      </c>
    </row>
    <row r="15" customFormat="false" ht="15" hidden="false" customHeight="false" outlineLevel="0" collapsed="false">
      <c r="B15" s="16"/>
      <c r="C15" s="16"/>
      <c r="D15" s="17"/>
    </row>
  </sheetData>
  <mergeCells count="4">
    <mergeCell ref="A3:I3"/>
    <mergeCell ref="A4:I4"/>
    <mergeCell ref="B14:C15"/>
    <mergeCell ref="D14:D15"/>
  </mergeCells>
  <dataValidations count="1">
    <dataValidation allowBlank="true" errorStyle="stop" operator="between" showDropDown="false" showErrorMessage="true" showInputMessage="true" sqref="C7" type="list">
      <formula1>"Travaux,Fournitures,Services,Etudes"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9" activeCellId="0" sqref="A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8" width="68.14"/>
    <col collapsed="false" customWidth="true" hidden="false" outlineLevel="0" max="2" min="2" style="0" width="25"/>
    <col collapsed="false" customWidth="true" hidden="false" outlineLevel="0" max="3" min="3" style="0" width="27.86"/>
    <col collapsed="false" customWidth="true" hidden="false" outlineLevel="0" max="4" min="4" style="0" width="47.86"/>
    <col collapsed="false" customWidth="true" hidden="false" outlineLevel="0" max="5" min="5" style="0" width="15.42"/>
    <col collapsed="false" customWidth="true" hidden="false" outlineLevel="0" max="6" min="6" style="0" width="21.43"/>
    <col collapsed="false" customWidth="true" hidden="false" outlineLevel="0" max="7" min="7" style="0" width="38.29"/>
    <col collapsed="false" customWidth="true" hidden="false" outlineLevel="0" max="8" min="8" style="0" width="22.86"/>
    <col collapsed="false" customWidth="true" hidden="false" outlineLevel="0" max="9" min="9" style="18" width="23.57"/>
    <col collapsed="false" customWidth="true" hidden="false" outlineLevel="0" max="10" min="10" style="0" width="53.29"/>
  </cols>
  <sheetData>
    <row r="1" customFormat="false" ht="15" hidden="false" customHeight="false" outlineLevel="0" collapsed="false">
      <c r="H1" s="19" t="s">
        <v>0</v>
      </c>
      <c r="I1" s="20" t="n">
        <v>2026</v>
      </c>
      <c r="J1" s="21"/>
    </row>
    <row r="3" customFormat="false" ht="15" hidden="false" customHeight="false" outlineLevel="0" collapsed="false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</row>
    <row r="4" customFormat="false" ht="15" hidden="false" customHeight="false" outlineLevel="0" collapsed="false">
      <c r="A4" s="23" t="s">
        <v>2</v>
      </c>
      <c r="B4" s="24"/>
      <c r="C4" s="24"/>
      <c r="D4" s="24"/>
      <c r="E4" s="24"/>
      <c r="F4" s="24"/>
      <c r="G4" s="24"/>
      <c r="H4" s="24"/>
      <c r="I4" s="24"/>
      <c r="J4" s="24"/>
    </row>
    <row r="6" customFormat="false" ht="23.85" hidden="false" customHeight="false" outlineLevel="0" collapsed="false">
      <c r="A6" s="25" t="s">
        <v>4</v>
      </c>
      <c r="B6" s="25" t="s">
        <v>5</v>
      </c>
      <c r="C6" s="25" t="s">
        <v>6</v>
      </c>
      <c r="D6" s="25" t="s">
        <v>34</v>
      </c>
      <c r="E6" s="26" t="s">
        <v>7</v>
      </c>
      <c r="F6" s="25" t="s">
        <v>8</v>
      </c>
      <c r="G6" s="25" t="s">
        <v>9</v>
      </c>
      <c r="H6" s="25" t="s">
        <v>35</v>
      </c>
      <c r="I6" s="25" t="s">
        <v>10</v>
      </c>
      <c r="J6" s="26" t="s">
        <v>11</v>
      </c>
    </row>
    <row r="7" s="33" customFormat="true" ht="15" hidden="false" customHeight="false" outlineLevel="0" collapsed="false">
      <c r="A7" s="27" t="s">
        <v>13</v>
      </c>
      <c r="B7" s="28" t="s">
        <v>14</v>
      </c>
      <c r="C7" s="29" t="n">
        <v>840000</v>
      </c>
      <c r="D7" s="30" t="s">
        <v>36</v>
      </c>
      <c r="E7" s="14" t="n">
        <v>2026</v>
      </c>
      <c r="F7" s="31" t="s">
        <v>15</v>
      </c>
      <c r="G7" s="31" t="s">
        <v>16</v>
      </c>
      <c r="H7" s="31" t="s">
        <v>37</v>
      </c>
      <c r="I7" s="31" t="s">
        <v>17</v>
      </c>
      <c r="J7" s="32" t="s">
        <v>18</v>
      </c>
    </row>
    <row r="9" customFormat="false" ht="15" hidden="false" customHeight="false" outlineLevel="0" collapsed="false">
      <c r="A9" s="16" t="s">
        <v>33</v>
      </c>
      <c r="B9" s="16"/>
      <c r="C9" s="17" t="n">
        <f aca="false">SUM(C2:C8)</f>
        <v>840000</v>
      </c>
    </row>
    <row r="10" customFormat="false" ht="15" hidden="false" customHeight="false" outlineLevel="0" collapsed="false">
      <c r="A10" s="16"/>
      <c r="B10" s="16"/>
      <c r="C10" s="17"/>
    </row>
    <row r="32" customFormat="false" ht="15" hidden="false" customHeight="false" outlineLevel="0" collapsed="false">
      <c r="H32" s="31"/>
    </row>
  </sheetData>
  <mergeCells count="4">
    <mergeCell ref="A3:J3"/>
    <mergeCell ref="B4:J4"/>
    <mergeCell ref="A9:B10"/>
    <mergeCell ref="C9:C10"/>
  </mergeCells>
  <dataValidations count="1">
    <dataValidation allowBlank="true" errorStyle="stop" operator="between" showDropDown="false" showErrorMessage="true" showInputMessage="true" sqref="B7" type="list">
      <formula1>"Travaux,Fournitures,Services,Etudes"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35" activeCellId="0" sqref="F3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9.15"/>
    <col collapsed="false" customWidth="true" hidden="false" outlineLevel="0" max="2" min="2" style="0" width="12.57"/>
    <col collapsed="false" customWidth="true" hidden="false" outlineLevel="0" max="3" min="3" style="0" width="22.29"/>
    <col collapsed="false" customWidth="true" hidden="false" outlineLevel="0" max="4" min="4" style="0" width="13.42"/>
    <col collapsed="false" customWidth="true" hidden="false" outlineLevel="0" max="5" min="5" style="0" width="13.86"/>
    <col collapsed="false" customWidth="true" hidden="false" outlineLevel="0" max="6" min="6" style="0" width="39"/>
    <col collapsed="false" customWidth="true" hidden="false" outlineLevel="0" max="7" min="7" style="0" width="18.29"/>
    <col collapsed="false" customWidth="true" hidden="false" outlineLevel="0" max="8" min="8" style="0" width="131"/>
  </cols>
  <sheetData>
    <row r="1" customFormat="false" ht="15" hidden="false" customHeight="false" outlineLevel="0" collapsed="false">
      <c r="G1" s="19" t="s">
        <v>0</v>
      </c>
      <c r="H1" s="34" t="n">
        <v>2026</v>
      </c>
    </row>
    <row r="3" customFormat="false" ht="15" hidden="false" customHeight="false" outlineLevel="0" collapsed="false">
      <c r="A3" s="35" t="s">
        <v>1</v>
      </c>
      <c r="B3" s="35"/>
      <c r="C3" s="35"/>
      <c r="D3" s="35"/>
      <c r="E3" s="35"/>
      <c r="F3" s="35"/>
      <c r="G3" s="35"/>
      <c r="H3" s="35"/>
    </row>
    <row r="4" customFormat="false" ht="15" hidden="false" customHeight="false" outlineLevel="0" collapsed="false">
      <c r="A4" s="23" t="s">
        <v>2</v>
      </c>
      <c r="B4" s="36"/>
      <c r="C4" s="36"/>
      <c r="D4" s="36"/>
      <c r="E4" s="36"/>
      <c r="F4" s="36"/>
      <c r="G4" s="36"/>
      <c r="H4" s="36"/>
    </row>
    <row r="6" customFormat="false" ht="61.5" hidden="false" customHeight="true" outlineLevel="0" collapsed="false">
      <c r="A6" s="25" t="s">
        <v>4</v>
      </c>
      <c r="B6" s="25" t="s">
        <v>5</v>
      </c>
      <c r="C6" s="25" t="s">
        <v>6</v>
      </c>
      <c r="D6" s="25" t="s">
        <v>7</v>
      </c>
      <c r="E6" s="25" t="s">
        <v>8</v>
      </c>
      <c r="F6" s="25" t="s">
        <v>9</v>
      </c>
      <c r="G6" s="25" t="s">
        <v>10</v>
      </c>
      <c r="H6" s="26" t="s">
        <v>11</v>
      </c>
    </row>
    <row r="7" customFormat="false" ht="26.85" hidden="false" customHeight="false" outlineLevel="0" collapsed="false">
      <c r="A7" s="6" t="s">
        <v>20</v>
      </c>
      <c r="B7" s="6" t="s">
        <v>14</v>
      </c>
      <c r="C7" s="13" t="n">
        <v>240000</v>
      </c>
      <c r="D7" s="6" t="s">
        <v>26</v>
      </c>
      <c r="E7" s="10" t="s">
        <v>15</v>
      </c>
      <c r="F7" s="9" t="s">
        <v>21</v>
      </c>
      <c r="G7" s="6" t="s">
        <v>17</v>
      </c>
      <c r="H7" s="6" t="s">
        <v>22</v>
      </c>
    </row>
    <row r="8" customFormat="false" ht="26.85" hidden="false" customHeight="false" outlineLevel="0" collapsed="false">
      <c r="A8" s="6" t="s">
        <v>23</v>
      </c>
      <c r="B8" s="6" t="s">
        <v>14</v>
      </c>
      <c r="C8" s="13" t="n">
        <v>100000</v>
      </c>
      <c r="D8" s="6" t="s">
        <v>26</v>
      </c>
      <c r="E8" s="10" t="s">
        <v>15</v>
      </c>
      <c r="F8" s="9" t="s">
        <v>21</v>
      </c>
      <c r="G8" s="6" t="s">
        <v>17</v>
      </c>
      <c r="H8" s="6" t="s">
        <v>22</v>
      </c>
    </row>
    <row r="10" customFormat="false" ht="15" hidden="false" customHeight="false" outlineLevel="0" collapsed="false">
      <c r="A10" s="16" t="s">
        <v>33</v>
      </c>
      <c r="B10" s="16"/>
      <c r="C10" s="17" t="n">
        <f aca="false">SUM(C3:C9)</f>
        <v>340000</v>
      </c>
    </row>
    <row r="11" customFormat="false" ht="15" hidden="false" customHeight="false" outlineLevel="0" collapsed="false">
      <c r="A11" s="16"/>
      <c r="B11" s="16"/>
      <c r="C11" s="17"/>
    </row>
  </sheetData>
  <mergeCells count="4">
    <mergeCell ref="A3:H3"/>
    <mergeCell ref="B4:H4"/>
    <mergeCell ref="A10:B11"/>
    <mergeCell ref="C10:C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35" activeCellId="0" sqref="F3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14.42"/>
    <col collapsed="false" customWidth="true" hidden="false" outlineLevel="0" max="3" min="3" style="0" width="16.85"/>
    <col collapsed="false" customWidth="true" hidden="false" outlineLevel="0" max="4" min="4" style="0" width="12"/>
    <col collapsed="false" customWidth="true" hidden="false" outlineLevel="0" max="5" min="5" style="0" width="16.43"/>
    <col collapsed="false" customWidth="true" hidden="false" outlineLevel="0" max="6" min="6" style="0" width="36"/>
    <col collapsed="false" customWidth="true" hidden="false" outlineLevel="0" max="7" min="7" style="0" width="16.14"/>
    <col collapsed="false" customWidth="true" hidden="false" outlineLevel="0" max="8" min="8" style="0" width="50.57"/>
  </cols>
  <sheetData>
    <row r="1" customFormat="false" ht="15" hidden="false" customHeight="false" outlineLevel="0" collapsed="false">
      <c r="G1" s="19" t="s">
        <v>0</v>
      </c>
      <c r="H1" s="34" t="n">
        <v>2026</v>
      </c>
    </row>
    <row r="3" customFormat="false" ht="15" hidden="false" customHeight="false" outlineLevel="0" collapsed="false">
      <c r="A3" s="35" t="s">
        <v>1</v>
      </c>
      <c r="B3" s="35"/>
      <c r="C3" s="35"/>
      <c r="D3" s="35"/>
      <c r="E3" s="35"/>
      <c r="F3" s="35"/>
      <c r="G3" s="35"/>
      <c r="H3" s="35"/>
    </row>
    <row r="4" customFormat="false" ht="15" hidden="false" customHeight="false" outlineLevel="0" collapsed="false">
      <c r="A4" s="23" t="s">
        <v>2</v>
      </c>
      <c r="B4" s="36"/>
      <c r="C4" s="36"/>
      <c r="D4" s="36"/>
      <c r="E4" s="36"/>
      <c r="F4" s="36"/>
      <c r="G4" s="36"/>
      <c r="H4" s="36"/>
    </row>
    <row r="6" customFormat="false" ht="23.85" hidden="false" customHeight="false" outlineLevel="0" collapsed="false">
      <c r="A6" s="25" t="s">
        <v>4</v>
      </c>
      <c r="B6" s="25" t="s">
        <v>5</v>
      </c>
      <c r="C6" s="25" t="s">
        <v>6</v>
      </c>
      <c r="D6" s="25" t="s">
        <v>5</v>
      </c>
      <c r="E6" s="25" t="s">
        <v>7</v>
      </c>
      <c r="F6" s="25" t="s">
        <v>9</v>
      </c>
      <c r="G6" s="25" t="s">
        <v>10</v>
      </c>
      <c r="H6" s="26" t="s">
        <v>11</v>
      </c>
    </row>
    <row r="7" customFormat="false" ht="26.85" hidden="false" customHeight="false" outlineLevel="0" collapsed="false">
      <c r="A7" s="6" t="s">
        <v>25</v>
      </c>
      <c r="B7" s="6" t="s">
        <v>14</v>
      </c>
      <c r="C7" s="13" t="n">
        <v>118500</v>
      </c>
      <c r="D7" s="6" t="s">
        <v>26</v>
      </c>
      <c r="E7" s="10" t="s">
        <v>15</v>
      </c>
      <c r="F7" s="15" t="s">
        <v>27</v>
      </c>
      <c r="G7" s="6" t="s">
        <v>17</v>
      </c>
      <c r="H7" s="6" t="s">
        <v>28</v>
      </c>
    </row>
    <row r="8" customFormat="false" ht="38.25" hidden="false" customHeight="true" outlineLevel="0" collapsed="false">
      <c r="A8" s="6" t="s">
        <v>29</v>
      </c>
      <c r="B8" s="6" t="s">
        <v>14</v>
      </c>
      <c r="C8" s="13" t="n">
        <v>100000</v>
      </c>
      <c r="D8" s="6" t="s">
        <v>26</v>
      </c>
      <c r="E8" s="10" t="s">
        <v>15</v>
      </c>
      <c r="F8" s="15" t="s">
        <v>27</v>
      </c>
      <c r="G8" s="6" t="s">
        <v>17</v>
      </c>
      <c r="H8" s="6" t="s">
        <v>30</v>
      </c>
    </row>
    <row r="9" customFormat="false" ht="26.85" hidden="false" customHeight="false" outlineLevel="0" collapsed="false">
      <c r="A9" s="6" t="s">
        <v>31</v>
      </c>
      <c r="B9" s="6" t="s">
        <v>14</v>
      </c>
      <c r="C9" s="13" t="n">
        <v>100000</v>
      </c>
      <c r="D9" s="6" t="s">
        <v>26</v>
      </c>
      <c r="E9" s="10" t="s">
        <v>15</v>
      </c>
      <c r="F9" s="15" t="s">
        <v>27</v>
      </c>
      <c r="G9" s="6" t="s">
        <v>17</v>
      </c>
      <c r="H9" s="6" t="s">
        <v>32</v>
      </c>
    </row>
    <row r="11" customFormat="false" ht="15" hidden="false" customHeight="false" outlineLevel="0" collapsed="false">
      <c r="A11" s="16" t="s">
        <v>33</v>
      </c>
      <c r="B11" s="16"/>
      <c r="C11" s="17" t="n">
        <f aca="false">SUM(C4:C10)</f>
        <v>318500</v>
      </c>
    </row>
    <row r="12" customFormat="false" ht="15" hidden="false" customHeight="false" outlineLevel="0" collapsed="false">
      <c r="A12" s="16"/>
      <c r="B12" s="16"/>
      <c r="C12" s="17"/>
    </row>
  </sheetData>
  <mergeCells count="4">
    <mergeCell ref="A3:H3"/>
    <mergeCell ref="B4:H4"/>
    <mergeCell ref="A11:B12"/>
    <mergeCell ref="C11:C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LibreOffice/25.8.6.2$Windows_X86_64 LibreOffice_project/b4b39682cd9868fa725bc664aff94278d315bd04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2021-01-08T14:23:18Z</dcterms:created>
  <dc:creator>TALEB Nora</dc:creator>
  <dc:description/>
  <dc:language>fr-FR</dc:language>
  <cp:lastModifiedBy/>
  <cp:lastPrinted>2026-05-13T11:26:08Z</cp:lastPrinted>
  <dcterms:modified xsi:type="dcterms:W3CDTF">2026-05-13T11:36:15Z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