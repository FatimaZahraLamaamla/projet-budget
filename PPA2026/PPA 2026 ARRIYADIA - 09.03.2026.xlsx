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lamaamla\Desktop\Budget2026\PPA2026\"/>
    </mc:Choice>
  </mc:AlternateContent>
  <bookViews>
    <workbookView xWindow="0" yWindow="0" windowWidth="16380" windowHeight="8190" tabRatio="500" activeTab="2"/>
  </bookViews>
  <sheets>
    <sheet name="Marchés" sheetId="1" r:id="rId1"/>
    <sheet name="Bons de commande" sheetId="2" r:id="rId2"/>
    <sheet name="Contrat-Convention de droit com" sheetId="3" r:id="rId3"/>
    <sheet name="Contrats prod" sheetId="4" r:id="rId4"/>
  </sheets>
  <definedNames>
    <definedName name="_xlnm._FilterDatabase" localSheetId="2" hidden="1">'Contrat-Convention de droit com'!$A$6:$H$97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7" i="3" l="1"/>
  <c r="C14" i="2"/>
</calcChain>
</file>

<file path=xl/sharedStrings.xml><?xml version="1.0" encoding="utf-8"?>
<sst xmlns="http://schemas.openxmlformats.org/spreadsheetml/2006/main" count="317" uniqueCount="122">
  <si>
    <t>ANNEE</t>
  </si>
  <si>
    <t>PROGRAMME PREVISIONNEL DES ACHATS</t>
  </si>
  <si>
    <t>DIRECTION …</t>
  </si>
  <si>
    <t>OBJET
(le plus détaillé possible)</t>
  </si>
  <si>
    <t xml:space="preserve">Nature de la prestation </t>
  </si>
  <si>
    <t>Budget Prévisionnel (TTC)</t>
  </si>
  <si>
    <t>Mode de passation</t>
  </si>
  <si>
    <t>Période d'exécution</t>
  </si>
  <si>
    <t>Période prévue 
pour le lancement</t>
  </si>
  <si>
    <t>Lieu d'execution</t>
  </si>
  <si>
    <t>PME</t>
  </si>
  <si>
    <t>Nature Budget</t>
  </si>
  <si>
    <t>Justification du besoin</t>
  </si>
  <si>
    <t>DEPENSE DE PRODUCTION MAQUILLAGE</t>
  </si>
  <si>
    <t>Fournitures</t>
  </si>
  <si>
    <t>Casablanca</t>
  </si>
  <si>
    <t>DEPENSE DE PRODUCTION HABILLEMENT</t>
  </si>
  <si>
    <t>FOURNITURE DE MATERIEL DE COIFFURE</t>
  </si>
  <si>
    <t>FRAIS TECHNIQUES DE TRANSMISSION</t>
  </si>
  <si>
    <t>Service</t>
  </si>
  <si>
    <t>Frais d'organisation des Cérémonies Sportives</t>
  </si>
  <si>
    <t>Location Matériel Techniques</t>
  </si>
  <si>
    <t>ACHAT DROIT FRM FOOTBALL</t>
  </si>
  <si>
    <t>Droits</t>
  </si>
  <si>
    <t>Maroc</t>
  </si>
  <si>
    <t>ACHAT DROIT MABC Sprl</t>
  </si>
  <si>
    <t>International</t>
  </si>
  <si>
    <t>ACHAT DROIT FRM TENNIS</t>
  </si>
  <si>
    <t>ACHAT DROIT FRM BASKETBALL</t>
  </si>
  <si>
    <t>ACHAT DROIT FRM KARATE</t>
  </si>
  <si>
    <t>SNTV</t>
  </si>
  <si>
    <t>EUROVISION Athlétisme, Champ du Monde 2024-2029</t>
  </si>
  <si>
    <t>ACHAT DROIT ATLAS MEDIA</t>
  </si>
  <si>
    <t>ACHAT DROIT FRM HANDBALL</t>
  </si>
  <si>
    <t>DIAMOND LEAGUE</t>
  </si>
  <si>
    <t>ACHAT DES DROITS BASKETBALL AFRICAIN LEAGUE 2025 AVEC LA PARTICIPATION DE L'ASS</t>
  </si>
  <si>
    <t>ACHAT DROIT FRM Rugby</t>
  </si>
  <si>
    <t>ACHAT DROIT FRM VOLLEY</t>
  </si>
  <si>
    <t>SILVER SPRING MEDIA  Basketball Espagnol</t>
  </si>
  <si>
    <t>SILVER SPRING MEDIA JUDO</t>
  </si>
  <si>
    <t>SILVER SPRING MEDIA KARATE</t>
  </si>
  <si>
    <t>SILVER SPRING MEDIA  TEAKWONDO</t>
  </si>
  <si>
    <t>ACHAT DROIT FRM TRIATHLON</t>
  </si>
  <si>
    <t>ACHAT DROIT FRM NATATION</t>
  </si>
  <si>
    <t>ACHAT DROIT FRM CYCLISME</t>
  </si>
  <si>
    <t>ACHAT DROIT FRM Tennis de table</t>
  </si>
  <si>
    <t>ACHAT DROIT FRM D'ESCRIME</t>
  </si>
  <si>
    <t>ELMOUADEN AYOUB</t>
  </si>
  <si>
    <t>Prestation</t>
  </si>
  <si>
    <t>OMAR FATEH</t>
  </si>
  <si>
    <t>SAAD SAURAOUI</t>
  </si>
  <si>
    <t>YASSINE CHARA</t>
  </si>
  <si>
    <t>DRISS KORICHI</t>
  </si>
  <si>
    <t>BELMAHEDI MOHAMED</t>
  </si>
  <si>
    <t>BIOUD ABDELHAK</t>
  </si>
  <si>
    <t>EL IDRISSI MEHDI</t>
  </si>
  <si>
    <t>IHAB JAMAL EDDINE</t>
  </si>
  <si>
    <t>BENKIRANE OUMNIA</t>
  </si>
  <si>
    <t>JOUMARI YOUSSEF</t>
  </si>
  <si>
    <t>YOUNES ZARIR</t>
  </si>
  <si>
    <t>EZEDDINE ESSATOURI</t>
  </si>
  <si>
    <t>SOUFIANE ZYAT</t>
  </si>
  <si>
    <t>YASSIR MAJRI</t>
  </si>
  <si>
    <t>ASMAA ADDAR</t>
  </si>
  <si>
    <t>BAII FATIMA ZAHRA</t>
  </si>
  <si>
    <t>DOUAA HMIMOU</t>
  </si>
  <si>
    <t>ROUZZAQ ANIS</t>
  </si>
  <si>
    <t>SAFAE BOUHLAL</t>
  </si>
  <si>
    <t>MUSTAPHA SKALLI</t>
  </si>
  <si>
    <t>OUSSAMA EZZABBAR</t>
  </si>
  <si>
    <t>AMINE IMANE</t>
  </si>
  <si>
    <t>BRAHIM ABASALAH</t>
  </si>
  <si>
    <t>YASSINE STITOU</t>
  </si>
  <si>
    <t>RACHID ABKARI</t>
  </si>
  <si>
    <t>AMINE NEKI</t>
  </si>
  <si>
    <t>ANISS BENRIANE</t>
  </si>
  <si>
    <t>AHMED HOUBBANE</t>
  </si>
  <si>
    <t>OMAYRA MOUKRAM</t>
  </si>
  <si>
    <t>AYOUB ADIB</t>
  </si>
  <si>
    <t>BELATTAR SARA</t>
  </si>
  <si>
    <t>LAJOUAD SAID</t>
  </si>
  <si>
    <t>TOUFIK EL AMRANI EL HANCHI</t>
  </si>
  <si>
    <t>AHMED NAIM</t>
  </si>
  <si>
    <t>JAMAL ASTAIFI</t>
  </si>
  <si>
    <t>SAID AKDAD</t>
  </si>
  <si>
    <t>HAMZA AKIL</t>
  </si>
  <si>
    <t>KIFAH NIAT</t>
  </si>
  <si>
    <t>RHIZLAN KORCHI</t>
  </si>
  <si>
    <t>RADIF YOUSRA</t>
  </si>
  <si>
    <t>ADDALI MOHAMED</t>
  </si>
  <si>
    <t>FAID KHALIL</t>
  </si>
  <si>
    <t>MOHAMED EL MAAMOURI</t>
  </si>
  <si>
    <t>ABDELOUAHED CHAMMAMI</t>
  </si>
  <si>
    <t>BOUDEN BOUABID</t>
  </si>
  <si>
    <t>AFIF KHALID</t>
  </si>
  <si>
    <t>ABDELMAJID EL KHAL</t>
  </si>
  <si>
    <t>ABDELHAK EL GANTITI</t>
  </si>
  <si>
    <t>YOUSSEF EL FERNANI</t>
  </si>
  <si>
    <t>JBILOU SALMANE</t>
  </si>
  <si>
    <t>ABDELOUAHED INCHA-ALLAH</t>
  </si>
  <si>
    <t>REDA TIZAGHTI</t>
  </si>
  <si>
    <t>ABOUSAD MOHAMED</t>
  </si>
  <si>
    <t>NAIT HAMMOU YOUSSEF</t>
  </si>
  <si>
    <t>MOHAMED SAHIL</t>
  </si>
  <si>
    <t>KHALIL BOUDRAA</t>
  </si>
  <si>
    <t>RAFIQ MOHAMED</t>
  </si>
  <si>
    <t>IHSSANE BOUKHARE</t>
  </si>
  <si>
    <t>ABDELFATAH EL ALAOUI MEHAMDI</t>
  </si>
  <si>
    <t>MASSOUDI ADIL</t>
  </si>
  <si>
    <t>MOHCINE ESSAID</t>
  </si>
  <si>
    <t>OL DAKHLA  EVT SAHRAOUIA</t>
  </si>
  <si>
    <t>OL DAKHLA EVT KITE SURFING</t>
  </si>
  <si>
    <t>ACHAT DROIT DE L'EVENEMENT 7 CUP</t>
  </si>
  <si>
    <t>FRAIS TECHNIQUES DE PRODUCTION DES MATCHS</t>
  </si>
  <si>
    <t>FRAIS TECHNIQUES SUR AQUISITION DROITS</t>
  </si>
  <si>
    <t>Frais Techniques</t>
  </si>
  <si>
    <t>Nbr de Programmes / Prestation</t>
  </si>
  <si>
    <t xml:space="preserve"> Fréquence de diffusion</t>
  </si>
  <si>
    <t>Durée de l'épisode en mn</t>
  </si>
  <si>
    <t>Type de production</t>
  </si>
  <si>
    <t>Nb épisode</t>
  </si>
  <si>
    <t>Budget Prévisionnel (TTC) par episode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</si>
</sst>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€_-;\-* #,##0.00\ _€_-;_-* \-??\ _€_-;_-@_-"/>
    <numFmt numFmtId="165" formatCode="_-* #,##0.00\ _F_-;\-* #,##0.00\ _F_-;_-* \-??\ _F_-;_-@_-"/>
  </numFmts>
  <fonts count="1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333333"/>
      <name val="Arial"/>
      <family val="2"/>
      <charset val="1"/>
    </font>
    <font>
      <sz val="11"/>
      <name val="Calibri"/>
      <family val="2"/>
      <charset val="1"/>
    </font>
    <font>
      <sz val="10"/>
      <color rgb="FF002060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color rgb="FF000000"/>
      <name val="Times New Roman"/>
      <family val="1"/>
      <charset val="1"/>
    </font>
    <font>
      <b/>
      <sz val="10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59987182226020086"/>
        <bgColor rgb="FF99CCF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3" tint="0.39988402966399123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rgb="FFF2F2F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1" fillId="0" borderId="0" applyBorder="0" applyProtection="0"/>
  </cellStyleXfs>
  <cellXfs count="67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1" fillId="3" borderId="1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4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4" fontId="6" fillId="0" borderId="1" xfId="0" applyNumberFormat="1" applyFont="1" applyBorder="1"/>
    <xf numFmtId="0" fontId="6" fillId="0" borderId="1" xfId="0" applyFont="1" applyBorder="1"/>
    <xf numFmtId="0" fontId="4" fillId="0" borderId="1" xfId="0" applyFont="1" applyBorder="1" applyAlignment="1">
      <alignment vertical="center"/>
    </xf>
    <xf numFmtId="0" fontId="6" fillId="0" borderId="0" xfId="0" applyFont="1"/>
    <xf numFmtId="4" fontId="1" fillId="5" borderId="0" xfId="0" applyNumberFormat="1" applyFont="1" applyFill="1"/>
    <xf numFmtId="4" fontId="0" fillId="0" borderId="0" xfId="0" applyNumberFormat="1"/>
    <xf numFmtId="0" fontId="0" fillId="6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center" wrapText="1"/>
    </xf>
    <xf numFmtId="4" fontId="0" fillId="6" borderId="11" xfId="0" applyNumberFormat="1" applyFont="1" applyFill="1" applyBorder="1"/>
    <xf numFmtId="0" fontId="0" fillId="6" borderId="1" xfId="0" applyFont="1" applyFill="1" applyBorder="1"/>
    <xf numFmtId="0" fontId="0" fillId="6" borderId="0" xfId="0" applyFont="1" applyFill="1"/>
    <xf numFmtId="4" fontId="1" fillId="5" borderId="0" xfId="0" applyNumberFormat="1" applyFont="1" applyFill="1" applyAlignment="1">
      <alignment horizontal="right"/>
    </xf>
    <xf numFmtId="0" fontId="0" fillId="0" borderId="12" xfId="0" applyBorder="1"/>
    <xf numFmtId="0" fontId="0" fillId="0" borderId="12" xfId="0" applyBorder="1"/>
    <xf numFmtId="0" fontId="0" fillId="0" borderId="0" xfId="0" applyBorder="1"/>
    <xf numFmtId="0" fontId="0" fillId="0" borderId="0" xfId="0" applyBorder="1"/>
    <xf numFmtId="4" fontId="1" fillId="0" borderId="0" xfId="0" applyNumberFormat="1" applyFont="1" applyAlignment="1">
      <alignment horizontal="right"/>
    </xf>
    <xf numFmtId="0" fontId="0" fillId="0" borderId="0" xfId="0"/>
    <xf numFmtId="4" fontId="0" fillId="0" borderId="0" xfId="0" applyNumberFormat="1"/>
    <xf numFmtId="164" fontId="0" fillId="0" borderId="0" xfId="0" applyNumberFormat="1"/>
    <xf numFmtId="0" fontId="0" fillId="3" borderId="1" xfId="0" applyFill="1" applyBorder="1"/>
    <xf numFmtId="0" fontId="3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0" fillId="0" borderId="10" xfId="0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10" fillId="0" borderId="1" xfId="1" applyNumberFormat="1" applyFont="1" applyBorder="1" applyAlignment="1" applyProtection="1">
      <alignment horizontal="center" vertical="center" wrapText="1"/>
    </xf>
    <xf numFmtId="4" fontId="9" fillId="0" borderId="10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165" fontId="10" fillId="6" borderId="1" xfId="1" applyNumberFormat="1" applyFont="1" applyFill="1" applyBorder="1" applyAlignment="1" applyProtection="1">
      <alignment horizontal="center" vertical="center" wrapText="1"/>
    </xf>
    <xf numFmtId="0" fontId="0" fillId="7" borderId="1" xfId="0" applyFont="1" applyFill="1" applyBorder="1" applyAlignment="1">
      <alignment vertical="center"/>
    </xf>
    <xf numFmtId="0" fontId="0" fillId="7" borderId="1" xfId="0" applyFont="1" applyFill="1" applyBorder="1" applyAlignment="1">
      <alignment vertical="center" wrapText="1"/>
    </xf>
    <xf numFmtId="4" fontId="0" fillId="7" borderId="11" xfId="0" applyNumberFormat="1" applyFont="1" applyFill="1" applyBorder="1"/>
    <xf numFmtId="0" fontId="0" fillId="7" borderId="1" xfId="0" applyFont="1" applyFill="1" applyBorder="1"/>
    <xf numFmtId="0" fontId="0" fillId="7" borderId="0" xfId="0" applyFont="1" applyFill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zoomScale="70" zoomScaleNormal="70" workbookViewId="0">
      <selection activeCell="B16" sqref="B16"/>
    </sheetView>
  </sheetViews>
  <sheetFormatPr baseColWidth="10" defaultColWidth="10.7109375" defaultRowHeight="15" x14ac:dyDescent="0.25"/>
  <cols>
    <col min="1" max="1" width="68.140625" style="6" customWidth="1"/>
    <col min="2" max="2" width="25" customWidth="1"/>
    <col min="3" max="3" width="20.28515625" customWidth="1"/>
    <col min="4" max="4" width="47.85546875" customWidth="1"/>
    <col min="5" max="5" width="15.42578125" customWidth="1"/>
    <col min="6" max="6" width="21.42578125" customWidth="1"/>
    <col min="7" max="7" width="38.28515625" customWidth="1"/>
    <col min="8" max="8" width="17.5703125" customWidth="1"/>
    <col min="9" max="9" width="23.5703125" style="6" customWidth="1"/>
    <col min="10" max="10" width="53.28515625" customWidth="1"/>
  </cols>
  <sheetData>
    <row r="1" spans="1:10" x14ac:dyDescent="0.25">
      <c r="H1" s="7" t="s">
        <v>0</v>
      </c>
      <c r="I1" s="8">
        <v>2024</v>
      </c>
      <c r="J1" s="9"/>
    </row>
    <row r="3" spans="1:10" ht="15.75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25">
      <c r="A4" s="10" t="s">
        <v>2</v>
      </c>
      <c r="B4" s="4"/>
      <c r="C4" s="4"/>
      <c r="D4" s="4"/>
      <c r="E4" s="4"/>
      <c r="F4" s="4"/>
      <c r="G4" s="4"/>
      <c r="H4" s="4"/>
      <c r="I4" s="4"/>
      <c r="J4" s="4"/>
    </row>
    <row r="6" spans="1:10" ht="30" x14ac:dyDescent="0.25">
      <c r="A6" s="11" t="s">
        <v>3</v>
      </c>
      <c r="B6" s="11" t="s">
        <v>4</v>
      </c>
      <c r="C6" s="11" t="s">
        <v>5</v>
      </c>
      <c r="D6" s="11" t="s">
        <v>6</v>
      </c>
      <c r="E6" s="12" t="s">
        <v>7</v>
      </c>
      <c r="F6" s="11" t="s">
        <v>8</v>
      </c>
      <c r="G6" s="11" t="s">
        <v>9</v>
      </c>
      <c r="H6" s="11" t="s">
        <v>10</v>
      </c>
      <c r="I6" s="11" t="s">
        <v>11</v>
      </c>
      <c r="J6" s="12" t="s">
        <v>12</v>
      </c>
    </row>
    <row r="7" spans="1:10" s="20" customFormat="1" x14ac:dyDescent="0.25">
      <c r="A7" s="13"/>
      <c r="B7" s="14"/>
      <c r="C7" s="15"/>
      <c r="D7" s="16"/>
      <c r="E7" s="17"/>
      <c r="F7" s="18"/>
      <c r="G7" s="18"/>
      <c r="H7" s="18"/>
      <c r="I7" s="18"/>
      <c r="J7" s="19"/>
    </row>
    <row r="8" spans="1:10" s="20" customFormat="1" x14ac:dyDescent="0.25">
      <c r="A8" s="21"/>
      <c r="B8" s="14"/>
      <c r="C8" s="15"/>
      <c r="D8" s="16"/>
      <c r="E8" s="17"/>
      <c r="F8" s="18"/>
      <c r="G8" s="18"/>
      <c r="H8" s="18"/>
      <c r="I8" s="18"/>
      <c r="J8" s="22"/>
    </row>
  </sheetData>
  <mergeCells count="2">
    <mergeCell ref="A3:J3"/>
    <mergeCell ref="B4:J4"/>
  </mergeCells>
  <dataValidations count="1">
    <dataValidation type="list" allowBlank="1" showInputMessage="1" showErrorMessage="1" sqref="B7:B8">
      <formula1>"Travaux,Fournitures,Services,Etudes"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zoomScale="80" zoomScaleNormal="80" workbookViewId="0">
      <selection activeCell="B9" sqref="B9"/>
    </sheetView>
  </sheetViews>
  <sheetFormatPr baseColWidth="10" defaultColWidth="10.7109375" defaultRowHeight="15" x14ac:dyDescent="0.25"/>
  <cols>
    <col min="1" max="1" width="79.140625" customWidth="1"/>
    <col min="2" max="2" width="12.5703125" customWidth="1"/>
    <col min="3" max="3" width="14.5703125" customWidth="1"/>
    <col min="4" max="4" width="13.42578125" customWidth="1"/>
    <col min="5" max="5" width="13.85546875" customWidth="1"/>
    <col min="6" max="6" width="39" customWidth="1"/>
    <col min="7" max="7" width="18.28515625" customWidth="1"/>
    <col min="8" max="8" width="131" customWidth="1"/>
  </cols>
  <sheetData>
    <row r="1" spans="1:8" x14ac:dyDescent="0.25">
      <c r="G1" s="7" t="s">
        <v>0</v>
      </c>
      <c r="H1" s="23">
        <v>2024</v>
      </c>
    </row>
    <row r="3" spans="1:8" ht="15.75" x14ac:dyDescent="0.25">
      <c r="A3" s="3" t="s">
        <v>1</v>
      </c>
      <c r="B3" s="3"/>
      <c r="C3" s="3"/>
      <c r="D3" s="3"/>
      <c r="E3" s="3"/>
      <c r="F3" s="3"/>
      <c r="G3" s="3"/>
      <c r="H3" s="3"/>
    </row>
    <row r="4" spans="1:8" x14ac:dyDescent="0.25">
      <c r="A4" s="24" t="s">
        <v>2</v>
      </c>
      <c r="B4" s="2"/>
      <c r="C4" s="2"/>
      <c r="D4" s="2"/>
      <c r="E4" s="2"/>
      <c r="F4" s="2"/>
      <c r="G4" s="2"/>
      <c r="H4" s="2"/>
    </row>
    <row r="6" spans="1:8" ht="61.5" customHeight="1" x14ac:dyDescent="0.25">
      <c r="A6" s="11" t="s">
        <v>3</v>
      </c>
      <c r="B6" s="11" t="s">
        <v>4</v>
      </c>
      <c r="C6" s="11" t="s">
        <v>5</v>
      </c>
      <c r="D6" s="11" t="s">
        <v>7</v>
      </c>
      <c r="E6" s="11" t="s">
        <v>8</v>
      </c>
      <c r="F6" s="11" t="s">
        <v>9</v>
      </c>
      <c r="G6" s="11" t="s">
        <v>11</v>
      </c>
      <c r="H6" s="12" t="s">
        <v>12</v>
      </c>
    </row>
    <row r="7" spans="1:8" s="30" customFormat="1" x14ac:dyDescent="0.25">
      <c r="A7" s="25" t="s">
        <v>13</v>
      </c>
      <c r="B7" s="26" t="s">
        <v>14</v>
      </c>
      <c r="C7" s="27">
        <v>90000</v>
      </c>
      <c r="D7" s="18">
        <v>2025</v>
      </c>
      <c r="E7" s="28">
        <v>2025</v>
      </c>
      <c r="F7" s="28" t="s">
        <v>15</v>
      </c>
      <c r="G7" s="18"/>
      <c r="H7" s="29"/>
    </row>
    <row r="8" spans="1:8" s="30" customFormat="1" x14ac:dyDescent="0.25">
      <c r="A8" s="25" t="s">
        <v>16</v>
      </c>
      <c r="B8" s="26" t="s">
        <v>14</v>
      </c>
      <c r="C8" s="27">
        <v>80000</v>
      </c>
      <c r="D8" s="18">
        <v>2025</v>
      </c>
      <c r="E8" s="28">
        <v>2025</v>
      </c>
      <c r="F8" s="28" t="s">
        <v>15</v>
      </c>
      <c r="G8" s="18"/>
      <c r="H8" s="29"/>
    </row>
    <row r="9" spans="1:8" s="30" customFormat="1" x14ac:dyDescent="0.25">
      <c r="A9" s="25" t="s">
        <v>17</v>
      </c>
      <c r="B9" s="26" t="s">
        <v>14</v>
      </c>
      <c r="C9" s="27">
        <v>50000</v>
      </c>
      <c r="D9" s="18">
        <v>2025</v>
      </c>
      <c r="E9" s="28">
        <v>2025</v>
      </c>
      <c r="F9" s="28" t="s">
        <v>15</v>
      </c>
      <c r="G9" s="18"/>
      <c r="H9" s="29"/>
    </row>
    <row r="10" spans="1:8" s="30" customFormat="1" x14ac:dyDescent="0.25">
      <c r="A10" s="25" t="s">
        <v>18</v>
      </c>
      <c r="B10" s="26" t="s">
        <v>19</v>
      </c>
      <c r="C10" s="27">
        <v>500000</v>
      </c>
      <c r="D10" s="18">
        <v>2025</v>
      </c>
      <c r="E10" s="28">
        <v>2025</v>
      </c>
      <c r="F10" s="28" t="s">
        <v>15</v>
      </c>
      <c r="G10" s="18"/>
      <c r="H10" s="29"/>
    </row>
    <row r="11" spans="1:8" s="30" customFormat="1" x14ac:dyDescent="0.25">
      <c r="A11" s="25" t="s">
        <v>20</v>
      </c>
      <c r="B11" s="26" t="s">
        <v>19</v>
      </c>
      <c r="C11" s="27">
        <v>200000</v>
      </c>
      <c r="D11" s="18">
        <v>2025</v>
      </c>
      <c r="E11" s="28">
        <v>2025</v>
      </c>
      <c r="F11" s="28" t="s">
        <v>15</v>
      </c>
      <c r="G11" s="18"/>
      <c r="H11" s="29"/>
    </row>
    <row r="12" spans="1:8" s="30" customFormat="1" x14ac:dyDescent="0.25">
      <c r="A12" s="25" t="s">
        <v>21</v>
      </c>
      <c r="B12" s="26" t="s">
        <v>19</v>
      </c>
      <c r="C12" s="27">
        <v>60000</v>
      </c>
      <c r="D12" s="18"/>
      <c r="E12" s="28"/>
      <c r="F12" s="28"/>
      <c r="G12" s="18"/>
      <c r="H12" s="29"/>
    </row>
    <row r="13" spans="1:8" s="30" customFormat="1" x14ac:dyDescent="0.25">
      <c r="A13" s="25"/>
      <c r="B13" s="26"/>
      <c r="C13" s="27"/>
      <c r="D13" s="18"/>
      <c r="E13" s="28"/>
      <c r="F13" s="28"/>
      <c r="G13" s="18"/>
      <c r="H13" s="29"/>
    </row>
    <row r="14" spans="1:8" x14ac:dyDescent="0.25">
      <c r="C14" s="31">
        <f>SUM(C7:C13)</f>
        <v>980000</v>
      </c>
    </row>
    <row r="18" spans="3:3" x14ac:dyDescent="0.25">
      <c r="C18" s="32"/>
    </row>
    <row r="20" spans="3:3" x14ac:dyDescent="0.25">
      <c r="C20" s="32"/>
    </row>
    <row r="22" spans="3:3" x14ac:dyDescent="0.25">
      <c r="C22" s="32"/>
    </row>
  </sheetData>
  <mergeCells count="2">
    <mergeCell ref="A3:H3"/>
    <mergeCell ref="B4:H4"/>
  </mergeCells>
  <dataValidations count="1">
    <dataValidation type="list" allowBlank="1" showInputMessage="1" showErrorMessage="1" sqref="B7:B9">
      <formula1>"Travaux,Fournitures,Services,Etudes"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topLeftCell="A55" zoomScale="75" zoomScaleNormal="75" workbookViewId="0">
      <selection activeCell="A95" sqref="A95:XFD95"/>
    </sheetView>
  </sheetViews>
  <sheetFormatPr baseColWidth="10" defaultColWidth="10.7109375" defaultRowHeight="15" x14ac:dyDescent="0.25"/>
  <cols>
    <col min="1" max="1" width="82" customWidth="1"/>
    <col min="2" max="2" width="18.85546875" customWidth="1"/>
    <col min="3" max="3" width="16.85546875" customWidth="1"/>
    <col min="4" max="5" width="12" customWidth="1"/>
    <col min="6" max="6" width="36" customWidth="1"/>
    <col min="7" max="7" width="16.140625" customWidth="1"/>
    <col min="8" max="8" width="50.5703125" customWidth="1"/>
  </cols>
  <sheetData>
    <row r="1" spans="1:8" x14ac:dyDescent="0.25">
      <c r="G1" s="7" t="s">
        <v>0</v>
      </c>
      <c r="H1" s="23">
        <v>2024</v>
      </c>
    </row>
    <row r="3" spans="1:8" ht="15.75" x14ac:dyDescent="0.25">
      <c r="A3" s="3" t="s">
        <v>1</v>
      </c>
      <c r="B3" s="3"/>
      <c r="C3" s="3"/>
      <c r="D3" s="3"/>
      <c r="E3" s="3"/>
      <c r="F3" s="3"/>
      <c r="G3" s="3"/>
      <c r="H3" s="3"/>
    </row>
    <row r="4" spans="1:8" x14ac:dyDescent="0.25">
      <c r="A4" s="24" t="s">
        <v>2</v>
      </c>
      <c r="B4" s="2"/>
      <c r="C4" s="2"/>
      <c r="D4" s="2"/>
      <c r="E4" s="2"/>
      <c r="F4" s="2"/>
      <c r="G4" s="2"/>
      <c r="H4" s="2"/>
    </row>
    <row r="6" spans="1:8" ht="45" x14ac:dyDescent="0.25">
      <c r="A6" s="11" t="s">
        <v>3</v>
      </c>
      <c r="B6" s="11" t="s">
        <v>4</v>
      </c>
      <c r="C6" s="11" t="s">
        <v>5</v>
      </c>
      <c r="D6" s="11" t="s">
        <v>4</v>
      </c>
      <c r="E6" s="11" t="s">
        <v>7</v>
      </c>
      <c r="F6" s="11" t="s">
        <v>9</v>
      </c>
      <c r="G6" s="11" t="s">
        <v>11</v>
      </c>
      <c r="H6" s="12" t="s">
        <v>12</v>
      </c>
    </row>
    <row r="7" spans="1:8" s="37" customFormat="1" x14ac:dyDescent="0.25">
      <c r="A7" s="33" t="s">
        <v>22</v>
      </c>
      <c r="B7" s="34" t="s">
        <v>23</v>
      </c>
      <c r="C7" s="35">
        <v>155000000</v>
      </c>
      <c r="D7" s="33"/>
      <c r="E7" s="36">
        <v>2025</v>
      </c>
      <c r="F7" s="36" t="s">
        <v>24</v>
      </c>
      <c r="G7" s="33"/>
      <c r="H7" s="33"/>
    </row>
    <row r="8" spans="1:8" s="37" customFormat="1" x14ac:dyDescent="0.25">
      <c r="A8" s="33" t="s">
        <v>25</v>
      </c>
      <c r="B8" s="34" t="s">
        <v>23</v>
      </c>
      <c r="C8" s="35">
        <v>2450000</v>
      </c>
      <c r="D8" s="33"/>
      <c r="E8" s="36">
        <v>2025</v>
      </c>
      <c r="F8" s="36" t="s">
        <v>26</v>
      </c>
      <c r="G8" s="33"/>
      <c r="H8" s="33"/>
    </row>
    <row r="9" spans="1:8" s="37" customFormat="1" x14ac:dyDescent="0.25">
      <c r="A9" s="33" t="s">
        <v>27</v>
      </c>
      <c r="B9" s="34" t="s">
        <v>23</v>
      </c>
      <c r="C9" s="35">
        <v>1800000</v>
      </c>
      <c r="D9" s="33"/>
      <c r="E9" s="36">
        <v>2025</v>
      </c>
      <c r="F9" s="36" t="s">
        <v>24</v>
      </c>
      <c r="G9" s="33"/>
      <c r="H9" s="33"/>
    </row>
    <row r="10" spans="1:8" s="37" customFormat="1" x14ac:dyDescent="0.25">
      <c r="A10" s="33" t="s">
        <v>28</v>
      </c>
      <c r="B10" s="34" t="s">
        <v>23</v>
      </c>
      <c r="C10" s="35">
        <v>1504000</v>
      </c>
      <c r="D10" s="33"/>
      <c r="E10" s="36">
        <v>2025</v>
      </c>
      <c r="F10" s="36" t="s">
        <v>24</v>
      </c>
      <c r="G10" s="33"/>
      <c r="H10" s="33"/>
    </row>
    <row r="11" spans="1:8" s="37" customFormat="1" x14ac:dyDescent="0.25">
      <c r="A11" s="33" t="s">
        <v>29</v>
      </c>
      <c r="B11" s="34" t="s">
        <v>23</v>
      </c>
      <c r="C11" s="35">
        <v>1400000</v>
      </c>
      <c r="D11" s="33"/>
      <c r="E11" s="36">
        <v>2025</v>
      </c>
      <c r="F11" s="36" t="s">
        <v>24</v>
      </c>
      <c r="G11" s="33"/>
      <c r="H11" s="33"/>
    </row>
    <row r="12" spans="1:8" s="37" customFormat="1" x14ac:dyDescent="0.25">
      <c r="A12" s="33" t="s">
        <v>30</v>
      </c>
      <c r="B12" s="34" t="s">
        <v>23</v>
      </c>
      <c r="C12" s="35">
        <v>1427180</v>
      </c>
      <c r="D12" s="33"/>
      <c r="E12" s="36">
        <v>2025</v>
      </c>
      <c r="F12" s="36" t="s">
        <v>26</v>
      </c>
      <c r="G12" s="33"/>
      <c r="H12" s="33"/>
    </row>
    <row r="13" spans="1:8" s="37" customFormat="1" x14ac:dyDescent="0.25">
      <c r="A13" s="33" t="s">
        <v>31</v>
      </c>
      <c r="B13" s="34" t="s">
        <v>23</v>
      </c>
      <c r="C13" s="35">
        <v>1200000</v>
      </c>
      <c r="D13" s="33"/>
      <c r="E13" s="36">
        <v>2025</v>
      </c>
      <c r="F13" s="36" t="s">
        <v>26</v>
      </c>
      <c r="G13" s="33"/>
      <c r="H13" s="33"/>
    </row>
    <row r="14" spans="1:8" s="37" customFormat="1" x14ac:dyDescent="0.25">
      <c r="A14" s="33" t="s">
        <v>32</v>
      </c>
      <c r="B14" s="34" t="s">
        <v>23</v>
      </c>
      <c r="C14" s="35">
        <v>1330000</v>
      </c>
      <c r="D14" s="33"/>
      <c r="E14" s="36">
        <v>2025</v>
      </c>
      <c r="F14" s="36" t="s">
        <v>26</v>
      </c>
      <c r="G14" s="33"/>
      <c r="H14" s="33"/>
    </row>
    <row r="15" spans="1:8" s="37" customFormat="1" x14ac:dyDescent="0.25">
      <c r="A15" s="33" t="s">
        <v>27</v>
      </c>
      <c r="B15" s="34" t="s">
        <v>23</v>
      </c>
      <c r="C15" s="35">
        <v>1000000</v>
      </c>
      <c r="D15" s="33"/>
      <c r="E15" s="36">
        <v>2025</v>
      </c>
      <c r="F15" s="36" t="s">
        <v>24</v>
      </c>
      <c r="G15" s="33"/>
      <c r="H15" s="33"/>
    </row>
    <row r="16" spans="1:8" s="37" customFormat="1" x14ac:dyDescent="0.25">
      <c r="A16" s="33" t="s">
        <v>33</v>
      </c>
      <c r="B16" s="34" t="s">
        <v>23</v>
      </c>
      <c r="C16" s="35">
        <v>926100</v>
      </c>
      <c r="D16" s="33"/>
      <c r="E16" s="36">
        <v>2025</v>
      </c>
      <c r="F16" s="36" t="s">
        <v>24</v>
      </c>
      <c r="G16" s="33"/>
      <c r="H16" s="33"/>
    </row>
    <row r="17" spans="1:8" s="37" customFormat="1" x14ac:dyDescent="0.25">
      <c r="A17" s="33" t="s">
        <v>34</v>
      </c>
      <c r="B17" s="34" t="s">
        <v>23</v>
      </c>
      <c r="C17" s="35">
        <v>1500000</v>
      </c>
      <c r="D17" s="33"/>
      <c r="E17" s="36">
        <v>2025</v>
      </c>
      <c r="F17" s="36" t="s">
        <v>26</v>
      </c>
      <c r="G17" s="33"/>
      <c r="H17" s="33"/>
    </row>
    <row r="18" spans="1:8" s="37" customFormat="1" x14ac:dyDescent="0.25">
      <c r="A18" s="33" t="s">
        <v>35</v>
      </c>
      <c r="B18" s="34" t="s">
        <v>23</v>
      </c>
      <c r="C18" s="35">
        <v>100000</v>
      </c>
      <c r="D18" s="33"/>
      <c r="E18" s="36">
        <v>2025</v>
      </c>
      <c r="F18" s="36" t="s">
        <v>26</v>
      </c>
      <c r="G18" s="33"/>
      <c r="H18" s="33"/>
    </row>
    <row r="19" spans="1:8" s="37" customFormat="1" x14ac:dyDescent="0.25">
      <c r="A19" s="33" t="s">
        <v>36</v>
      </c>
      <c r="B19" s="34" t="s">
        <v>23</v>
      </c>
      <c r="C19" s="35">
        <v>250000</v>
      </c>
      <c r="D19" s="33"/>
      <c r="E19" s="36">
        <v>2025</v>
      </c>
      <c r="F19" s="36" t="s">
        <v>24</v>
      </c>
      <c r="G19" s="33"/>
      <c r="H19" s="33"/>
    </row>
    <row r="20" spans="1:8" s="37" customFormat="1" x14ac:dyDescent="0.25">
      <c r="A20" s="33" t="s">
        <v>37</v>
      </c>
      <c r="B20" s="34" t="s">
        <v>23</v>
      </c>
      <c r="C20" s="35">
        <v>848337.5</v>
      </c>
      <c r="D20" s="33"/>
      <c r="E20" s="36">
        <v>2025</v>
      </c>
      <c r="F20" s="36" t="s">
        <v>24</v>
      </c>
      <c r="G20" s="33"/>
      <c r="H20" s="33"/>
    </row>
    <row r="21" spans="1:8" s="37" customFormat="1" x14ac:dyDescent="0.25">
      <c r="A21" s="33" t="s">
        <v>38</v>
      </c>
      <c r="B21" s="34" t="s">
        <v>23</v>
      </c>
      <c r="C21" s="35">
        <v>650000</v>
      </c>
      <c r="D21" s="33"/>
      <c r="E21" s="36">
        <v>2025</v>
      </c>
      <c r="F21" s="36" t="s">
        <v>26</v>
      </c>
      <c r="G21" s="33"/>
      <c r="H21" s="33"/>
    </row>
    <row r="22" spans="1:8" s="37" customFormat="1" x14ac:dyDescent="0.25">
      <c r="A22" s="33" t="s">
        <v>39</v>
      </c>
      <c r="B22" s="34" t="s">
        <v>23</v>
      </c>
      <c r="C22" s="35">
        <v>400000</v>
      </c>
      <c r="D22" s="33"/>
      <c r="E22" s="36">
        <v>2025</v>
      </c>
      <c r="F22" s="36" t="s">
        <v>26</v>
      </c>
      <c r="G22" s="33"/>
      <c r="H22" s="33"/>
    </row>
    <row r="23" spans="1:8" s="37" customFormat="1" x14ac:dyDescent="0.25">
      <c r="A23" s="33" t="s">
        <v>40</v>
      </c>
      <c r="B23" s="34" t="s">
        <v>23</v>
      </c>
      <c r="C23" s="35">
        <v>350000</v>
      </c>
      <c r="D23" s="33"/>
      <c r="E23" s="36">
        <v>2025</v>
      </c>
      <c r="F23" s="36" t="s">
        <v>26</v>
      </c>
      <c r="G23" s="33"/>
      <c r="H23" s="33"/>
    </row>
    <row r="24" spans="1:8" s="37" customFormat="1" x14ac:dyDescent="0.25">
      <c r="A24" s="33" t="s">
        <v>41</v>
      </c>
      <c r="B24" s="34" t="s">
        <v>23</v>
      </c>
      <c r="C24" s="35">
        <v>350000</v>
      </c>
      <c r="D24" s="33"/>
      <c r="E24" s="36">
        <v>2025</v>
      </c>
      <c r="F24" s="36" t="s">
        <v>26</v>
      </c>
      <c r="G24" s="33"/>
      <c r="H24" s="33"/>
    </row>
    <row r="25" spans="1:8" s="37" customFormat="1" x14ac:dyDescent="0.25">
      <c r="A25" s="33" t="s">
        <v>42</v>
      </c>
      <c r="B25" s="34" t="s">
        <v>23</v>
      </c>
      <c r="C25" s="35">
        <v>300000</v>
      </c>
      <c r="D25" s="33"/>
      <c r="E25" s="36">
        <v>2025</v>
      </c>
      <c r="F25" s="36" t="s">
        <v>24</v>
      </c>
      <c r="G25" s="33"/>
      <c r="H25" s="33"/>
    </row>
    <row r="26" spans="1:8" s="37" customFormat="1" x14ac:dyDescent="0.25">
      <c r="A26" s="33" t="s">
        <v>43</v>
      </c>
      <c r="B26" s="34" t="s">
        <v>23</v>
      </c>
      <c r="C26" s="35">
        <v>150000</v>
      </c>
      <c r="D26" s="33"/>
      <c r="E26" s="36">
        <v>2025</v>
      </c>
      <c r="F26" s="36" t="s">
        <v>24</v>
      </c>
      <c r="G26" s="33"/>
      <c r="H26" s="33"/>
    </row>
    <row r="27" spans="1:8" s="37" customFormat="1" x14ac:dyDescent="0.25">
      <c r="A27" s="33" t="s">
        <v>44</v>
      </c>
      <c r="B27" s="34" t="s">
        <v>23</v>
      </c>
      <c r="C27" s="35">
        <v>300000</v>
      </c>
      <c r="D27" s="33"/>
      <c r="E27" s="36">
        <v>2025</v>
      </c>
      <c r="F27" s="36" t="s">
        <v>24</v>
      </c>
      <c r="G27" s="33"/>
      <c r="H27" s="33"/>
    </row>
    <row r="28" spans="1:8" s="37" customFormat="1" x14ac:dyDescent="0.25">
      <c r="A28" s="33" t="s">
        <v>45</v>
      </c>
      <c r="B28" s="34" t="s">
        <v>23</v>
      </c>
      <c r="C28" s="35">
        <v>150000</v>
      </c>
      <c r="D28" s="33"/>
      <c r="E28" s="36">
        <v>2025</v>
      </c>
      <c r="F28" s="36" t="s">
        <v>24</v>
      </c>
      <c r="G28" s="33"/>
      <c r="H28" s="33"/>
    </row>
    <row r="29" spans="1:8" s="37" customFormat="1" x14ac:dyDescent="0.25">
      <c r="A29" s="33" t="s">
        <v>46</v>
      </c>
      <c r="B29" s="34" t="s">
        <v>23</v>
      </c>
      <c r="C29" s="35">
        <v>250000</v>
      </c>
      <c r="D29" s="33"/>
      <c r="E29" s="36">
        <v>2025</v>
      </c>
      <c r="F29" s="36" t="s">
        <v>24</v>
      </c>
      <c r="G29" s="33"/>
      <c r="H29" s="33"/>
    </row>
    <row r="30" spans="1:8" s="37" customFormat="1" x14ac:dyDescent="0.25">
      <c r="A30" s="33" t="s">
        <v>47</v>
      </c>
      <c r="B30" s="34" t="s">
        <v>48</v>
      </c>
      <c r="C30" s="35">
        <v>150000</v>
      </c>
      <c r="D30" s="33"/>
      <c r="E30" s="36">
        <v>2025</v>
      </c>
      <c r="F30" s="36" t="s">
        <v>24</v>
      </c>
      <c r="G30" s="33"/>
      <c r="H30" s="33"/>
    </row>
    <row r="31" spans="1:8" s="37" customFormat="1" x14ac:dyDescent="0.25">
      <c r="A31" s="33" t="s">
        <v>49</v>
      </c>
      <c r="B31" s="34" t="s">
        <v>48</v>
      </c>
      <c r="C31" s="35">
        <v>150000</v>
      </c>
      <c r="D31" s="33"/>
      <c r="E31" s="36">
        <v>2025</v>
      </c>
      <c r="F31" s="36" t="s">
        <v>24</v>
      </c>
      <c r="G31" s="33"/>
      <c r="H31" s="33"/>
    </row>
    <row r="32" spans="1:8" s="37" customFormat="1" x14ac:dyDescent="0.25">
      <c r="A32" s="33" t="s">
        <v>50</v>
      </c>
      <c r="B32" s="34" t="s">
        <v>48</v>
      </c>
      <c r="C32" s="35">
        <v>150000</v>
      </c>
      <c r="D32" s="33"/>
      <c r="E32" s="36">
        <v>2025</v>
      </c>
      <c r="F32" s="36" t="s">
        <v>24</v>
      </c>
      <c r="G32" s="33"/>
      <c r="H32" s="33"/>
    </row>
    <row r="33" spans="1:8" s="37" customFormat="1" x14ac:dyDescent="0.25">
      <c r="A33" s="33" t="s">
        <v>51</v>
      </c>
      <c r="B33" s="34" t="s">
        <v>48</v>
      </c>
      <c r="C33" s="35">
        <v>150000</v>
      </c>
      <c r="D33" s="33"/>
      <c r="E33" s="36">
        <v>2025</v>
      </c>
      <c r="F33" s="36" t="s">
        <v>24</v>
      </c>
      <c r="G33" s="33"/>
      <c r="H33" s="33"/>
    </row>
    <row r="34" spans="1:8" s="37" customFormat="1" x14ac:dyDescent="0.25">
      <c r="A34" s="33" t="s">
        <v>52</v>
      </c>
      <c r="B34" s="34" t="s">
        <v>48</v>
      </c>
      <c r="C34" s="35">
        <v>150000</v>
      </c>
      <c r="D34" s="33"/>
      <c r="E34" s="36">
        <v>2025</v>
      </c>
      <c r="F34" s="36" t="s">
        <v>24</v>
      </c>
      <c r="G34" s="33"/>
      <c r="H34" s="33"/>
    </row>
    <row r="35" spans="1:8" s="37" customFormat="1" x14ac:dyDescent="0.25">
      <c r="A35" s="33" t="s">
        <v>53</v>
      </c>
      <c r="B35" s="34" t="s">
        <v>48</v>
      </c>
      <c r="C35" s="35">
        <v>150000</v>
      </c>
      <c r="D35" s="33"/>
      <c r="E35" s="36">
        <v>2025</v>
      </c>
      <c r="F35" s="36" t="s">
        <v>24</v>
      </c>
      <c r="G35" s="33"/>
      <c r="H35" s="33"/>
    </row>
    <row r="36" spans="1:8" s="37" customFormat="1" x14ac:dyDescent="0.25">
      <c r="A36" s="33" t="s">
        <v>54</v>
      </c>
      <c r="B36" s="34" t="s">
        <v>48</v>
      </c>
      <c r="C36" s="35">
        <v>150000</v>
      </c>
      <c r="D36" s="33"/>
      <c r="E36" s="36">
        <v>2025</v>
      </c>
      <c r="F36" s="36" t="s">
        <v>24</v>
      </c>
      <c r="G36" s="33"/>
      <c r="H36" s="33"/>
    </row>
    <row r="37" spans="1:8" s="37" customFormat="1" x14ac:dyDescent="0.25">
      <c r="A37" s="33" t="s">
        <v>55</v>
      </c>
      <c r="B37" s="34" t="s">
        <v>48</v>
      </c>
      <c r="C37" s="35">
        <v>150000</v>
      </c>
      <c r="D37" s="33"/>
      <c r="E37" s="36">
        <v>2025</v>
      </c>
      <c r="F37" s="36" t="s">
        <v>24</v>
      </c>
      <c r="G37" s="33"/>
      <c r="H37" s="33"/>
    </row>
    <row r="38" spans="1:8" s="37" customFormat="1" x14ac:dyDescent="0.25">
      <c r="A38" s="33" t="s">
        <v>56</v>
      </c>
      <c r="B38" s="34" t="s">
        <v>48</v>
      </c>
      <c r="C38" s="35">
        <v>150000</v>
      </c>
      <c r="D38" s="33"/>
      <c r="E38" s="36">
        <v>2025</v>
      </c>
      <c r="F38" s="36" t="s">
        <v>24</v>
      </c>
      <c r="G38" s="33"/>
      <c r="H38" s="33"/>
    </row>
    <row r="39" spans="1:8" s="37" customFormat="1" x14ac:dyDescent="0.25">
      <c r="A39" s="33" t="s">
        <v>57</v>
      </c>
      <c r="B39" s="34" t="s">
        <v>48</v>
      </c>
      <c r="C39" s="35">
        <v>220000</v>
      </c>
      <c r="D39" s="33"/>
      <c r="E39" s="36">
        <v>2025</v>
      </c>
      <c r="F39" s="36" t="s">
        <v>24</v>
      </c>
      <c r="G39" s="33"/>
      <c r="H39" s="33"/>
    </row>
    <row r="40" spans="1:8" s="37" customFormat="1" x14ac:dyDescent="0.25">
      <c r="A40" s="33" t="s">
        <v>58</v>
      </c>
      <c r="B40" s="34" t="s">
        <v>48</v>
      </c>
      <c r="C40" s="35">
        <v>150000</v>
      </c>
      <c r="D40" s="33"/>
      <c r="E40" s="36">
        <v>2025</v>
      </c>
      <c r="F40" s="36" t="s">
        <v>24</v>
      </c>
      <c r="G40" s="33"/>
      <c r="H40" s="33"/>
    </row>
    <row r="41" spans="1:8" s="37" customFormat="1" x14ac:dyDescent="0.25">
      <c r="A41" s="33" t="s">
        <v>59</v>
      </c>
      <c r="B41" s="34" t="s">
        <v>48</v>
      </c>
      <c r="C41" s="35">
        <v>150000</v>
      </c>
      <c r="D41" s="33"/>
      <c r="E41" s="36">
        <v>2025</v>
      </c>
      <c r="F41" s="36" t="s">
        <v>24</v>
      </c>
      <c r="G41" s="33"/>
      <c r="H41" s="33"/>
    </row>
    <row r="42" spans="1:8" s="37" customFormat="1" x14ac:dyDescent="0.25">
      <c r="A42" s="33" t="s">
        <v>60</v>
      </c>
      <c r="B42" s="34" t="s">
        <v>48</v>
      </c>
      <c r="C42" s="35">
        <v>150000</v>
      </c>
      <c r="D42" s="33"/>
      <c r="E42" s="36">
        <v>2025</v>
      </c>
      <c r="F42" s="36" t="s">
        <v>24</v>
      </c>
      <c r="G42" s="33"/>
      <c r="H42" s="33"/>
    </row>
    <row r="43" spans="1:8" s="37" customFormat="1" x14ac:dyDescent="0.25">
      <c r="A43" s="33" t="s">
        <v>61</v>
      </c>
      <c r="B43" s="34" t="s">
        <v>48</v>
      </c>
      <c r="C43" s="35">
        <v>150000</v>
      </c>
      <c r="D43" s="33"/>
      <c r="E43" s="36">
        <v>2025</v>
      </c>
      <c r="F43" s="36" t="s">
        <v>24</v>
      </c>
      <c r="G43" s="33"/>
      <c r="H43" s="33"/>
    </row>
    <row r="44" spans="1:8" s="37" customFormat="1" x14ac:dyDescent="0.25">
      <c r="A44" s="33" t="s">
        <v>62</v>
      </c>
      <c r="B44" s="34" t="s">
        <v>48</v>
      </c>
      <c r="C44" s="35">
        <v>150000</v>
      </c>
      <c r="D44" s="33"/>
      <c r="E44" s="36">
        <v>2025</v>
      </c>
      <c r="F44" s="36" t="s">
        <v>24</v>
      </c>
      <c r="G44" s="33"/>
      <c r="H44" s="33"/>
    </row>
    <row r="45" spans="1:8" s="37" customFormat="1" x14ac:dyDescent="0.25">
      <c r="A45" s="33" t="s">
        <v>63</v>
      </c>
      <c r="B45" s="34" t="s">
        <v>48</v>
      </c>
      <c r="C45" s="35">
        <v>150000</v>
      </c>
      <c r="D45" s="33"/>
      <c r="E45" s="36">
        <v>2025</v>
      </c>
      <c r="F45" s="36" t="s">
        <v>24</v>
      </c>
      <c r="G45" s="33"/>
      <c r="H45" s="33"/>
    </row>
    <row r="46" spans="1:8" s="37" customFormat="1" x14ac:dyDescent="0.25">
      <c r="A46" s="33" t="s">
        <v>64</v>
      </c>
      <c r="B46" s="34" t="s">
        <v>48</v>
      </c>
      <c r="C46" s="35">
        <v>150000</v>
      </c>
      <c r="D46" s="33"/>
      <c r="E46" s="36">
        <v>2025</v>
      </c>
      <c r="F46" s="36" t="s">
        <v>24</v>
      </c>
      <c r="G46" s="33"/>
      <c r="H46" s="33"/>
    </row>
    <row r="47" spans="1:8" s="37" customFormat="1" x14ac:dyDescent="0.25">
      <c r="A47" s="33" t="s">
        <v>65</v>
      </c>
      <c r="B47" s="34" t="s">
        <v>48</v>
      </c>
      <c r="C47" s="35">
        <v>150000</v>
      </c>
      <c r="D47" s="33"/>
      <c r="E47" s="36">
        <v>2025</v>
      </c>
      <c r="F47" s="36" t="s">
        <v>24</v>
      </c>
      <c r="G47" s="33"/>
      <c r="H47" s="33"/>
    </row>
    <row r="48" spans="1:8" s="37" customFormat="1" x14ac:dyDescent="0.25">
      <c r="A48" s="33" t="s">
        <v>66</v>
      </c>
      <c r="B48" s="34" t="s">
        <v>48</v>
      </c>
      <c r="C48" s="35">
        <v>200000</v>
      </c>
      <c r="D48" s="33"/>
      <c r="E48" s="36">
        <v>2025</v>
      </c>
      <c r="F48" s="36" t="s">
        <v>24</v>
      </c>
      <c r="G48" s="33"/>
      <c r="H48" s="33"/>
    </row>
    <row r="49" spans="1:8" s="37" customFormat="1" x14ac:dyDescent="0.25">
      <c r="A49" s="33" t="s">
        <v>67</v>
      </c>
      <c r="B49" s="34" t="s">
        <v>48</v>
      </c>
      <c r="C49" s="35">
        <v>150000</v>
      </c>
      <c r="D49" s="33"/>
      <c r="E49" s="36">
        <v>2025</v>
      </c>
      <c r="F49" s="36" t="s">
        <v>24</v>
      </c>
      <c r="G49" s="33"/>
      <c r="H49" s="33"/>
    </row>
    <row r="50" spans="1:8" s="37" customFormat="1" x14ac:dyDescent="0.25">
      <c r="A50" s="33" t="s">
        <v>68</v>
      </c>
      <c r="B50" s="34" t="s">
        <v>48</v>
      </c>
      <c r="C50" s="35">
        <v>150000</v>
      </c>
      <c r="D50" s="33"/>
      <c r="E50" s="36">
        <v>2025</v>
      </c>
      <c r="F50" s="36" t="s">
        <v>24</v>
      </c>
      <c r="G50" s="33"/>
      <c r="H50" s="33"/>
    </row>
    <row r="51" spans="1:8" s="37" customFormat="1" x14ac:dyDescent="0.25">
      <c r="A51" s="33" t="s">
        <v>69</v>
      </c>
      <c r="B51" s="34" t="s">
        <v>48</v>
      </c>
      <c r="C51" s="35">
        <v>150000</v>
      </c>
      <c r="D51" s="33"/>
      <c r="E51" s="36">
        <v>2025</v>
      </c>
      <c r="F51" s="36" t="s">
        <v>24</v>
      </c>
      <c r="G51" s="33"/>
      <c r="H51" s="33"/>
    </row>
    <row r="52" spans="1:8" s="37" customFormat="1" x14ac:dyDescent="0.25">
      <c r="A52" s="33" t="s">
        <v>70</v>
      </c>
      <c r="B52" s="34" t="s">
        <v>48</v>
      </c>
      <c r="C52" s="35">
        <v>150000</v>
      </c>
      <c r="D52" s="33"/>
      <c r="E52" s="36">
        <v>2025</v>
      </c>
      <c r="F52" s="36" t="s">
        <v>24</v>
      </c>
      <c r="G52" s="33"/>
      <c r="H52" s="33"/>
    </row>
    <row r="53" spans="1:8" s="37" customFormat="1" x14ac:dyDescent="0.25">
      <c r="A53" s="33" t="s">
        <v>71</v>
      </c>
      <c r="B53" s="34" t="s">
        <v>48</v>
      </c>
      <c r="C53" s="35">
        <v>210000</v>
      </c>
      <c r="D53" s="33"/>
      <c r="E53" s="36">
        <v>2025</v>
      </c>
      <c r="F53" s="36" t="s">
        <v>24</v>
      </c>
      <c r="G53" s="33"/>
      <c r="H53" s="33"/>
    </row>
    <row r="54" spans="1:8" s="37" customFormat="1" x14ac:dyDescent="0.25">
      <c r="A54" s="33" t="s">
        <v>72</v>
      </c>
      <c r="B54" s="34" t="s">
        <v>48</v>
      </c>
      <c r="C54" s="35">
        <v>150000</v>
      </c>
      <c r="D54" s="33"/>
      <c r="E54" s="36">
        <v>2025</v>
      </c>
      <c r="F54" s="36" t="s">
        <v>24</v>
      </c>
      <c r="G54" s="33"/>
      <c r="H54" s="33"/>
    </row>
    <row r="55" spans="1:8" s="37" customFormat="1" x14ac:dyDescent="0.25">
      <c r="A55" s="33" t="s">
        <v>73</v>
      </c>
      <c r="B55" s="34" t="s">
        <v>48</v>
      </c>
      <c r="C55" s="35">
        <v>150000</v>
      </c>
      <c r="D55" s="33"/>
      <c r="E55" s="36">
        <v>2025</v>
      </c>
      <c r="F55" s="36" t="s">
        <v>24</v>
      </c>
      <c r="G55" s="33"/>
      <c r="H55" s="33"/>
    </row>
    <row r="56" spans="1:8" s="37" customFormat="1" x14ac:dyDescent="0.25">
      <c r="A56" s="33" t="s">
        <v>74</v>
      </c>
      <c r="B56" s="34" t="s">
        <v>48</v>
      </c>
      <c r="C56" s="35">
        <v>150000</v>
      </c>
      <c r="D56" s="33"/>
      <c r="E56" s="36">
        <v>2025</v>
      </c>
      <c r="F56" s="36" t="s">
        <v>24</v>
      </c>
      <c r="G56" s="33"/>
      <c r="H56" s="33"/>
    </row>
    <row r="57" spans="1:8" s="37" customFormat="1" x14ac:dyDescent="0.25">
      <c r="A57" s="33" t="s">
        <v>75</v>
      </c>
      <c r="B57" s="34" t="s">
        <v>48</v>
      </c>
      <c r="C57" s="35">
        <v>150000</v>
      </c>
      <c r="D57" s="33"/>
      <c r="E57" s="36">
        <v>2025</v>
      </c>
      <c r="F57" s="36" t="s">
        <v>24</v>
      </c>
      <c r="G57" s="33"/>
      <c r="H57" s="33"/>
    </row>
    <row r="58" spans="1:8" s="37" customFormat="1" x14ac:dyDescent="0.25">
      <c r="A58" s="33" t="s">
        <v>76</v>
      </c>
      <c r="B58" s="34" t="s">
        <v>48</v>
      </c>
      <c r="C58" s="35">
        <v>180000</v>
      </c>
      <c r="D58" s="33"/>
      <c r="E58" s="36">
        <v>2025</v>
      </c>
      <c r="F58" s="36" t="s">
        <v>24</v>
      </c>
      <c r="G58" s="33"/>
      <c r="H58" s="33"/>
    </row>
    <row r="59" spans="1:8" s="37" customFormat="1" x14ac:dyDescent="0.25">
      <c r="A59" s="33" t="s">
        <v>77</v>
      </c>
      <c r="B59" s="34" t="s">
        <v>48</v>
      </c>
      <c r="C59" s="35">
        <v>150000</v>
      </c>
      <c r="D59" s="33"/>
      <c r="E59" s="36">
        <v>2025</v>
      </c>
      <c r="F59" s="36" t="s">
        <v>24</v>
      </c>
      <c r="G59" s="33"/>
      <c r="H59" s="33"/>
    </row>
    <row r="60" spans="1:8" s="37" customFormat="1" x14ac:dyDescent="0.25">
      <c r="A60" s="33" t="s">
        <v>78</v>
      </c>
      <c r="B60" s="34" t="s">
        <v>48</v>
      </c>
      <c r="C60" s="35">
        <v>150000</v>
      </c>
      <c r="D60" s="33"/>
      <c r="E60" s="36">
        <v>2025</v>
      </c>
      <c r="F60" s="36" t="s">
        <v>24</v>
      </c>
      <c r="G60" s="33"/>
      <c r="H60" s="33"/>
    </row>
    <row r="61" spans="1:8" s="37" customFormat="1" x14ac:dyDescent="0.25">
      <c r="A61" s="33" t="s">
        <v>79</v>
      </c>
      <c r="B61" s="34" t="s">
        <v>48</v>
      </c>
      <c r="C61" s="35">
        <v>150000</v>
      </c>
      <c r="D61" s="33"/>
      <c r="E61" s="36">
        <v>2025</v>
      </c>
      <c r="F61" s="36" t="s">
        <v>24</v>
      </c>
      <c r="G61" s="33"/>
      <c r="H61" s="33"/>
    </row>
    <row r="62" spans="1:8" s="37" customFormat="1" x14ac:dyDescent="0.25">
      <c r="A62" s="33" t="s">
        <v>80</v>
      </c>
      <c r="B62" s="34" t="s">
        <v>48</v>
      </c>
      <c r="C62" s="35">
        <v>200000</v>
      </c>
      <c r="D62" s="33"/>
      <c r="E62" s="36">
        <v>2025</v>
      </c>
      <c r="F62" s="36" t="s">
        <v>24</v>
      </c>
      <c r="G62" s="33"/>
      <c r="H62" s="33"/>
    </row>
    <row r="63" spans="1:8" s="37" customFormat="1" x14ac:dyDescent="0.25">
      <c r="A63" s="33" t="s">
        <v>81</v>
      </c>
      <c r="B63" s="34" t="s">
        <v>48</v>
      </c>
      <c r="C63" s="35">
        <v>240000</v>
      </c>
      <c r="D63" s="33"/>
      <c r="E63" s="36">
        <v>2025</v>
      </c>
      <c r="F63" s="36" t="s">
        <v>24</v>
      </c>
      <c r="G63" s="33"/>
      <c r="H63" s="33"/>
    </row>
    <row r="64" spans="1:8" s="37" customFormat="1" x14ac:dyDescent="0.25">
      <c r="A64" s="33" t="s">
        <v>82</v>
      </c>
      <c r="B64" s="34" t="s">
        <v>48</v>
      </c>
      <c r="C64" s="35">
        <v>180000</v>
      </c>
      <c r="D64" s="33"/>
      <c r="E64" s="36">
        <v>2025</v>
      </c>
      <c r="F64" s="36" t="s">
        <v>24</v>
      </c>
      <c r="G64" s="33"/>
      <c r="H64" s="33"/>
    </row>
    <row r="65" spans="1:8" s="37" customFormat="1" x14ac:dyDescent="0.25">
      <c r="A65" s="33" t="s">
        <v>83</v>
      </c>
      <c r="B65" s="34" t="s">
        <v>48</v>
      </c>
      <c r="C65" s="35">
        <v>150000</v>
      </c>
      <c r="D65" s="33"/>
      <c r="E65" s="36">
        <v>2025</v>
      </c>
      <c r="F65" s="36" t="s">
        <v>24</v>
      </c>
      <c r="G65" s="33"/>
      <c r="H65" s="33"/>
    </row>
    <row r="66" spans="1:8" s="37" customFormat="1" x14ac:dyDescent="0.25">
      <c r="A66" s="33" t="s">
        <v>84</v>
      </c>
      <c r="B66" s="34" t="s">
        <v>48</v>
      </c>
      <c r="C66" s="35">
        <v>180000</v>
      </c>
      <c r="D66" s="33"/>
      <c r="E66" s="36">
        <v>2025</v>
      </c>
      <c r="F66" s="36" t="s">
        <v>24</v>
      </c>
      <c r="G66" s="33"/>
      <c r="H66" s="33"/>
    </row>
    <row r="67" spans="1:8" s="37" customFormat="1" x14ac:dyDescent="0.25">
      <c r="A67" s="33" t="s">
        <v>85</v>
      </c>
      <c r="B67" s="34" t="s">
        <v>48</v>
      </c>
      <c r="C67" s="35">
        <v>170000</v>
      </c>
      <c r="D67" s="33"/>
      <c r="E67" s="36">
        <v>2025</v>
      </c>
      <c r="F67" s="36" t="s">
        <v>24</v>
      </c>
      <c r="G67" s="33"/>
      <c r="H67" s="33"/>
    </row>
    <row r="68" spans="1:8" s="37" customFormat="1" x14ac:dyDescent="0.25">
      <c r="A68" s="33" t="s">
        <v>86</v>
      </c>
      <c r="B68" s="34" t="s">
        <v>48</v>
      </c>
      <c r="C68" s="35">
        <v>150000</v>
      </c>
      <c r="D68" s="33"/>
      <c r="E68" s="36">
        <v>2025</v>
      </c>
      <c r="F68" s="36" t="s">
        <v>24</v>
      </c>
      <c r="G68" s="33"/>
      <c r="H68" s="33"/>
    </row>
    <row r="69" spans="1:8" s="37" customFormat="1" x14ac:dyDescent="0.25">
      <c r="A69" s="33" t="s">
        <v>87</v>
      </c>
      <c r="B69" s="34" t="s">
        <v>48</v>
      </c>
      <c r="C69" s="35">
        <v>150000</v>
      </c>
      <c r="D69" s="33"/>
      <c r="E69" s="36">
        <v>2025</v>
      </c>
      <c r="F69" s="36" t="s">
        <v>24</v>
      </c>
      <c r="G69" s="33"/>
      <c r="H69" s="33"/>
    </row>
    <row r="70" spans="1:8" s="37" customFormat="1" x14ac:dyDescent="0.25">
      <c r="A70" s="33" t="s">
        <v>88</v>
      </c>
      <c r="B70" s="34" t="s">
        <v>48</v>
      </c>
      <c r="C70" s="35">
        <v>150000</v>
      </c>
      <c r="D70" s="33"/>
      <c r="E70" s="36">
        <v>2025</v>
      </c>
      <c r="F70" s="36" t="s">
        <v>24</v>
      </c>
      <c r="G70" s="33"/>
      <c r="H70" s="33"/>
    </row>
    <row r="71" spans="1:8" s="37" customFormat="1" x14ac:dyDescent="0.25">
      <c r="A71" s="33" t="s">
        <v>89</v>
      </c>
      <c r="B71" s="34" t="s">
        <v>48</v>
      </c>
      <c r="C71" s="35">
        <v>210000</v>
      </c>
      <c r="D71" s="33"/>
      <c r="E71" s="36">
        <v>2025</v>
      </c>
      <c r="F71" s="36"/>
      <c r="G71" s="33"/>
      <c r="H71" s="33"/>
    </row>
    <row r="72" spans="1:8" s="37" customFormat="1" x14ac:dyDescent="0.25">
      <c r="A72" s="33" t="s">
        <v>90</v>
      </c>
      <c r="B72" s="34" t="s">
        <v>48</v>
      </c>
      <c r="C72" s="35">
        <v>150000</v>
      </c>
      <c r="D72" s="33"/>
      <c r="E72" s="36">
        <v>2025</v>
      </c>
      <c r="F72" s="36"/>
      <c r="G72" s="33"/>
      <c r="H72" s="33"/>
    </row>
    <row r="73" spans="1:8" s="37" customFormat="1" x14ac:dyDescent="0.25">
      <c r="A73" s="33" t="s">
        <v>91</v>
      </c>
      <c r="B73" s="34" t="s">
        <v>48</v>
      </c>
      <c r="C73" s="35">
        <v>150000</v>
      </c>
      <c r="D73" s="33"/>
      <c r="E73" s="36">
        <v>2025</v>
      </c>
      <c r="F73" s="36"/>
      <c r="G73" s="33"/>
      <c r="H73" s="33"/>
    </row>
    <row r="74" spans="1:8" s="37" customFormat="1" x14ac:dyDescent="0.25">
      <c r="A74" s="33" t="s">
        <v>92</v>
      </c>
      <c r="B74" s="34" t="s">
        <v>48</v>
      </c>
      <c r="C74" s="35">
        <v>150000</v>
      </c>
      <c r="D74" s="33"/>
      <c r="E74" s="36">
        <v>2025</v>
      </c>
      <c r="F74" s="36"/>
      <c r="G74" s="33"/>
      <c r="H74" s="33"/>
    </row>
    <row r="75" spans="1:8" s="37" customFormat="1" x14ac:dyDescent="0.25">
      <c r="A75" s="33" t="s">
        <v>93</v>
      </c>
      <c r="B75" s="34" t="s">
        <v>48</v>
      </c>
      <c r="C75" s="35">
        <v>142000</v>
      </c>
      <c r="D75" s="33"/>
      <c r="E75" s="36">
        <v>2025</v>
      </c>
      <c r="F75" s="36"/>
      <c r="G75" s="33"/>
      <c r="H75" s="33"/>
    </row>
    <row r="76" spans="1:8" s="37" customFormat="1" x14ac:dyDescent="0.25">
      <c r="A76" s="33" t="s">
        <v>94</v>
      </c>
      <c r="B76" s="34" t="s">
        <v>48</v>
      </c>
      <c r="C76" s="35">
        <v>150000</v>
      </c>
      <c r="D76" s="33"/>
      <c r="E76" s="36">
        <v>2025</v>
      </c>
      <c r="F76" s="36"/>
      <c r="G76" s="33"/>
      <c r="H76" s="33"/>
    </row>
    <row r="77" spans="1:8" s="37" customFormat="1" x14ac:dyDescent="0.25">
      <c r="A77" s="33" t="s">
        <v>95</v>
      </c>
      <c r="B77" s="34" t="s">
        <v>48</v>
      </c>
      <c r="C77" s="35">
        <v>150000</v>
      </c>
      <c r="D77" s="33"/>
      <c r="E77" s="36">
        <v>2025</v>
      </c>
      <c r="F77" s="36"/>
      <c r="G77" s="33"/>
      <c r="H77" s="33"/>
    </row>
    <row r="78" spans="1:8" s="37" customFormat="1" x14ac:dyDescent="0.25">
      <c r="A78" s="33" t="s">
        <v>96</v>
      </c>
      <c r="B78" s="34" t="s">
        <v>48</v>
      </c>
      <c r="C78" s="35">
        <v>150000</v>
      </c>
      <c r="D78" s="33"/>
      <c r="E78" s="36">
        <v>2025</v>
      </c>
      <c r="F78" s="36"/>
      <c r="G78" s="33"/>
      <c r="H78" s="33"/>
    </row>
    <row r="79" spans="1:8" s="37" customFormat="1" x14ac:dyDescent="0.25">
      <c r="A79" s="33" t="s">
        <v>97</v>
      </c>
      <c r="B79" s="34" t="s">
        <v>48</v>
      </c>
      <c r="C79" s="35">
        <v>150000</v>
      </c>
      <c r="D79" s="33"/>
      <c r="E79" s="36">
        <v>2025</v>
      </c>
      <c r="F79" s="36"/>
      <c r="G79" s="33"/>
      <c r="H79" s="33"/>
    </row>
    <row r="80" spans="1:8" s="37" customFormat="1" x14ac:dyDescent="0.25">
      <c r="A80" s="33" t="s">
        <v>98</v>
      </c>
      <c r="B80" s="34" t="s">
        <v>48</v>
      </c>
      <c r="C80" s="35">
        <v>150000</v>
      </c>
      <c r="D80" s="33"/>
      <c r="E80" s="36">
        <v>2025</v>
      </c>
      <c r="F80" s="36"/>
      <c r="G80" s="33"/>
      <c r="H80" s="33"/>
    </row>
    <row r="81" spans="1:8" s="37" customFormat="1" x14ac:dyDescent="0.25">
      <c r="A81" s="33" t="s">
        <v>99</v>
      </c>
      <c r="B81" s="34" t="s">
        <v>48</v>
      </c>
      <c r="C81" s="35">
        <v>150000</v>
      </c>
      <c r="D81" s="33"/>
      <c r="E81" s="36">
        <v>2025</v>
      </c>
      <c r="F81" s="36"/>
      <c r="G81" s="33"/>
      <c r="H81" s="33"/>
    </row>
    <row r="82" spans="1:8" s="37" customFormat="1" x14ac:dyDescent="0.25">
      <c r="A82" s="33" t="s">
        <v>100</v>
      </c>
      <c r="B82" s="34" t="s">
        <v>48</v>
      </c>
      <c r="C82" s="35">
        <v>150000</v>
      </c>
      <c r="D82" s="33"/>
      <c r="E82" s="36">
        <v>2025</v>
      </c>
      <c r="F82" s="36"/>
      <c r="G82" s="33"/>
      <c r="H82" s="33"/>
    </row>
    <row r="83" spans="1:8" s="37" customFormat="1" x14ac:dyDescent="0.25">
      <c r="A83" s="33" t="s">
        <v>101</v>
      </c>
      <c r="B83" s="34" t="s">
        <v>48</v>
      </c>
      <c r="C83" s="35">
        <v>150000</v>
      </c>
      <c r="D83" s="33"/>
      <c r="E83" s="36">
        <v>2025</v>
      </c>
      <c r="F83" s="36"/>
      <c r="G83" s="33"/>
      <c r="H83" s="33"/>
    </row>
    <row r="84" spans="1:8" s="37" customFormat="1" x14ac:dyDescent="0.25">
      <c r="A84" s="33" t="s">
        <v>102</v>
      </c>
      <c r="B84" s="34" t="s">
        <v>48</v>
      </c>
      <c r="C84" s="35">
        <v>150000</v>
      </c>
      <c r="D84" s="33"/>
      <c r="E84" s="36">
        <v>2025</v>
      </c>
      <c r="F84" s="36"/>
      <c r="G84" s="33"/>
      <c r="H84" s="33"/>
    </row>
    <row r="85" spans="1:8" s="37" customFormat="1" x14ac:dyDescent="0.25">
      <c r="A85" s="33" t="s">
        <v>103</v>
      </c>
      <c r="B85" s="34" t="s">
        <v>48</v>
      </c>
      <c r="C85" s="35">
        <v>150000</v>
      </c>
      <c r="D85" s="33"/>
      <c r="E85" s="36">
        <v>2025</v>
      </c>
      <c r="F85" s="36"/>
      <c r="G85" s="33"/>
      <c r="H85" s="33"/>
    </row>
    <row r="86" spans="1:8" s="37" customFormat="1" x14ac:dyDescent="0.25">
      <c r="A86" s="33" t="s">
        <v>104</v>
      </c>
      <c r="B86" s="34" t="s">
        <v>48</v>
      </c>
      <c r="C86" s="35">
        <v>180000</v>
      </c>
      <c r="D86" s="33"/>
      <c r="E86" s="36">
        <v>2025</v>
      </c>
      <c r="F86" s="36"/>
      <c r="G86" s="33"/>
      <c r="H86" s="33"/>
    </row>
    <row r="87" spans="1:8" s="37" customFormat="1" x14ac:dyDescent="0.25">
      <c r="A87" s="33" t="s">
        <v>105</v>
      </c>
      <c r="B87" s="34" t="s">
        <v>48</v>
      </c>
      <c r="C87" s="35">
        <v>150000</v>
      </c>
      <c r="D87" s="33"/>
      <c r="E87" s="36">
        <v>2025</v>
      </c>
      <c r="F87" s="36"/>
      <c r="G87" s="33"/>
      <c r="H87" s="33"/>
    </row>
    <row r="88" spans="1:8" s="37" customFormat="1" x14ac:dyDescent="0.25">
      <c r="A88" s="33" t="s">
        <v>106</v>
      </c>
      <c r="B88" s="34" t="s">
        <v>48</v>
      </c>
      <c r="C88" s="35">
        <v>150000</v>
      </c>
      <c r="D88" s="33"/>
      <c r="E88" s="36">
        <v>2025</v>
      </c>
      <c r="F88" s="36"/>
      <c r="G88" s="33"/>
      <c r="H88" s="33"/>
    </row>
    <row r="89" spans="1:8" s="37" customFormat="1" x14ac:dyDescent="0.25">
      <c r="A89" s="33" t="s">
        <v>107</v>
      </c>
      <c r="B89" s="34" t="s">
        <v>48</v>
      </c>
      <c r="C89" s="35">
        <v>150000</v>
      </c>
      <c r="D89" s="33"/>
      <c r="E89" s="36">
        <v>2025</v>
      </c>
      <c r="F89" s="36"/>
      <c r="G89" s="33"/>
      <c r="H89" s="33"/>
    </row>
    <row r="90" spans="1:8" s="37" customFormat="1" x14ac:dyDescent="0.25">
      <c r="A90" s="33" t="s">
        <v>108</v>
      </c>
      <c r="B90" s="34" t="s">
        <v>48</v>
      </c>
      <c r="C90" s="35">
        <v>210000</v>
      </c>
      <c r="D90" s="33"/>
      <c r="E90" s="36">
        <v>2025</v>
      </c>
      <c r="F90" s="36"/>
      <c r="G90" s="33"/>
      <c r="H90" s="33"/>
    </row>
    <row r="91" spans="1:8" s="37" customFormat="1" x14ac:dyDescent="0.25">
      <c r="A91" s="33" t="s">
        <v>109</v>
      </c>
      <c r="B91" s="34" t="s">
        <v>48</v>
      </c>
      <c r="C91" s="35">
        <v>150000</v>
      </c>
      <c r="D91" s="33"/>
      <c r="E91" s="36">
        <v>2025</v>
      </c>
      <c r="F91" s="36"/>
      <c r="G91" s="33"/>
      <c r="H91" s="33"/>
    </row>
    <row r="92" spans="1:8" s="37" customFormat="1" x14ac:dyDescent="0.25">
      <c r="A92" s="33" t="s">
        <v>110</v>
      </c>
      <c r="B92" s="34" t="s">
        <v>48</v>
      </c>
      <c r="C92" s="35">
        <v>150000</v>
      </c>
      <c r="D92" s="33"/>
      <c r="E92" s="36">
        <v>2025</v>
      </c>
      <c r="F92" s="36" t="s">
        <v>24</v>
      </c>
      <c r="G92" s="33"/>
      <c r="H92" s="33"/>
    </row>
    <row r="93" spans="1:8" s="37" customFormat="1" x14ac:dyDescent="0.25">
      <c r="A93" s="33" t="s">
        <v>111</v>
      </c>
      <c r="B93" s="34" t="s">
        <v>48</v>
      </c>
      <c r="C93" s="35">
        <v>200000</v>
      </c>
      <c r="D93" s="33"/>
      <c r="E93" s="36">
        <v>2025</v>
      </c>
      <c r="F93" s="36" t="s">
        <v>24</v>
      </c>
      <c r="G93" s="33"/>
      <c r="H93" s="33"/>
    </row>
    <row r="94" spans="1:8" s="37" customFormat="1" x14ac:dyDescent="0.25">
      <c r="A94" s="33" t="s">
        <v>112</v>
      </c>
      <c r="B94" s="34" t="s">
        <v>23</v>
      </c>
      <c r="C94" s="35">
        <v>150000</v>
      </c>
      <c r="D94" s="33"/>
      <c r="E94" s="36">
        <v>2025</v>
      </c>
      <c r="F94" s="36" t="s">
        <v>24</v>
      </c>
      <c r="G94" s="33"/>
      <c r="H94" s="33"/>
    </row>
    <row r="95" spans="1:8" s="37" customFormat="1" x14ac:dyDescent="0.25">
      <c r="A95" s="33" t="s">
        <v>113</v>
      </c>
      <c r="B95" s="34" t="s">
        <v>48</v>
      </c>
      <c r="C95" s="35">
        <v>900000</v>
      </c>
      <c r="D95" s="33"/>
      <c r="E95" s="36"/>
      <c r="F95" s="36"/>
      <c r="G95" s="33"/>
      <c r="H95" s="33"/>
    </row>
    <row r="96" spans="1:8" s="66" customFormat="1" x14ac:dyDescent="0.25">
      <c r="A96" s="62" t="s">
        <v>114</v>
      </c>
      <c r="B96" s="63" t="s">
        <v>115</v>
      </c>
      <c r="C96" s="64">
        <v>500000</v>
      </c>
      <c r="D96" s="62"/>
      <c r="E96" s="65">
        <v>2025</v>
      </c>
      <c r="F96" s="65" t="s">
        <v>26</v>
      </c>
      <c r="G96" s="62"/>
      <c r="H96" s="62"/>
    </row>
    <row r="97" spans="3:7" x14ac:dyDescent="0.25">
      <c r="C97" s="38">
        <f>SUM(C7:C96)</f>
        <v>185407617.5</v>
      </c>
      <c r="E97" s="39"/>
      <c r="F97" s="40"/>
      <c r="G97" s="39"/>
    </row>
    <row r="98" spans="3:7" x14ac:dyDescent="0.25">
      <c r="E98" s="41"/>
      <c r="F98" s="42"/>
      <c r="G98" s="41"/>
    </row>
    <row r="99" spans="3:7" x14ac:dyDescent="0.25">
      <c r="C99" s="32"/>
      <c r="E99" s="41"/>
      <c r="F99" s="41"/>
      <c r="G99" s="41"/>
    </row>
    <row r="100" spans="3:7" x14ac:dyDescent="0.25">
      <c r="C100" s="43"/>
      <c r="E100" s="41"/>
      <c r="F100" s="41"/>
      <c r="G100" s="41"/>
    </row>
    <row r="101" spans="3:7" x14ac:dyDescent="0.25">
      <c r="C101" s="44"/>
      <c r="E101" s="41"/>
      <c r="F101" s="41"/>
      <c r="G101" s="41"/>
    </row>
    <row r="102" spans="3:7" x14ac:dyDescent="0.25">
      <c r="C102" s="45"/>
      <c r="E102" s="41"/>
      <c r="F102" s="41"/>
      <c r="G102" s="41"/>
    </row>
    <row r="103" spans="3:7" x14ac:dyDescent="0.25">
      <c r="C103" s="44"/>
    </row>
    <row r="104" spans="3:7" x14ac:dyDescent="0.25">
      <c r="C104" s="32"/>
    </row>
    <row r="105" spans="3:7" x14ac:dyDescent="0.25">
      <c r="C105" s="32"/>
    </row>
    <row r="106" spans="3:7" x14ac:dyDescent="0.25">
      <c r="C106" s="46"/>
    </row>
    <row r="107" spans="3:7" x14ac:dyDescent="0.25">
      <c r="C107" s="32"/>
    </row>
  </sheetData>
  <autoFilter ref="A6:H97"/>
  <mergeCells count="2">
    <mergeCell ref="A3:H3"/>
    <mergeCell ref="B4:H4"/>
  </mergeCells>
  <dataValidations count="1">
    <dataValidation operator="equal" allowBlank="1" showErrorMessage="1" sqref="C100:C101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zoomScale="84" zoomScaleNormal="84" workbookViewId="0">
      <selection activeCell="F22" sqref="F22"/>
    </sheetView>
  </sheetViews>
  <sheetFormatPr baseColWidth="10" defaultColWidth="10.7109375" defaultRowHeight="15" x14ac:dyDescent="0.25"/>
  <cols>
    <col min="1" max="1" width="36.42578125" customWidth="1"/>
    <col min="2" max="2" width="14.140625" customWidth="1"/>
    <col min="3" max="3" width="21.85546875" customWidth="1"/>
    <col min="4" max="4" width="20.5703125" customWidth="1"/>
    <col min="5" max="5" width="10.42578125" customWidth="1"/>
    <col min="6" max="6" width="11.42578125" customWidth="1"/>
    <col min="7" max="7" width="7.42578125" customWidth="1"/>
    <col min="8" max="8" width="15" customWidth="1"/>
    <col min="9" max="9" width="15.5703125" customWidth="1"/>
    <col min="10" max="10" width="14.42578125" customWidth="1"/>
    <col min="13" max="13" width="15" customWidth="1"/>
    <col min="14" max="14" width="21.140625" customWidth="1"/>
  </cols>
  <sheetData>
    <row r="1" spans="1:14" x14ac:dyDescent="0.25">
      <c r="J1" s="7" t="s">
        <v>0</v>
      </c>
      <c r="K1" s="47">
        <v>2024</v>
      </c>
    </row>
    <row r="3" spans="1:14" ht="15.75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25.5" customHeight="1" x14ac:dyDescent="0.25">
      <c r="A4" s="1" t="s">
        <v>2</v>
      </c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60" x14ac:dyDescent="0.25">
      <c r="A5" s="48" t="s">
        <v>3</v>
      </c>
      <c r="B5" s="48" t="s">
        <v>116</v>
      </c>
      <c r="C5" s="48" t="s">
        <v>4</v>
      </c>
      <c r="D5" s="48" t="s">
        <v>117</v>
      </c>
      <c r="E5" s="48" t="s">
        <v>118</v>
      </c>
      <c r="F5" s="48" t="s">
        <v>119</v>
      </c>
      <c r="G5" s="48" t="s">
        <v>120</v>
      </c>
      <c r="H5" s="48" t="s">
        <v>121</v>
      </c>
      <c r="I5" s="48" t="s">
        <v>5</v>
      </c>
      <c r="J5" s="48" t="s">
        <v>6</v>
      </c>
      <c r="K5" s="48" t="s">
        <v>7</v>
      </c>
      <c r="L5" s="48" t="s">
        <v>8</v>
      </c>
      <c r="M5" s="48" t="s">
        <v>9</v>
      </c>
      <c r="N5" s="48" t="s">
        <v>12</v>
      </c>
    </row>
    <row r="6" spans="1:14" s="20" customFormat="1" x14ac:dyDescent="0.25">
      <c r="A6" s="49"/>
      <c r="B6" s="50"/>
      <c r="C6" s="51"/>
      <c r="D6" s="52"/>
      <c r="E6" s="53"/>
      <c r="F6" s="54"/>
      <c r="G6" s="55"/>
      <c r="H6" s="56"/>
      <c r="I6" s="57"/>
      <c r="J6" s="50"/>
      <c r="K6" s="55"/>
      <c r="L6" s="55"/>
      <c r="M6" s="14"/>
      <c r="N6" s="58"/>
    </row>
    <row r="7" spans="1:14" s="20" customFormat="1" x14ac:dyDescent="0.25">
      <c r="A7" s="59"/>
      <c r="B7" s="50"/>
      <c r="C7" s="51"/>
      <c r="D7" s="60"/>
      <c r="E7" s="53"/>
      <c r="F7" s="54"/>
      <c r="G7" s="55"/>
      <c r="H7" s="61"/>
      <c r="I7" s="57"/>
      <c r="J7" s="50"/>
      <c r="K7" s="55"/>
      <c r="L7" s="55"/>
      <c r="M7" s="14"/>
      <c r="N7" s="58"/>
    </row>
  </sheetData>
  <mergeCells count="3">
    <mergeCell ref="A3:N3"/>
    <mergeCell ref="A4:B4"/>
    <mergeCell ref="C4:N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Marchés</vt:lpstr>
      <vt:lpstr>Bons de commande</vt:lpstr>
      <vt:lpstr>Contrat-Convention de droit com</vt:lpstr>
      <vt:lpstr>Contrats prod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TALEB Nora</dc:creator>
  <dc:description/>
  <cp:lastModifiedBy>fatimazahra LAMAALMA</cp:lastModifiedBy>
  <cp:revision>3</cp:revision>
  <dcterms:created xsi:type="dcterms:W3CDTF">2021-01-08T14:23:18Z</dcterms:created>
  <dcterms:modified xsi:type="dcterms:W3CDTF">2026-06-25T09:32:23Z</dcterms:modified>
  <dc:language>fr-FR</dc:language>
</cp:coreProperties>
</file>