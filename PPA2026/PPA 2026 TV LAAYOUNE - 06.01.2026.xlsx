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Budget 2026\"/>
    </mc:Choice>
  </mc:AlternateContent>
  <bookViews>
    <workbookView xWindow="0" yWindow="615" windowWidth="28800" windowHeight="16095" activeTab="1"/>
  </bookViews>
  <sheets>
    <sheet name="Buddget 2026 Rabat " sheetId="1" r:id="rId1"/>
    <sheet name="Buddget 2026 laayoune" sheetId="4" r:id="rId2"/>
  </sheets>
  <definedNames>
    <definedName name="_xlnm.Print_Area" localSheetId="0">'Buddget 2026 Rabat '!$A$1:$M$47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K42" i="4" l="1"/>
  <c r="K33" i="4"/>
  <c r="I9" i="1"/>
  <c r="I48" i="1" s="1"/>
  <c r="I51" i="1" s="1"/>
</calcChain>
</file>

<file path=xl/sharedStrings.xml><?xml version="1.0" encoding="utf-8"?>
<sst xmlns="http://schemas.openxmlformats.org/spreadsheetml/2006/main" count="489" uniqueCount="168">
  <si>
    <t>Direction / Entité </t>
  </si>
  <si>
    <t>Département</t>
  </si>
  <si>
    <t>Service</t>
  </si>
  <si>
    <t>Nature engagement (Exploitation/Investissement</t>
  </si>
  <si>
    <t>Description</t>
  </si>
  <si>
    <t>Objet de l'engagement</t>
  </si>
  <si>
    <t xml:space="preserve">Besoin (Nouveau / Reconduction) </t>
  </si>
  <si>
    <t>Justification du besoin</t>
  </si>
  <si>
    <t>Délais prévisionnel de réalisation (En mois / Annuel)</t>
  </si>
  <si>
    <t>Estimation du coût (TTC)</t>
  </si>
  <si>
    <t>Type du prestataire (Société/personne physique)</t>
  </si>
  <si>
    <t>EXP</t>
  </si>
  <si>
    <t>Achat de décors et impression pour la mise en scène 
de l'émission "MOSABAQAT AL QURAN ALKARIM"</t>
  </si>
  <si>
    <t>***</t>
  </si>
  <si>
    <t>Société</t>
  </si>
  <si>
    <t>Achat des trophées pour les gagnants de 
l'émission "MOSABAQAT AL QURAN ALKARIM"</t>
  </si>
  <si>
    <t>Moyen</t>
  </si>
  <si>
    <t>Achat d'habillement</t>
  </si>
  <si>
    <t>Important</t>
  </si>
  <si>
    <t>Frais de réception pour la célébration 
de l'anniversaire de la Chaîne TV LAAYOUNE</t>
  </si>
  <si>
    <t>Frais de réception pour la célébration
 de l'anniversaire de la Chaîne TV LAAYOUNE</t>
  </si>
  <si>
    <t>Reconduction</t>
  </si>
  <si>
    <t>Important
Besoin annuel de tv Laayoune</t>
  </si>
  <si>
    <t>Personne physique</t>
  </si>
  <si>
    <r>
      <t>Préparation et présentation d'une émissions intitulée «</t>
    </r>
    <r>
      <rPr>
        <b/>
        <sz val="11"/>
        <color theme="1"/>
        <rFont val="Calibri"/>
        <family val="2"/>
        <scheme val="minor"/>
      </rPr>
      <t xml:space="preserve">AL FADAA ARIYADI </t>
    </r>
    <r>
      <rPr>
        <sz val="11"/>
        <color theme="1"/>
        <rFont val="Calibri"/>
        <family val="2"/>
        <scheme val="minor"/>
      </rPr>
      <t>»</t>
    </r>
  </si>
  <si>
    <t>Contrat / Obligations de cahier de charge article 85</t>
  </si>
  <si>
    <r>
      <t>Préparation  d'une émission intitulée «</t>
    </r>
    <r>
      <rPr>
        <b/>
        <sz val="11"/>
        <color theme="1"/>
        <rFont val="Calibri"/>
        <family val="2"/>
        <scheme val="minor"/>
      </rPr>
      <t xml:space="preserve">AGENDA </t>
    </r>
    <r>
      <rPr>
        <sz val="11"/>
        <color theme="1"/>
        <rFont val="Calibri"/>
        <family val="2"/>
        <scheme val="minor"/>
      </rPr>
      <t>»</t>
    </r>
  </si>
  <si>
    <t>Contrat / Obligations de cahier de charge article 86</t>
  </si>
  <si>
    <r>
      <t>Préparation d'une émission intitulée «</t>
    </r>
    <r>
      <rPr>
        <b/>
        <sz val="11"/>
        <color theme="1"/>
        <rFont val="Calibri"/>
        <family val="2"/>
        <scheme val="minor"/>
      </rPr>
      <t xml:space="preserve">TOURATHK LAK </t>
    </r>
    <r>
      <rPr>
        <sz val="11"/>
        <color theme="1"/>
        <rFont val="Calibri"/>
        <family val="2"/>
        <scheme val="minor"/>
      </rPr>
      <t>»</t>
    </r>
  </si>
  <si>
    <t>Contrat / Obligations de cahier de charge article 90</t>
  </si>
  <si>
    <r>
      <t>Préparation et présentation d'une émission intitulée «</t>
    </r>
    <r>
      <rPr>
        <b/>
        <sz val="11"/>
        <color theme="1"/>
        <rFont val="Calibri"/>
        <family val="2"/>
        <scheme val="minor"/>
      </rPr>
      <t xml:space="preserve">HADITH RAMADAN </t>
    </r>
    <r>
      <rPr>
        <sz val="11"/>
        <color theme="1"/>
        <rFont val="Calibri"/>
        <family val="2"/>
        <scheme val="minor"/>
      </rPr>
      <t>»</t>
    </r>
  </si>
  <si>
    <t>Contrat / Obligations de cahier de charge article 88</t>
  </si>
  <si>
    <r>
      <t>Préparation et présentation d'une émission intitulée «</t>
    </r>
    <r>
      <rPr>
        <b/>
        <sz val="11"/>
        <color theme="1"/>
        <rFont val="Calibri"/>
        <family val="2"/>
        <scheme val="minor"/>
      </rPr>
      <t xml:space="preserve">HIFD ET TAJWID QORAN </t>
    </r>
    <r>
      <rPr>
        <sz val="11"/>
        <color theme="1"/>
        <rFont val="Calibri"/>
        <family val="2"/>
        <scheme val="minor"/>
      </rPr>
      <t>»</t>
    </r>
  </si>
  <si>
    <r>
      <t xml:space="preserve">Production des vidéos clips des </t>
    </r>
    <r>
      <rPr>
        <b/>
        <sz val="11"/>
        <color theme="1"/>
        <rFont val="Calibri"/>
        <family val="2"/>
        <scheme val="minor"/>
      </rPr>
      <t>chansons Hassani Marocaine</t>
    </r>
  </si>
  <si>
    <t>Priorité (Important-Moyen-Faible)
 - A justifier en cas de priorité importante</t>
  </si>
  <si>
    <t>TV LAAYOUNE</t>
  </si>
  <si>
    <t>Prestataire de service de 2 monteur</t>
  </si>
  <si>
    <t>Prestataire de service de 2 Graphistes</t>
  </si>
  <si>
    <t>Prestataire de service d'un technicien de maintenance audiovisuel</t>
  </si>
  <si>
    <t>Prestataire de service d'une Maquilleuse</t>
  </si>
  <si>
    <t>Achats annuels de vêtements pour les présentateurs
 de JT Laayoune et les animateurs des émissions</t>
  </si>
  <si>
    <t>Important
Programme à la grille du Ramadan</t>
  </si>
  <si>
    <t xml:space="preserve">Série (Comédie, Drama social, Historique,  Fantastique en dialecte hassani) </t>
  </si>
  <si>
    <t>Télefeuilleton (Dramatique, Social, Historique)</t>
  </si>
  <si>
    <t>Nouveau</t>
  </si>
  <si>
    <t>Obligations de cahier de charge , Article 90</t>
  </si>
  <si>
    <t>Obligations de cahier de charge ,Article 90</t>
  </si>
  <si>
    <t xml:space="preserve">Obligations de cahier de charge,Article 88 </t>
  </si>
  <si>
    <t>Obligations de cahier de charge ,Article 88</t>
  </si>
  <si>
    <t>Obligations de cahier de charge ,Article 89</t>
  </si>
  <si>
    <t>Besoin annuel de tv Laayoune</t>
  </si>
  <si>
    <t>REVUS DE PRESS ECRITE POUR JT Tv Laayoune</t>
  </si>
  <si>
    <t xml:space="preserve"> Besoin  annuel de tv Laayoune</t>
  </si>
  <si>
    <t>Obligations de cahier de charge ,Article 85</t>
  </si>
  <si>
    <t>Obligations de cahier de charge, Article 85</t>
  </si>
  <si>
    <t>Obligations de cahier de charge ,Article  85</t>
  </si>
  <si>
    <t>Obligations de cahier de charge,Aritcle  85</t>
  </si>
  <si>
    <t>Obligations de cahier de charge,Aritcle  87</t>
  </si>
  <si>
    <t xml:space="preserve">Obligations de cahier de charge , Article 85 </t>
  </si>
  <si>
    <t>Important
habillement pour les présentateurs et le présentatrices de JT</t>
  </si>
  <si>
    <t>49000*4</t>
  </si>
  <si>
    <t>YOUSSEF ZAAOUATI</t>
  </si>
  <si>
    <r>
      <t>Préparation  d'une émission intitulée «</t>
    </r>
    <r>
      <rPr>
        <b/>
        <sz val="11"/>
        <color theme="1"/>
        <rFont val="Calibri"/>
        <family val="2"/>
        <scheme val="minor"/>
      </rPr>
      <t xml:space="preserve">JISR AL IHSAN </t>
    </r>
    <r>
      <rPr>
        <sz val="11"/>
        <color theme="1"/>
        <rFont val="Calibri"/>
        <family val="2"/>
        <scheme val="minor"/>
      </rPr>
      <t xml:space="preserve">» pour </t>
    </r>
    <r>
      <rPr>
        <b/>
        <sz val="11"/>
        <color theme="1"/>
        <rFont val="Calibri"/>
        <family val="2"/>
        <scheme val="minor"/>
      </rPr>
      <t>LAAYOUNE</t>
    </r>
  </si>
  <si>
    <t>SIDI BRAHIM ENNASSRI</t>
  </si>
  <si>
    <r>
      <t>Préparation d'une émission intitulée «</t>
    </r>
    <r>
      <rPr>
        <b/>
        <sz val="11"/>
        <color theme="1"/>
        <rFont val="Calibri"/>
        <family val="2"/>
        <scheme val="minor"/>
      </rPr>
      <t>JISR AL IHSAN</t>
    </r>
    <r>
      <rPr>
        <sz val="11"/>
        <color theme="1"/>
        <rFont val="Calibri"/>
        <family val="2"/>
        <scheme val="minor"/>
      </rPr>
      <t>»</t>
    </r>
  </si>
  <si>
    <r>
      <t>Préparation et présentation d'une émission intitulée «</t>
    </r>
    <r>
      <rPr>
        <b/>
        <sz val="11"/>
        <color theme="1"/>
        <rFont val="Calibri"/>
        <family val="2"/>
        <scheme val="minor"/>
      </rPr>
      <t xml:space="preserve">HIFD ET TAJWID QORAN </t>
    </r>
    <r>
      <rPr>
        <sz val="11"/>
        <color theme="1"/>
        <rFont val="Calibri"/>
        <family val="2"/>
        <scheme val="minor"/>
      </rPr>
      <t xml:space="preserve">» pour </t>
    </r>
    <r>
      <rPr>
        <b/>
        <sz val="11"/>
        <color theme="1"/>
        <rFont val="Calibri"/>
        <family val="2"/>
        <scheme val="minor"/>
      </rPr>
      <t>LAAYOUNE</t>
    </r>
  </si>
  <si>
    <t>ED DARIY ABDESSALAM</t>
  </si>
  <si>
    <r>
      <t>Préparation et présentation d'une émission intitulée «</t>
    </r>
    <r>
      <rPr>
        <b/>
        <sz val="11"/>
        <color theme="1"/>
        <rFont val="Calibri"/>
        <family val="2"/>
        <scheme val="minor"/>
      </rPr>
      <t xml:space="preserve">HADITH RAMADAN </t>
    </r>
    <r>
      <rPr>
        <sz val="11"/>
        <color theme="1"/>
        <rFont val="Calibri"/>
        <family val="2"/>
        <scheme val="minor"/>
      </rPr>
      <t xml:space="preserve">» pour </t>
    </r>
    <r>
      <rPr>
        <b/>
        <sz val="11"/>
        <color theme="1"/>
        <rFont val="Calibri"/>
        <family val="2"/>
        <scheme val="minor"/>
      </rPr>
      <t>LAAYOUNE</t>
    </r>
  </si>
  <si>
    <t>EL OUANNAS MOHAMED</t>
  </si>
  <si>
    <r>
      <t>Préparation d'une émission intitulée «</t>
    </r>
    <r>
      <rPr>
        <b/>
        <sz val="11"/>
        <color theme="1"/>
        <rFont val="Calibri"/>
        <family val="2"/>
        <scheme val="minor"/>
      </rPr>
      <t xml:space="preserve">TOURATHK LAK </t>
    </r>
    <r>
      <rPr>
        <sz val="11"/>
        <color theme="1"/>
        <rFont val="Calibri"/>
        <family val="2"/>
        <scheme val="minor"/>
      </rPr>
      <t xml:space="preserve">» pour </t>
    </r>
    <r>
      <rPr>
        <b/>
        <sz val="11"/>
        <color theme="1"/>
        <rFont val="Calibri"/>
        <family val="2"/>
        <scheme val="minor"/>
      </rPr>
      <t>BOUJDOUR</t>
    </r>
  </si>
  <si>
    <t>CHARRA MOHAMED</t>
  </si>
  <si>
    <r>
      <t>Préparation d'une émission intitulée «</t>
    </r>
    <r>
      <rPr>
        <b/>
        <sz val="11"/>
        <color theme="1"/>
        <rFont val="Calibri"/>
        <family val="2"/>
        <scheme val="minor"/>
      </rPr>
      <t xml:space="preserve">TOURATHK LAK </t>
    </r>
    <r>
      <rPr>
        <sz val="11"/>
        <color theme="1"/>
        <rFont val="Calibri"/>
        <family val="2"/>
        <scheme val="minor"/>
      </rPr>
      <t xml:space="preserve">» pour </t>
    </r>
    <r>
      <rPr>
        <b/>
        <sz val="11"/>
        <color theme="1"/>
        <rFont val="Calibri"/>
        <family val="2"/>
        <scheme val="minor"/>
      </rPr>
      <t>ESSMARA</t>
    </r>
  </si>
  <si>
    <t>EL BAZ M'BAREK</t>
  </si>
  <si>
    <r>
      <t>Préparation  d'une émission intitulée «</t>
    </r>
    <r>
      <rPr>
        <b/>
        <sz val="11"/>
        <color theme="1"/>
        <rFont val="Calibri"/>
        <family val="2"/>
        <scheme val="minor"/>
      </rPr>
      <t xml:space="preserve">AGENDA </t>
    </r>
    <r>
      <rPr>
        <sz val="11"/>
        <color theme="1"/>
        <rFont val="Calibri"/>
        <family val="2"/>
        <scheme val="minor"/>
      </rPr>
      <t xml:space="preserve">» pour </t>
    </r>
    <r>
      <rPr>
        <b/>
        <sz val="11"/>
        <color theme="1"/>
        <rFont val="Calibri"/>
        <family val="2"/>
        <scheme val="minor"/>
      </rPr>
      <t>LAAYOUNE</t>
    </r>
  </si>
  <si>
    <t>BOUAMAMA LAMINNA</t>
  </si>
  <si>
    <r>
      <t>Préparation d'une émissions intitulée «</t>
    </r>
    <r>
      <rPr>
        <b/>
        <sz val="11"/>
        <color theme="1"/>
        <rFont val="Calibri"/>
        <family val="2"/>
        <scheme val="minor"/>
      </rPr>
      <t xml:space="preserve">AL FADAA ARIYADI </t>
    </r>
    <r>
      <rPr>
        <sz val="11"/>
        <color theme="1"/>
        <rFont val="Calibri"/>
        <family val="2"/>
        <scheme val="minor"/>
      </rPr>
      <t xml:space="preserve">» pour </t>
    </r>
    <r>
      <rPr>
        <b/>
        <sz val="11"/>
        <color theme="1"/>
        <rFont val="Calibri"/>
        <family val="2"/>
        <scheme val="minor"/>
      </rPr>
      <t>GUELMIME</t>
    </r>
  </si>
  <si>
    <t>ABAIDA MOUHAMED FADEL</t>
  </si>
  <si>
    <r>
      <t>Préparation d'une émissions intitulée «</t>
    </r>
    <r>
      <rPr>
        <b/>
        <sz val="11"/>
        <color theme="1"/>
        <rFont val="Calibri"/>
        <family val="2"/>
        <scheme val="minor"/>
      </rPr>
      <t xml:space="preserve">AL FADAA ARIYADI </t>
    </r>
    <r>
      <rPr>
        <sz val="11"/>
        <color theme="1"/>
        <rFont val="Calibri"/>
        <family val="2"/>
        <scheme val="minor"/>
      </rPr>
      <t xml:space="preserve">» pour </t>
    </r>
    <r>
      <rPr>
        <b/>
        <sz val="11"/>
        <color theme="1"/>
        <rFont val="Calibri"/>
        <family val="2"/>
        <scheme val="minor"/>
      </rPr>
      <t>ESSMARA</t>
    </r>
  </si>
  <si>
    <t>MAYARA AOMAR</t>
  </si>
  <si>
    <r>
      <t>Préparation d'une émissions intitulée «</t>
    </r>
    <r>
      <rPr>
        <b/>
        <sz val="11"/>
        <color theme="1"/>
        <rFont val="Calibri"/>
        <family val="2"/>
        <scheme val="minor"/>
      </rPr>
      <t xml:space="preserve">AL FADAA ARIYADI </t>
    </r>
    <r>
      <rPr>
        <sz val="11"/>
        <color theme="1"/>
        <rFont val="Calibri"/>
        <family val="2"/>
        <scheme val="minor"/>
      </rPr>
      <t xml:space="preserve">» pour </t>
    </r>
    <r>
      <rPr>
        <b/>
        <sz val="11"/>
        <color theme="1"/>
        <rFont val="Calibri"/>
        <family val="2"/>
        <scheme val="minor"/>
      </rPr>
      <t>LAAYOUNE</t>
    </r>
  </si>
  <si>
    <t>LAMGHAYFRI NAYMA</t>
  </si>
  <si>
    <r>
      <t>Préparation et présentation d'une émissions intitulée «</t>
    </r>
    <r>
      <rPr>
        <b/>
        <sz val="11"/>
        <color theme="1"/>
        <rFont val="Calibri"/>
        <family val="2"/>
        <scheme val="minor"/>
      </rPr>
      <t xml:space="preserve">AL FADAA ARIYADI </t>
    </r>
    <r>
      <rPr>
        <sz val="11"/>
        <color theme="1"/>
        <rFont val="Calibri"/>
        <family val="2"/>
        <scheme val="minor"/>
      </rPr>
      <t xml:space="preserve">» pour </t>
    </r>
    <r>
      <rPr>
        <b/>
        <sz val="11"/>
        <color theme="1"/>
        <rFont val="Calibri"/>
        <family val="2"/>
        <scheme val="minor"/>
      </rPr>
      <t>LAAYOUNE</t>
    </r>
  </si>
  <si>
    <t>BATTAH MOHAMED</t>
  </si>
  <si>
    <t>JEDAD ABDALLAH</t>
  </si>
  <si>
    <r>
      <t xml:space="preserve">Reconduction du contrat / Besoin  annuel de tv Laayoune pour </t>
    </r>
    <r>
      <rPr>
        <b/>
        <sz val="11"/>
        <color rgb="FF000000"/>
        <rFont val="Calibri"/>
        <family val="2"/>
      </rPr>
      <t>LAAYOUNE</t>
    </r>
  </si>
  <si>
    <t>OM ESSAAD LOULOUD</t>
  </si>
  <si>
    <t>SALAMA KAROUM</t>
  </si>
  <si>
    <t>MOHAMED TANTAOUI</t>
  </si>
  <si>
    <t>SOUFIAN BOUKS</t>
  </si>
  <si>
    <r>
      <t>Reconduction du contrat / Besoin  annuel de tv Laayoune pour</t>
    </r>
    <r>
      <rPr>
        <b/>
        <sz val="11"/>
        <color rgb="FF000000"/>
        <rFont val="Calibri"/>
        <family val="2"/>
      </rPr>
      <t xml:space="preserve"> LAAYOUNE</t>
    </r>
  </si>
  <si>
    <t>EL MAHJOUB TAHRA</t>
  </si>
  <si>
    <r>
      <t xml:space="preserve">Reconduction du contrat / Besoin  annuel de tv Laayoune pour </t>
    </r>
    <r>
      <rPr>
        <b/>
        <sz val="11"/>
        <color rgb="FF000000"/>
        <rFont val="Calibri"/>
        <family val="2"/>
      </rPr>
      <t>GUELMIME</t>
    </r>
  </si>
  <si>
    <t>MOHAMED ASSERRAR</t>
  </si>
  <si>
    <t>KHALID TRAIKZI</t>
  </si>
  <si>
    <r>
      <t xml:space="preserve">Reconduction du contrat / Besoin  annuel de tv Laayoune pour </t>
    </r>
    <r>
      <rPr>
        <b/>
        <sz val="11"/>
        <color rgb="FF000000"/>
        <rFont val="Calibri"/>
        <family val="2"/>
      </rPr>
      <t>TANTAN</t>
    </r>
  </si>
  <si>
    <t>ABDERRAHMANE HAJI</t>
  </si>
  <si>
    <t>MOHAMED RACHIDI</t>
  </si>
  <si>
    <t>TOURAD EL BOUSATI</t>
  </si>
  <si>
    <t>BOUJEMAA ZAOUI</t>
  </si>
  <si>
    <t>Total Estimation du coût (TTC)</t>
  </si>
  <si>
    <t>Non et prénom du prestataire</t>
  </si>
  <si>
    <t xml:space="preserve">Prestataire de service  de  4  Cameraman </t>
  </si>
  <si>
    <t>Frais de réception  pour les invites de Tv Laayoune</t>
  </si>
  <si>
    <t xml:space="preserve">Frais de réception annuel </t>
  </si>
  <si>
    <t>Prestataire de service d'un  verificateur-PAD</t>
  </si>
  <si>
    <t xml:space="preserve">Contrat de prestataire avec deux techniciens informatique ou audiovisuel </t>
  </si>
  <si>
    <t xml:space="preserve">Besoin des techniciens qualifiés pour les nouveaux projets de la SNRT à Laayoune TV, parce qu'elle ne dispose pas d'un informaticien ou d'un technicien polyvalent pour suivre ces projets
</t>
  </si>
  <si>
    <t>Contrat de prestataire avec deux techniciens informatique ou audiovisuel (projet forja - la pige - portail tv laayoune sur le site web www.snrt.ma - les réseaux sociaux de tv laayoune )</t>
  </si>
  <si>
    <r>
      <t xml:space="preserve">Preparation et presentation de l'emission </t>
    </r>
    <r>
      <rPr>
        <b/>
        <sz val="14"/>
        <color theme="1"/>
        <rFont val="Calibri"/>
        <family val="2"/>
        <scheme val="minor"/>
      </rPr>
      <t>"TOURATHAK LAK"</t>
    </r>
  </si>
  <si>
    <r>
      <t xml:space="preserve">Nom du Prestataire : </t>
    </r>
    <r>
      <rPr>
        <b/>
        <u/>
        <sz val="14"/>
        <color theme="1"/>
        <rFont val="Calibri"/>
        <family val="2"/>
        <scheme val="minor"/>
      </rPr>
      <t>AMGHAYER EL MOUGUAF</t>
    </r>
  </si>
  <si>
    <r>
      <t>Preparation et presentation de l'emission</t>
    </r>
    <r>
      <rPr>
        <b/>
        <sz val="14"/>
        <color theme="1"/>
        <rFont val="Calibri"/>
        <family val="2"/>
        <scheme val="minor"/>
      </rPr>
      <t>"HADIT AL MADINA"</t>
    </r>
  </si>
  <si>
    <r>
      <t>Nom du Prestataire :</t>
    </r>
    <r>
      <rPr>
        <b/>
        <u/>
        <sz val="14"/>
        <color theme="1"/>
        <rFont val="Calibri"/>
        <family val="2"/>
        <scheme val="minor"/>
      </rPr>
      <t xml:space="preserve"> MAHMOUD AIYACH</t>
    </r>
  </si>
  <si>
    <r>
      <t>Preparation et presentation de l'emission</t>
    </r>
    <r>
      <rPr>
        <b/>
        <sz val="14"/>
        <color theme="1"/>
        <rFont val="Calibri"/>
        <family val="2"/>
        <scheme val="minor"/>
      </rPr>
      <t xml:space="preserve"> "MAA ANAS"</t>
    </r>
  </si>
  <si>
    <r>
      <t>Nom du Prestataire :</t>
    </r>
    <r>
      <rPr>
        <b/>
        <u/>
        <sz val="14"/>
        <color theme="1"/>
        <rFont val="Calibri"/>
        <family val="2"/>
        <scheme val="minor"/>
      </rPr>
      <t xml:space="preserve">BOUJDOUR SALEK </t>
    </r>
  </si>
  <si>
    <r>
      <t>Nom du Prestataire :</t>
    </r>
    <r>
      <rPr>
        <b/>
        <u/>
        <sz val="14"/>
        <color theme="1"/>
        <rFont val="Calibri"/>
        <family val="2"/>
        <scheme val="minor"/>
      </rPr>
      <t>OMARI YASSINE</t>
    </r>
  </si>
  <si>
    <r>
      <t>Nom du Prestataire :</t>
    </r>
    <r>
      <rPr>
        <b/>
        <u/>
        <sz val="14"/>
        <color theme="1"/>
        <rFont val="Calibri"/>
        <family val="2"/>
        <scheme val="minor"/>
      </rPr>
      <t>EDDAH MARYEM</t>
    </r>
  </si>
  <si>
    <r>
      <t>Conception ,Préparation,réalisation et présentation d'une Documentaire  de decouvert sur le sahara en PAD intitulée «</t>
    </r>
    <r>
      <rPr>
        <b/>
        <sz val="14"/>
        <color rgb="FF002060"/>
        <rFont val="Calibri"/>
        <family val="2"/>
      </rPr>
      <t xml:space="preserve">AMNIR </t>
    </r>
    <r>
      <rPr>
        <sz val="14"/>
        <color rgb="FF002060"/>
        <rFont val="Calibri"/>
        <family val="2"/>
      </rPr>
      <t>»</t>
    </r>
  </si>
  <si>
    <r>
      <t xml:space="preserve">Conception ,Préparation,réalisation et présentation des  soirées musicales en COPRODUCTION intitulée « </t>
    </r>
    <r>
      <rPr>
        <b/>
        <sz val="14"/>
        <color rgb="FF002060"/>
        <rFont val="Calibri"/>
        <family val="2"/>
      </rPr>
      <t>LAYALI AOZAAOUANE</t>
    </r>
    <r>
      <rPr>
        <sz val="14"/>
        <color rgb="FF002060"/>
        <rFont val="Calibri"/>
        <family val="2"/>
      </rPr>
      <t xml:space="preserve"> »</t>
    </r>
  </si>
  <si>
    <r>
      <t>Exécution de la production en COP et Cession exclusive à la SNRT par l’auteur des droits d’auteurs patrimoniaux et les droits de toute utilisation dérivée du concept et des images relatifs à l'émission de jeu  intitulée : "</t>
    </r>
    <r>
      <rPr>
        <b/>
        <u/>
        <sz val="14"/>
        <color rgb="FF002060"/>
        <rFont val="Calibri"/>
        <family val="2"/>
      </rPr>
      <t>AL JAMAL BIMA HAMAL</t>
    </r>
    <r>
      <rPr>
        <sz val="14"/>
        <color rgb="FF002060"/>
        <rFont val="Calibri"/>
        <family val="2"/>
      </rPr>
      <t xml:space="preserve"> " </t>
    </r>
  </si>
  <si>
    <r>
      <t>Conception ,Préparation,réalisation et présentation d'une emission  religieuse en PAD intitulée</t>
    </r>
    <r>
      <rPr>
        <b/>
        <sz val="14"/>
        <color rgb="FF002060"/>
        <rFont val="Calibri"/>
        <family val="2"/>
      </rPr>
      <t xml:space="preserve"> «KADAYA RAMADANIA »</t>
    </r>
  </si>
  <si>
    <r>
      <t>Exécution de la production en COP et Cession exclusive à la SNRT par l’auteur des droits d’auteurs patrimoniaux et les droits de toute utilisation dérivée du concept et des images relatifs à l'émission de jeu ntitulée : "</t>
    </r>
    <r>
      <rPr>
        <b/>
        <u/>
        <sz val="14"/>
        <color rgb="FF002060"/>
        <rFont val="Calibri"/>
        <family val="2"/>
      </rPr>
      <t>SIBAK AL KAWAFI</t>
    </r>
    <r>
      <rPr>
        <sz val="14"/>
        <color rgb="FF002060"/>
        <rFont val="Calibri"/>
        <family val="2"/>
      </rPr>
      <t xml:space="preserve"> " </t>
    </r>
  </si>
  <si>
    <r>
      <t xml:space="preserve">Conception ,Préparation,réalisation et présentation des soirees amdah nabawia en PAD intitulée </t>
    </r>
    <r>
      <rPr>
        <b/>
        <sz val="14"/>
        <color rgb="FF002060"/>
        <rFont val="Calibri"/>
        <family val="2"/>
      </rPr>
      <t>«BISMELLAH LAHI NAMDEH »</t>
    </r>
  </si>
  <si>
    <r>
      <t>Exécution de la production en PAD et Cession exclusive à la SNRT par l’auteur des droits d’auteurs patrimoniaux et les droits de toute utilisation dérivée du concept et des images relatifs à l'émission de jeu ntitulée : "</t>
    </r>
    <r>
      <rPr>
        <b/>
        <u/>
        <sz val="14"/>
        <color rgb="FF002060"/>
        <rFont val="Calibri"/>
        <family val="2"/>
      </rPr>
      <t>AL MAHDARA</t>
    </r>
    <r>
      <rPr>
        <sz val="14"/>
        <color rgb="FF002060"/>
        <rFont val="Calibri"/>
        <family val="2"/>
      </rPr>
      <t xml:space="preserve"> " </t>
    </r>
  </si>
  <si>
    <r>
      <t>Conception ,Préparation,réalisation et présentation d'une emission famille en PAD intitulée «</t>
    </r>
    <r>
      <rPr>
        <b/>
        <u/>
        <sz val="14"/>
        <color rgb="FF002060"/>
        <rFont val="Calibri"/>
        <family val="2"/>
      </rPr>
      <t>HOUZMATE RAMADAN</t>
    </r>
    <r>
      <rPr>
        <u/>
        <sz val="14"/>
        <color rgb="FF002060"/>
        <rFont val="Calibri"/>
        <family val="2"/>
      </rPr>
      <t xml:space="preserve"> »</t>
    </r>
  </si>
  <si>
    <r>
      <t xml:space="preserve">Exécution de la production en PAD et Cession exclusive à la SNRT par l’auteur des droits d’auteurs patrimoniaux et les droits de toute utilisation dérivée du concept et des images relatifs à l'émission de sensibilisation santé " </t>
    </r>
    <r>
      <rPr>
        <b/>
        <u/>
        <sz val="14"/>
        <color rgb="FF002060"/>
        <rFont val="Calibri"/>
        <family val="2"/>
      </rPr>
      <t>SIHATOUKA FI RAMADAN</t>
    </r>
    <r>
      <rPr>
        <sz val="14"/>
        <color rgb="FF002060"/>
        <rFont val="Calibri"/>
        <family val="2"/>
      </rPr>
      <t xml:space="preserve">".  </t>
    </r>
  </si>
  <si>
    <r>
      <t>Exécution de la production en PAD et Cession exclusive à la SNRT par l’auteur des droits d’auteurs patrimoniaux et les droits de toute utilisation dérivée du concept et des images relatifs à l'émission patrimoine ntitulée : "</t>
    </r>
    <r>
      <rPr>
        <b/>
        <u/>
        <sz val="14"/>
        <color rgb="FF002060"/>
        <rFont val="Calibri"/>
        <family val="2"/>
      </rPr>
      <t>LYALI L FRIK</t>
    </r>
    <r>
      <rPr>
        <sz val="14"/>
        <color rgb="FF002060"/>
        <rFont val="Calibri"/>
        <family val="2"/>
      </rPr>
      <t xml:space="preserve"> "</t>
    </r>
  </si>
  <si>
    <r>
      <t xml:space="preserve">Exécution de la production enPAD et Cession exclusive à la SNRT par l’auteur des droits d’auteurs patrimoniaux et les droits de toute utilisation dérivée du concept et des images relatifs à l'émission culinaire " </t>
    </r>
    <r>
      <rPr>
        <b/>
        <u/>
        <sz val="14"/>
        <color rgb="FF002060"/>
        <rFont val="Calibri"/>
        <family val="2"/>
      </rPr>
      <t>AL MAIDA SAHRAWIYA</t>
    </r>
    <r>
      <rPr>
        <sz val="14"/>
        <color rgb="FF002060"/>
        <rFont val="Calibri"/>
        <family val="2"/>
      </rPr>
      <t xml:space="preserve">".  </t>
    </r>
  </si>
  <si>
    <r>
      <t>Conception ,Préparation,réalisation et présentation d'une emission pour femmes en PAD intitulée «</t>
    </r>
    <r>
      <rPr>
        <b/>
        <u/>
        <sz val="14"/>
        <color rgb="FF002060"/>
        <rFont val="Calibri"/>
        <family val="2"/>
      </rPr>
      <t>LAMASSATE NISSAIYA</t>
    </r>
    <r>
      <rPr>
        <sz val="14"/>
        <color rgb="FF002060"/>
        <rFont val="Calibri"/>
        <family val="2"/>
      </rPr>
      <t xml:space="preserve"> »</t>
    </r>
  </si>
  <si>
    <r>
      <t>Conception ,Préparation,réalisation et présentation d'une Documentaire  de decouvert sur le sahara en PAD intitulée «</t>
    </r>
    <r>
      <rPr>
        <b/>
        <sz val="14"/>
        <color rgb="FF002060"/>
        <rFont val="Calibri"/>
        <family val="2"/>
      </rPr>
      <t>AMAJBOUR</t>
    </r>
    <r>
      <rPr>
        <sz val="14"/>
        <color rgb="FF002060"/>
        <rFont val="Calibri"/>
        <family val="2"/>
      </rPr>
      <t xml:space="preserve"> »</t>
    </r>
  </si>
  <si>
    <r>
      <t>Conception ,Préparation,réalisation et présentation d'une emission  de jeu culturel  en Coprod intitulée «</t>
    </r>
    <r>
      <rPr>
        <b/>
        <sz val="14"/>
        <color rgb="FF002060"/>
        <rFont val="Calibri"/>
        <family val="2"/>
      </rPr>
      <t>AL FAICHE EX</t>
    </r>
    <r>
      <rPr>
        <sz val="14"/>
        <color rgb="FF002060"/>
        <rFont val="Calibri"/>
        <family val="2"/>
      </rPr>
      <t>-</t>
    </r>
    <r>
      <rPr>
        <b/>
        <sz val="14"/>
        <color rgb="FF002060"/>
        <rFont val="Calibri"/>
        <family val="2"/>
      </rPr>
      <t>AL FARIH</t>
    </r>
    <r>
      <rPr>
        <sz val="14"/>
        <color rgb="FF002060"/>
        <rFont val="Calibri"/>
        <family val="2"/>
      </rPr>
      <t>»</t>
    </r>
  </si>
  <si>
    <r>
      <t>Conception ,Préparation,réalisation et présentation d'une Documentaire  de decouvert sur le sahara en PAD intitulée «</t>
    </r>
    <r>
      <rPr>
        <b/>
        <sz val="14"/>
        <color indexed="56"/>
        <rFont val="Comic Sans MS"/>
        <family val="4"/>
      </rPr>
      <t>SAFAR WA ISTIKCHAF ABRA SAHRA</t>
    </r>
    <r>
      <rPr>
        <sz val="14"/>
        <color indexed="56"/>
        <rFont val="Comic Sans MS"/>
        <family val="4"/>
      </rPr>
      <t xml:space="preserve"> »</t>
    </r>
  </si>
  <si>
    <r>
      <t>Conception ,Préparation,réalisation et présentation d'une émission SUR LE PATRIMOINE ET LA CULTURE HASSANI en – PAD- intitulée :</t>
    </r>
    <r>
      <rPr>
        <b/>
        <sz val="14"/>
        <color indexed="56"/>
        <rFont val="Comic Sans MS"/>
        <family val="4"/>
      </rPr>
      <t>« GHAB O JAB »</t>
    </r>
  </si>
  <si>
    <r>
      <t>Conception ,Préparation,réalisation et présentation d'une émission SUR LE PATRIMOINE ET LA CULTURE HASSANI en – PAD- intitulée :</t>
    </r>
    <r>
      <rPr>
        <b/>
        <sz val="14"/>
        <color indexed="56"/>
        <rFont val="Comic Sans MS"/>
        <family val="4"/>
      </rPr>
      <t>« MAA NAHA »</t>
    </r>
  </si>
  <si>
    <r>
      <t xml:space="preserve">Conception ,Préparation,réalisation et présentation d'une émission SUR LE PATRIMOINE ET LA CULTURE HASSANI en – PAD- intitulée :« </t>
    </r>
    <r>
      <rPr>
        <b/>
        <sz val="14"/>
        <color indexed="56"/>
        <rFont val="Comic Sans MS"/>
        <family val="4"/>
      </rPr>
      <t>ICHOUF A CHIBANI</t>
    </r>
    <r>
      <rPr>
        <sz val="14"/>
        <color indexed="56"/>
        <rFont val="Comic Sans MS"/>
        <family val="4"/>
      </rPr>
      <t xml:space="preserve"> »</t>
    </r>
  </si>
  <si>
    <t xml:space="preserve">Obligations de cahier de charge: article 90 </t>
  </si>
  <si>
    <t>Obligations de cahier de charge,Article 90  + Ramadan 2026</t>
  </si>
  <si>
    <t>Obligations de cahier de charge,Article 90 + Ramadan 2026</t>
  </si>
  <si>
    <t>Important
Programme à la grille du Ramadan 2026  et la grille de Tv Laayoune</t>
  </si>
  <si>
    <t>Prestatire de service de la mission de chargée de la auto-promotion</t>
  </si>
  <si>
    <r>
      <t>Exécution de la production d’une émission artistique en PAD intitulée : -</t>
    </r>
    <r>
      <rPr>
        <b/>
        <sz val="14"/>
        <color indexed="56"/>
        <rFont val="Comic Sans MS"/>
        <family val="4"/>
      </rPr>
      <t>ICHOUF A CHIBANI-</t>
    </r>
  </si>
  <si>
    <t>Expression des besoins à budgétiser au titre de l'année 2026</t>
  </si>
  <si>
    <t>Année 2026</t>
  </si>
  <si>
    <t>janvier 2026</t>
  </si>
  <si>
    <t>Janvier 2026</t>
  </si>
  <si>
    <t xml:space="preserve">Renouvellement des decors </t>
  </si>
  <si>
    <r>
      <t xml:space="preserve">Fabrication de decor et conception d'habillage  de l'émission </t>
    </r>
    <r>
      <rPr>
        <b/>
        <sz val="11"/>
        <color rgb="FF000000"/>
        <rFont val="Calibri"/>
        <family val="2"/>
      </rPr>
      <t>"AL FADAA RIYADI</t>
    </r>
    <r>
      <rPr>
        <sz val="11"/>
        <color rgb="FF000000"/>
        <rFont val="Calibri"/>
        <family val="2"/>
      </rPr>
      <t>".</t>
    </r>
  </si>
  <si>
    <t>Important
Programme à la grille du Ramadan 2027  et la grille de Tv Laayoune</t>
  </si>
  <si>
    <t>Important
Programme à la grille 2026 de Tv Laayoune</t>
  </si>
  <si>
    <t>Fabrication de decor et conception d'habillage  de l'émission "AL FADAA ARIYADI".</t>
  </si>
  <si>
    <t>Fourniture d'antennes paraboliques pour les locaux techique de TV Laayoune</t>
  </si>
  <si>
    <t>Le système de réception satellitaire de TV Laâyoune, installé en 2016, est aujourd’hui totalement hors service à cause de la rouille qui a fortement endommagé les paraboles. Pour rétablir la réception des signaux et assurer un service fiable et durable, il est nécessaire de remplacer ces paraboles par de nouvelles, avec l’ajout de multiswitchs pour mieux distribuer les signaux vers les locaux techniques.</t>
  </si>
  <si>
    <t xml:space="preserve">Important
</t>
  </si>
  <si>
    <t>Fourniture et installation de cinq (5) moniteurs TV pour decor actuel de JT et la regie Production</t>
  </si>
  <si>
    <t>La fourniture et l’installation de cinq (5) moniteurs TV sont nécessaires pour remplacer les écrans du décor en studio ainsi que ceux du mur d’images de la régie de production, actuellement hors service.</t>
  </si>
  <si>
    <t>…....</t>
  </si>
  <si>
    <t>…...</t>
  </si>
  <si>
    <t>Fabrication de decor et conception d'habillage  de l'émission "AAOYON ALMAGHRIB ".</t>
  </si>
  <si>
    <t>NOVEAU</t>
  </si>
  <si>
    <t>Achat de trophées pour l'émission 
"MOSABAQAT AL QURAN ALKARIM" pour l'année 14472026</t>
  </si>
  <si>
    <t>Prestation d'impression pour la mise en scène de l'émission
 "MOSABAQAT AL QURAN ALKARIM" pour l'année 1447/2026</t>
  </si>
  <si>
    <t>Frais de restauration pour les repas de Ftour et Shour du mois 
RAMADAN 1447/2026</t>
  </si>
  <si>
    <t>Rupture de jeûne et repas de shour du personnel du SNRT TV Laâyoune, 
Centre émetteur TV/FM Laâyoune et station régionale du Radio Laâyoune du mois sacré du Ramadan 1447/2026</t>
  </si>
  <si>
    <r>
      <t>Preparation et presentation de l'emission</t>
    </r>
    <r>
      <rPr>
        <b/>
        <sz val="14"/>
        <color theme="1"/>
        <rFont val="Calibri"/>
        <family val="2"/>
        <scheme val="minor"/>
      </rPr>
      <t xml:space="preserve"> "AAYOUNE ALMAGHRIB "</t>
    </r>
  </si>
  <si>
    <t>Nom du Prestataire :KARIM ABDELKBIR</t>
  </si>
  <si>
    <t>Préparation d'une émission d´actualites</t>
  </si>
  <si>
    <t>depl</t>
  </si>
  <si>
    <t>Budget DF</t>
  </si>
  <si>
    <t>Besoin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</si>
</sst>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 #,##0.00_)_ ;_ * \(#,##0.00\)_ ;_ * &quot;-&quot;??_)_ ;_ @_ "/>
  </numFmts>
  <fonts count="28" x14ac:knownFonts="1">
    <font>
      <sz val="11"/>
      <color theme="1"/>
      <name val="Calibri"/>
      <family val="2"/>
      <scheme val="minor"/>
    </font>
    <font>
      <sz val="12"/>
      <color theme="1"/>
      <name val="Book Antiqua"/>
      <family val="1"/>
    </font>
    <font>
      <b/>
      <sz val="14"/>
      <color theme="1"/>
      <name val="Book Antiqua"/>
      <family val="1"/>
    </font>
    <font>
      <b/>
      <sz val="13"/>
      <color theme="1"/>
      <name val="Book Antiqua"/>
      <family val="1"/>
    </font>
    <font>
      <b/>
      <sz val="18"/>
      <color theme="1"/>
      <name val="Book Antiqua"/>
      <family val="1"/>
    </font>
    <font>
      <sz val="14"/>
      <color theme="1"/>
      <name val="Book Antiqua"/>
      <family val="1"/>
    </font>
    <font>
      <b/>
      <sz val="11"/>
      <color theme="1"/>
      <name val="Calibri"/>
      <family val="2"/>
      <scheme val="minor"/>
    </font>
    <font>
      <sz val="11"/>
      <color rgb="FF000000"/>
      <name val="Calibri"/>
      <family val="2"/>
    </font>
    <font>
      <b/>
      <sz val="11"/>
      <color rgb="FF000000"/>
      <name val="Calibri"/>
      <family val="2"/>
      <scheme val="minor"/>
    </font>
    <font>
      <sz val="11"/>
      <name val="Calibri"/>
      <family val="2"/>
    </font>
    <font>
      <sz val="8"/>
      <name val="Calibri"/>
      <family val="2"/>
      <scheme val="minor"/>
    </font>
    <font>
      <b/>
      <sz val="12"/>
      <color theme="1"/>
      <name val="Book Antiqua"/>
      <family val="1"/>
    </font>
    <font>
      <b/>
      <sz val="11"/>
      <color rgb="FF000000"/>
      <name val="Calibri"/>
      <family val="2"/>
    </font>
    <font>
      <b/>
      <sz val="14"/>
      <name val="Calibri"/>
      <family val="2"/>
    </font>
    <font>
      <sz val="14"/>
      <color theme="1"/>
      <name val="Calibri"/>
      <family val="2"/>
      <scheme val="minor"/>
    </font>
    <font>
      <b/>
      <sz val="14"/>
      <color theme="1"/>
      <name val="Calibri"/>
      <family val="2"/>
      <scheme val="minor"/>
    </font>
    <font>
      <b/>
      <u/>
      <sz val="14"/>
      <color theme="1"/>
      <name val="Calibri"/>
      <family val="2"/>
      <scheme val="minor"/>
    </font>
    <font>
      <sz val="14"/>
      <name val="Calibri"/>
      <family val="2"/>
    </font>
    <font>
      <b/>
      <sz val="14"/>
      <color rgb="FF000000"/>
      <name val="Calibri"/>
      <family val="2"/>
      <scheme val="minor"/>
    </font>
    <font>
      <sz val="14"/>
      <color rgb="FF000000"/>
      <name val="Calibri"/>
      <family val="2"/>
    </font>
    <font>
      <sz val="14"/>
      <color rgb="FF002060"/>
      <name val="Calibri"/>
      <family val="2"/>
    </font>
    <font>
      <b/>
      <sz val="14"/>
      <color rgb="FF002060"/>
      <name val="Calibri"/>
      <family val="2"/>
    </font>
    <font>
      <b/>
      <u/>
      <sz val="14"/>
      <color rgb="FF002060"/>
      <name val="Calibri"/>
      <family val="2"/>
    </font>
    <font>
      <u/>
      <sz val="14"/>
      <color rgb="FF002060"/>
      <name val="Calibri"/>
      <family val="2"/>
    </font>
    <font>
      <b/>
      <sz val="14"/>
      <color indexed="56"/>
      <name val="Comic Sans MS"/>
      <family val="4"/>
    </font>
    <font>
      <sz val="14"/>
      <color indexed="56"/>
      <name val="Comic Sans MS"/>
      <family val="4"/>
    </font>
    <font>
      <b/>
      <sz val="16"/>
      <color theme="1"/>
      <name val="Book Antiqua"/>
      <family val="1"/>
    </font>
    <font>
      <sz val="11"/>
      <color theme="1"/>
      <name val="Calibri"/>
      <family val="2"/>
      <scheme val="minor"/>
    </font>
  </fonts>
  <fills count="9">
    <fill>
      <patternFill patternType="none"/>
    </fill>
    <fill>
      <patternFill patternType="gray125"/>
    </fill>
    <fill>
      <patternFill patternType="solid">
        <fgColor rgb="FFFFFFCC"/>
        <bgColor indexed="64"/>
      </patternFill>
    </fill>
    <fill>
      <patternFill patternType="solid">
        <fgColor rgb="FFCCFFFF"/>
        <bgColor indexed="64"/>
      </patternFill>
    </fill>
    <fill>
      <patternFill patternType="solid">
        <fgColor rgb="FFCCFF99"/>
        <bgColor indexed="64"/>
      </patternFill>
    </fill>
    <fill>
      <patternFill patternType="solid">
        <fgColor rgb="FF00B0F0"/>
        <bgColor indexed="64"/>
      </patternFill>
    </fill>
    <fill>
      <patternFill patternType="solid">
        <fgColor rgb="FFCCCCFF"/>
        <bgColor indexed="64"/>
      </patternFill>
    </fill>
    <fill>
      <patternFill patternType="solid">
        <fgColor theme="5" tint="-0.249977111117893"/>
        <bgColor indexed="64"/>
      </patternFill>
    </fill>
    <fill>
      <patternFill patternType="solid">
        <fgColor rgb="FFFF00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indexed="64"/>
      </left>
      <right style="medium">
        <color indexed="64"/>
      </right>
      <top style="thin">
        <color indexed="64"/>
      </top>
      <bottom style="thin">
        <color indexed="64"/>
      </bottom>
      <diagonal/>
    </border>
    <border>
      <left style="thin">
        <color auto="1"/>
      </left>
      <right style="thin">
        <color auto="1"/>
      </right>
      <top/>
      <bottom style="thin">
        <color auto="1"/>
      </bottom>
      <diagonal/>
    </border>
    <border>
      <left style="thin">
        <color auto="1"/>
      </left>
      <right style="thin">
        <color auto="1"/>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164" fontId="27" fillId="0" borderId="0" applyFont="0" applyFill="0" applyBorder="0" applyAlignment="0" applyProtection="0"/>
  </cellStyleXfs>
  <cellXfs count="89">
    <xf numFmtId="0" fontId="0" fillId="0" borderId="0" xfId="0"/>
    <xf numFmtId="0" fontId="1" fillId="0" borderId="0" xfId="0" applyFont="1" applyAlignment="1">
      <alignment horizontal="center" vertical="center"/>
    </xf>
    <xf numFmtId="0" fontId="3"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2" fillId="0" borderId="1" xfId="0" applyFont="1" applyBorder="1" applyAlignment="1">
      <alignment horizontal="center" vertical="center"/>
    </xf>
    <xf numFmtId="0" fontId="5" fillId="0" borderId="1" xfId="0" applyFont="1" applyBorder="1" applyAlignment="1">
      <alignment horizontal="center" vertical="center"/>
    </xf>
    <xf numFmtId="0" fontId="0" fillId="3" borderId="9" xfId="0" applyFill="1" applyBorder="1" applyAlignment="1">
      <alignment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4" fontId="8" fillId="3" borderId="1" xfId="0" applyNumberFormat="1" applyFont="1" applyFill="1" applyBorder="1" applyAlignment="1">
      <alignment horizontal="center" vertical="center"/>
    </xf>
    <xf numFmtId="0" fontId="7" fillId="3" borderId="1" xfId="0" applyFont="1" applyFill="1" applyBorder="1" applyAlignment="1">
      <alignment vertical="center" wrapText="1"/>
    </xf>
    <xf numFmtId="17" fontId="1" fillId="3" borderId="1" xfId="0" applyNumberFormat="1" applyFont="1" applyFill="1" applyBorder="1" applyAlignment="1">
      <alignment horizontal="center" vertical="center"/>
    </xf>
    <xf numFmtId="0" fontId="9" fillId="3" borderId="1" xfId="0" applyFont="1" applyFill="1" applyBorder="1" applyAlignment="1">
      <alignment vertical="center" wrapText="1"/>
    </xf>
    <xf numFmtId="0" fontId="11" fillId="0" borderId="1" xfId="0" applyFont="1" applyBorder="1" applyAlignment="1">
      <alignment horizontal="center" vertical="center"/>
    </xf>
    <xf numFmtId="49" fontId="0" fillId="3" borderId="9" xfId="0" applyNumberFormat="1" applyFill="1" applyBorder="1" applyAlignment="1">
      <alignment horizontal="center" vertical="center" wrapText="1"/>
    </xf>
    <xf numFmtId="0" fontId="1" fillId="3" borderId="1" xfId="0" applyFont="1" applyFill="1" applyBorder="1" applyAlignment="1">
      <alignment horizontal="left" vertical="center"/>
    </xf>
    <xf numFmtId="0" fontId="0" fillId="3" borderId="9" xfId="0" applyFill="1" applyBorder="1" applyAlignment="1">
      <alignment horizontal="center" vertical="center" wrapText="1"/>
    </xf>
    <xf numFmtId="4" fontId="8" fillId="6" borderId="1" xfId="0" applyNumberFormat="1" applyFont="1" applyFill="1" applyBorder="1" applyAlignment="1">
      <alignment horizontal="center" vertical="center"/>
    </xf>
    <xf numFmtId="0" fontId="1" fillId="6" borderId="1" xfId="0" applyFont="1" applyFill="1" applyBorder="1" applyAlignment="1">
      <alignment horizontal="center" vertical="center"/>
    </xf>
    <xf numFmtId="0" fontId="1" fillId="6" borderId="1" xfId="0" applyFont="1" applyFill="1" applyBorder="1" applyAlignment="1">
      <alignment horizontal="center" vertical="center" wrapText="1"/>
    </xf>
    <xf numFmtId="0" fontId="7" fillId="6" borderId="1" xfId="0" applyFont="1" applyFill="1" applyBorder="1" applyAlignment="1">
      <alignment vertical="center"/>
    </xf>
    <xf numFmtId="0" fontId="1" fillId="6" borderId="1" xfId="0" applyFont="1" applyFill="1" applyBorder="1" applyAlignment="1">
      <alignment horizontal="left" vertical="center"/>
    </xf>
    <xf numFmtId="0" fontId="6" fillId="6" borderId="9" xfId="0" applyFont="1" applyFill="1" applyBorder="1" applyAlignment="1">
      <alignment horizontal="center" vertical="center" wrapText="1"/>
    </xf>
    <xf numFmtId="17" fontId="1" fillId="6" borderId="1" xfId="0" applyNumberFormat="1" applyFont="1" applyFill="1" applyBorder="1" applyAlignment="1">
      <alignment horizontal="center" vertical="center"/>
    </xf>
    <xf numFmtId="0" fontId="6" fillId="6" borderId="10" xfId="0" applyFont="1" applyFill="1" applyBorder="1" applyAlignment="1">
      <alignment horizontal="center" vertical="center" wrapText="1"/>
    </xf>
    <xf numFmtId="0" fontId="5" fillId="0" borderId="0" xfId="0" applyFont="1" applyAlignment="1">
      <alignment horizontal="center" vertical="center"/>
    </xf>
    <xf numFmtId="0" fontId="2" fillId="0" borderId="6"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5" fillId="2" borderId="7" xfId="0" applyFont="1" applyFill="1" applyBorder="1" applyAlignment="1">
      <alignment horizontal="left" vertical="center" wrapText="1"/>
    </xf>
    <xf numFmtId="0" fontId="5" fillId="2" borderId="7" xfId="0" applyFont="1" applyFill="1" applyBorder="1" applyAlignment="1">
      <alignment horizontal="center" vertical="center"/>
    </xf>
    <xf numFmtId="0" fontId="5" fillId="2" borderId="5" xfId="0" applyFont="1" applyFill="1" applyBorder="1" applyAlignment="1">
      <alignment horizontal="center" vertical="center" wrapText="1"/>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17" fontId="5" fillId="2" borderId="1" xfId="0" applyNumberFormat="1" applyFont="1" applyFill="1" applyBorder="1" applyAlignment="1">
      <alignment horizontal="center" vertical="center"/>
    </xf>
    <xf numFmtId="4" fontId="13" fillId="2" borderId="1" xfId="0" applyNumberFormat="1" applyFont="1" applyFill="1" applyBorder="1" applyAlignment="1">
      <alignment horizontal="center" vertical="center"/>
    </xf>
    <xf numFmtId="0" fontId="5" fillId="2" borderId="7" xfId="0" applyFont="1" applyFill="1" applyBorder="1" applyAlignment="1">
      <alignment horizontal="left" vertical="center"/>
    </xf>
    <xf numFmtId="11" fontId="5" fillId="2" borderId="7" xfId="0" applyNumberFormat="1" applyFont="1" applyFill="1" applyBorder="1" applyAlignment="1">
      <alignment horizontal="center" vertical="center"/>
    </xf>
    <xf numFmtId="0" fontId="14" fillId="3" borderId="9" xfId="0" applyFont="1" applyFill="1" applyBorder="1" applyAlignment="1">
      <alignment vertical="center" wrapText="1"/>
    </xf>
    <xf numFmtId="0" fontId="5" fillId="3" borderId="1" xfId="0" applyFont="1" applyFill="1" applyBorder="1" applyAlignment="1">
      <alignment horizontal="center" vertical="center"/>
    </xf>
    <xf numFmtId="0" fontId="15" fillId="3" borderId="9" xfId="0" applyFont="1" applyFill="1" applyBorder="1" applyAlignment="1">
      <alignment vertical="center" wrapText="1"/>
    </xf>
    <xf numFmtId="0" fontId="17" fillId="3" borderId="1" xfId="0" applyFont="1" applyFill="1" applyBorder="1" applyAlignment="1">
      <alignment vertical="center" wrapText="1"/>
    </xf>
    <xf numFmtId="0" fontId="5" fillId="3" borderId="1" xfId="0" applyFont="1" applyFill="1" applyBorder="1" applyAlignment="1">
      <alignment horizontal="center" vertical="center" wrapText="1"/>
    </xf>
    <xf numFmtId="17" fontId="5" fillId="3" borderId="1" xfId="0" applyNumberFormat="1" applyFont="1" applyFill="1" applyBorder="1" applyAlignment="1">
      <alignment horizontal="center" vertical="center"/>
    </xf>
    <xf numFmtId="4" fontId="18" fillId="3" borderId="1" xfId="0" applyNumberFormat="1" applyFont="1" applyFill="1" applyBorder="1" applyAlignment="1">
      <alignment horizontal="center" vertical="center"/>
    </xf>
    <xf numFmtId="0" fontId="19" fillId="3" borderId="1" xfId="0" applyFont="1" applyFill="1" applyBorder="1" applyAlignment="1">
      <alignment horizontal="left" vertical="center" wrapText="1"/>
    </xf>
    <xf numFmtId="0" fontId="20" fillId="4" borderId="1" xfId="0" applyFont="1" applyFill="1" applyBorder="1" applyAlignment="1">
      <alignment horizontal="left" vertical="top" wrapText="1"/>
    </xf>
    <xf numFmtId="0" fontId="5" fillId="4" borderId="1" xfId="0" applyFont="1" applyFill="1" applyBorder="1" applyAlignment="1">
      <alignment horizontal="center" vertical="center"/>
    </xf>
    <xf numFmtId="0" fontId="14" fillId="4"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17" fontId="5" fillId="4" borderId="1" xfId="0" applyNumberFormat="1" applyFont="1" applyFill="1" applyBorder="1" applyAlignment="1">
      <alignment horizontal="center" vertical="center"/>
    </xf>
    <xf numFmtId="4" fontId="18" fillId="4" borderId="1" xfId="0" applyNumberFormat="1" applyFont="1" applyFill="1" applyBorder="1" applyAlignment="1">
      <alignment horizontal="center" vertical="center"/>
    </xf>
    <xf numFmtId="0" fontId="20" fillId="4" borderId="1" xfId="0" applyFont="1" applyFill="1" applyBorder="1" applyAlignment="1">
      <alignment horizontal="left" vertical="center" wrapText="1"/>
    </xf>
    <xf numFmtId="0" fontId="20" fillId="4" borderId="10" xfId="0" applyFont="1" applyFill="1" applyBorder="1" applyAlignment="1">
      <alignment horizontal="left" vertical="center" wrapText="1"/>
    </xf>
    <xf numFmtId="0" fontId="25" fillId="4" borderId="1" xfId="0" applyFont="1" applyFill="1" applyBorder="1" applyAlignment="1">
      <alignment horizontal="left" vertical="center" wrapText="1"/>
    </xf>
    <xf numFmtId="0" fontId="5" fillId="5" borderId="1" xfId="0" applyFont="1" applyFill="1" applyBorder="1" applyAlignment="1">
      <alignment horizontal="center" vertical="center"/>
    </xf>
    <xf numFmtId="4" fontId="2" fillId="5" borderId="11" xfId="0" applyNumberFormat="1" applyFont="1" applyFill="1" applyBorder="1" applyAlignment="1">
      <alignment horizontal="center" vertical="center"/>
    </xf>
    <xf numFmtId="0" fontId="5" fillId="5" borderId="14" xfId="0" applyFont="1" applyFill="1" applyBorder="1" applyAlignment="1">
      <alignment horizontal="left" vertical="center" wrapText="1"/>
    </xf>
    <xf numFmtId="0" fontId="5" fillId="5" borderId="1" xfId="0" applyFont="1" applyFill="1" applyBorder="1" applyAlignment="1">
      <alignment horizontal="left" vertical="center" wrapText="1"/>
    </xf>
    <xf numFmtId="0" fontId="5" fillId="5" borderId="15" xfId="0" applyFont="1" applyFill="1" applyBorder="1" applyAlignment="1">
      <alignment horizontal="center" vertical="center"/>
    </xf>
    <xf numFmtId="0" fontId="5" fillId="5" borderId="7" xfId="0" applyFont="1" applyFill="1" applyBorder="1" applyAlignment="1">
      <alignment horizontal="center" vertical="center"/>
    </xf>
    <xf numFmtId="0" fontId="5" fillId="2" borderId="16" xfId="0" applyFont="1" applyFill="1" applyBorder="1" applyAlignment="1">
      <alignment horizontal="left" vertical="center" wrapText="1"/>
    </xf>
    <xf numFmtId="0" fontId="6" fillId="3" borderId="1" xfId="0" applyFont="1" applyFill="1" applyBorder="1" applyAlignment="1">
      <alignment horizontal="center" vertical="center" wrapText="1"/>
    </xf>
    <xf numFmtId="4" fontId="13" fillId="7" borderId="1" xfId="0" applyNumberFormat="1" applyFont="1" applyFill="1" applyBorder="1" applyAlignment="1">
      <alignment horizontal="center" vertical="center"/>
    </xf>
    <xf numFmtId="4" fontId="18" fillId="7" borderId="1" xfId="0" applyNumberFormat="1" applyFont="1" applyFill="1" applyBorder="1" applyAlignment="1">
      <alignment horizontal="center" vertical="center"/>
    </xf>
    <xf numFmtId="4" fontId="1" fillId="0" borderId="0" xfId="0" applyNumberFormat="1" applyFont="1" applyAlignment="1">
      <alignment horizontal="center" vertical="center"/>
    </xf>
    <xf numFmtId="4" fontId="0" fillId="0" borderId="0" xfId="0" applyNumberFormat="1"/>
    <xf numFmtId="164" fontId="0" fillId="0" borderId="0" xfId="1" applyFont="1"/>
    <xf numFmtId="164" fontId="0" fillId="8" borderId="0" xfId="1" applyFont="1" applyFill="1"/>
    <xf numFmtId="0" fontId="6" fillId="8" borderId="0" xfId="0" applyFont="1" applyFill="1"/>
    <xf numFmtId="0" fontId="26" fillId="0" borderId="8" xfId="0" applyFont="1" applyBorder="1" applyAlignment="1">
      <alignment horizontal="center" vertical="center"/>
    </xf>
    <xf numFmtId="0" fontId="26" fillId="0" borderId="0" xfId="0" applyFont="1" applyAlignment="1">
      <alignment horizontal="center" vertical="center"/>
    </xf>
    <xf numFmtId="0" fontId="4" fillId="0" borderId="8" xfId="0" applyFont="1" applyBorder="1" applyAlignment="1">
      <alignment horizontal="center" vertical="center"/>
    </xf>
    <xf numFmtId="0" fontId="4" fillId="0" borderId="0" xfId="0" applyFont="1" applyAlignment="1">
      <alignment horizontal="center" vertical="center"/>
    </xf>
    <xf numFmtId="0" fontId="0" fillId="3" borderId="10" xfId="0" applyFill="1" applyBorder="1" applyAlignment="1">
      <alignment horizontal="center" vertical="center" wrapText="1"/>
    </xf>
    <xf numFmtId="0" fontId="0" fillId="3" borderId="12" xfId="0" applyFill="1" applyBorder="1" applyAlignment="1">
      <alignment horizontal="center" vertical="center" wrapText="1"/>
    </xf>
    <xf numFmtId="4" fontId="8" fillId="3" borderId="10" xfId="0" applyNumberFormat="1" applyFont="1" applyFill="1" applyBorder="1" applyAlignment="1">
      <alignment horizontal="center" vertical="center"/>
    </xf>
    <xf numFmtId="4" fontId="8" fillId="3" borderId="12" xfId="0" applyNumberFormat="1" applyFont="1" applyFill="1" applyBorder="1" applyAlignment="1">
      <alignment horizontal="center" vertical="center"/>
    </xf>
    <xf numFmtId="0" fontId="6" fillId="6" borderId="10" xfId="0" applyFont="1" applyFill="1" applyBorder="1" applyAlignment="1">
      <alignment horizontal="center" vertical="center" wrapText="1"/>
    </xf>
    <xf numFmtId="0" fontId="6" fillId="6" borderId="13" xfId="0" applyFont="1" applyFill="1" applyBorder="1" applyAlignment="1">
      <alignment horizontal="center" vertical="center" wrapText="1"/>
    </xf>
    <xf numFmtId="0" fontId="6" fillId="6" borderId="12" xfId="0" applyFont="1" applyFill="1" applyBorder="1" applyAlignment="1">
      <alignment horizontal="center" vertical="center" wrapText="1"/>
    </xf>
    <xf numFmtId="4" fontId="8" fillId="6" borderId="10" xfId="0" applyNumberFormat="1" applyFont="1" applyFill="1" applyBorder="1" applyAlignment="1">
      <alignment horizontal="center" vertical="center"/>
    </xf>
    <xf numFmtId="4" fontId="8" fillId="6" borderId="13" xfId="0" applyNumberFormat="1" applyFont="1" applyFill="1" applyBorder="1" applyAlignment="1">
      <alignment horizontal="center" vertical="center"/>
    </xf>
    <xf numFmtId="4" fontId="8" fillId="6" borderId="12" xfId="0" applyNumberFormat="1" applyFont="1" applyFill="1" applyBorder="1" applyAlignment="1">
      <alignment horizontal="center" vertical="center"/>
    </xf>
    <xf numFmtId="0" fontId="0" fillId="3" borderId="13" xfId="0" applyFill="1" applyBorder="1" applyAlignment="1">
      <alignment horizontal="center" vertical="center" wrapText="1"/>
    </xf>
    <xf numFmtId="4" fontId="8" fillId="3" borderId="13" xfId="0" applyNumberFormat="1" applyFont="1" applyFill="1" applyBorder="1" applyAlignment="1">
      <alignment horizontal="center" vertical="center"/>
    </xf>
  </cellXfs>
  <cellStyles count="2">
    <cellStyle name="Milliers" xfId="1" builtinId="3"/>
    <cellStyle name="Normal" xfId="0" builtinId="0"/>
  </cellStyles>
  <dxfs count="0"/>
  <tableStyles count="0" defaultTableStyle="TableStyleMedium2" defaultPivotStyle="PivotStyleLight16"/>
  <colors>
    <mruColors>
      <color rgb="FFCCFFFF"/>
      <color rgb="FFCCCCFF"/>
      <color rgb="FFFFFFCC"/>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31"/>
  <sheetViews>
    <sheetView view="pageBreakPreview" topLeftCell="A9" zoomScale="82" zoomScaleNormal="77" zoomScaleSheetLayoutView="82" workbookViewId="0">
      <selection activeCell="C24" sqref="C24"/>
    </sheetView>
  </sheetViews>
  <sheetFormatPr baseColWidth="10" defaultColWidth="11.42578125" defaultRowHeight="15.75" x14ac:dyDescent="0.25"/>
  <cols>
    <col min="1" max="1" width="110" style="1" customWidth="1"/>
    <col min="2" max="2" width="21.42578125" style="1" customWidth="1"/>
    <col min="3" max="3" width="112.42578125" style="1" customWidth="1"/>
    <col min="4" max="4" width="24.140625" style="1" customWidth="1"/>
    <col min="5" max="5" width="77.28515625" style="1" customWidth="1"/>
    <col min="6" max="6" width="72.140625" style="1" customWidth="1"/>
    <col min="7" max="7" width="36.85546875" style="1" customWidth="1"/>
    <col min="8" max="8" width="46.28515625" style="1" customWidth="1"/>
    <col min="9" max="9" width="52.85546875" style="1" customWidth="1"/>
    <col min="10" max="10" width="11.42578125" style="1"/>
    <col min="11" max="11" width="26.7109375" style="1" customWidth="1"/>
    <col min="12" max="16384" width="11.42578125" style="1"/>
  </cols>
  <sheetData>
    <row r="1" spans="1:9" ht="18.75" x14ac:dyDescent="0.25">
      <c r="A1" s="27"/>
      <c r="B1" s="27"/>
      <c r="C1" s="27"/>
      <c r="D1" s="27"/>
      <c r="E1" s="27"/>
      <c r="F1" s="27"/>
      <c r="G1" s="27"/>
      <c r="H1" s="27"/>
      <c r="I1" s="27"/>
    </row>
    <row r="2" spans="1:9" ht="18.75" x14ac:dyDescent="0.25">
      <c r="A2" s="6" t="s">
        <v>0</v>
      </c>
      <c r="B2" s="6" t="s">
        <v>35</v>
      </c>
      <c r="C2" s="27"/>
      <c r="D2" s="27"/>
      <c r="E2" s="27"/>
      <c r="F2" s="27"/>
      <c r="G2" s="27"/>
      <c r="H2" s="27"/>
      <c r="I2" s="27"/>
    </row>
    <row r="3" spans="1:9" ht="18.75" x14ac:dyDescent="0.25">
      <c r="A3" s="6" t="s">
        <v>1</v>
      </c>
      <c r="B3" s="7"/>
      <c r="C3" s="27"/>
      <c r="D3" s="27"/>
      <c r="E3" s="27"/>
      <c r="F3" s="27"/>
      <c r="G3" s="27"/>
      <c r="H3" s="27"/>
      <c r="I3" s="27"/>
    </row>
    <row r="4" spans="1:9" ht="20.25" x14ac:dyDescent="0.25">
      <c r="A4" s="6" t="s">
        <v>2</v>
      </c>
      <c r="B4" s="7"/>
      <c r="C4" s="73" t="s">
        <v>140</v>
      </c>
      <c r="D4" s="74"/>
      <c r="E4" s="74"/>
      <c r="F4" s="74"/>
      <c r="G4" s="27"/>
      <c r="H4" s="27"/>
      <c r="I4" s="27"/>
    </row>
    <row r="5" spans="1:9" ht="18.75" x14ac:dyDescent="0.25">
      <c r="A5" s="27"/>
      <c r="B5" s="27"/>
      <c r="C5" s="27"/>
      <c r="D5" s="27"/>
      <c r="E5" s="27"/>
      <c r="F5" s="27"/>
      <c r="G5" s="27"/>
      <c r="H5" s="27"/>
      <c r="I5" s="27"/>
    </row>
    <row r="6" spans="1:9" ht="18.75" x14ac:dyDescent="0.25">
      <c r="A6" s="27"/>
      <c r="B6" s="27"/>
      <c r="C6" s="27"/>
      <c r="D6" s="27"/>
      <c r="E6" s="27"/>
      <c r="F6" s="27"/>
      <c r="G6" s="27"/>
      <c r="H6" s="27"/>
      <c r="I6" s="27"/>
    </row>
    <row r="7" spans="1:9" ht="19.5" thickBot="1" x14ac:dyDescent="0.3">
      <c r="A7" s="27"/>
      <c r="B7" s="27"/>
      <c r="C7" s="27"/>
      <c r="D7" s="27"/>
      <c r="E7" s="27"/>
      <c r="F7" s="27"/>
      <c r="G7" s="27"/>
      <c r="H7" s="27"/>
      <c r="I7" s="27"/>
    </row>
    <row r="8" spans="1:9" ht="78.75" customHeight="1" x14ac:dyDescent="0.25">
      <c r="A8" s="28" t="s">
        <v>5</v>
      </c>
      <c r="B8" s="28" t="s">
        <v>3</v>
      </c>
      <c r="C8" s="29" t="s">
        <v>4</v>
      </c>
      <c r="D8" s="30" t="s">
        <v>6</v>
      </c>
      <c r="E8" s="30" t="s">
        <v>7</v>
      </c>
      <c r="F8" s="30" t="s">
        <v>34</v>
      </c>
      <c r="G8" s="30" t="s">
        <v>8</v>
      </c>
      <c r="H8" s="30" t="s">
        <v>10</v>
      </c>
      <c r="I8" s="31" t="s">
        <v>9</v>
      </c>
    </row>
    <row r="9" spans="1:9" ht="53.25" customHeight="1" x14ac:dyDescent="0.25">
      <c r="A9" s="32" t="s">
        <v>159</v>
      </c>
      <c r="B9" s="33" t="s">
        <v>11</v>
      </c>
      <c r="C9" s="34" t="s">
        <v>12</v>
      </c>
      <c r="D9" s="35" t="s">
        <v>13</v>
      </c>
      <c r="E9" s="36" t="s">
        <v>50</v>
      </c>
      <c r="F9" s="36" t="s">
        <v>41</v>
      </c>
      <c r="G9" s="37">
        <v>46023</v>
      </c>
      <c r="H9" s="35" t="s">
        <v>14</v>
      </c>
      <c r="I9" s="38">
        <f>60000-10000</f>
        <v>50000</v>
      </c>
    </row>
    <row r="10" spans="1:9" ht="51" customHeight="1" x14ac:dyDescent="0.25">
      <c r="A10" s="32" t="s">
        <v>158</v>
      </c>
      <c r="B10" s="33" t="s">
        <v>11</v>
      </c>
      <c r="C10" s="34" t="s">
        <v>15</v>
      </c>
      <c r="D10" s="35" t="s">
        <v>13</v>
      </c>
      <c r="E10" s="36" t="s">
        <v>50</v>
      </c>
      <c r="F10" s="36" t="s">
        <v>41</v>
      </c>
      <c r="G10" s="37">
        <v>46023</v>
      </c>
      <c r="H10" s="35" t="s">
        <v>14</v>
      </c>
      <c r="I10" s="38">
        <v>40000</v>
      </c>
    </row>
    <row r="11" spans="1:9" ht="78.75" customHeight="1" x14ac:dyDescent="0.25">
      <c r="A11" s="32" t="s">
        <v>160</v>
      </c>
      <c r="B11" s="33" t="s">
        <v>11</v>
      </c>
      <c r="C11" s="34" t="s">
        <v>161</v>
      </c>
      <c r="D11" s="35" t="s">
        <v>13</v>
      </c>
      <c r="E11" s="36" t="s">
        <v>50</v>
      </c>
      <c r="F11" s="36" t="s">
        <v>41</v>
      </c>
      <c r="G11" s="37">
        <v>46054</v>
      </c>
      <c r="H11" s="35" t="s">
        <v>14</v>
      </c>
      <c r="I11" s="38">
        <v>110000</v>
      </c>
    </row>
    <row r="12" spans="1:9" ht="41.25" customHeight="1" x14ac:dyDescent="0.25">
      <c r="A12" s="32" t="s">
        <v>102</v>
      </c>
      <c r="B12" s="33" t="s">
        <v>11</v>
      </c>
      <c r="C12" s="34" t="s">
        <v>103</v>
      </c>
      <c r="D12" s="35" t="s">
        <v>13</v>
      </c>
      <c r="E12" s="36" t="s">
        <v>50</v>
      </c>
      <c r="F12" s="35" t="s">
        <v>16</v>
      </c>
      <c r="G12" s="35" t="s">
        <v>141</v>
      </c>
      <c r="H12" s="35" t="s">
        <v>14</v>
      </c>
      <c r="I12" s="38">
        <v>50000</v>
      </c>
    </row>
    <row r="13" spans="1:9" ht="48.75" customHeight="1" x14ac:dyDescent="0.25">
      <c r="A13" s="39" t="s">
        <v>17</v>
      </c>
      <c r="B13" s="40" t="s">
        <v>11</v>
      </c>
      <c r="C13" s="34" t="s">
        <v>40</v>
      </c>
      <c r="D13" s="35" t="s">
        <v>13</v>
      </c>
      <c r="E13" s="36" t="s">
        <v>50</v>
      </c>
      <c r="F13" s="36" t="s">
        <v>59</v>
      </c>
      <c r="G13" s="35" t="s">
        <v>141</v>
      </c>
      <c r="H13" s="35" t="s">
        <v>14</v>
      </c>
      <c r="I13" s="38">
        <v>300000</v>
      </c>
    </row>
    <row r="14" spans="1:9" ht="47.25" customHeight="1" x14ac:dyDescent="0.25">
      <c r="A14" s="32" t="s">
        <v>19</v>
      </c>
      <c r="B14" s="33" t="s">
        <v>11</v>
      </c>
      <c r="C14" s="34" t="s">
        <v>20</v>
      </c>
      <c r="D14" s="35" t="s">
        <v>13</v>
      </c>
      <c r="E14" s="36" t="s">
        <v>50</v>
      </c>
      <c r="F14" s="35" t="s">
        <v>16</v>
      </c>
      <c r="G14" s="37">
        <v>46327</v>
      </c>
      <c r="H14" s="35" t="s">
        <v>14</v>
      </c>
      <c r="I14" s="38">
        <v>80000</v>
      </c>
    </row>
    <row r="15" spans="1:9" ht="47.25" customHeight="1" x14ac:dyDescent="0.25">
      <c r="A15" s="64" t="s">
        <v>148</v>
      </c>
      <c r="B15" s="33" t="s">
        <v>11</v>
      </c>
      <c r="C15" s="34" t="s">
        <v>145</v>
      </c>
      <c r="D15" s="35" t="s">
        <v>13</v>
      </c>
      <c r="E15" s="36" t="s">
        <v>144</v>
      </c>
      <c r="F15" s="36" t="s">
        <v>151</v>
      </c>
      <c r="G15" s="37" t="s">
        <v>142</v>
      </c>
      <c r="H15" s="35" t="s">
        <v>14</v>
      </c>
      <c r="I15" s="38">
        <v>300000</v>
      </c>
    </row>
    <row r="16" spans="1:9" ht="47.25" customHeight="1" x14ac:dyDescent="0.25">
      <c r="A16" s="64" t="s">
        <v>156</v>
      </c>
      <c r="B16" s="33" t="s">
        <v>11</v>
      </c>
      <c r="C16" s="64" t="s">
        <v>156</v>
      </c>
      <c r="D16" s="35"/>
      <c r="E16" s="36" t="s">
        <v>157</v>
      </c>
      <c r="F16" s="36" t="s">
        <v>151</v>
      </c>
      <c r="G16" s="37" t="s">
        <v>142</v>
      </c>
      <c r="H16" s="35" t="s">
        <v>14</v>
      </c>
      <c r="I16" s="66">
        <v>300000</v>
      </c>
    </row>
    <row r="17" spans="1:9" ht="128.25" customHeight="1" x14ac:dyDescent="0.25">
      <c r="A17" s="64" t="s">
        <v>149</v>
      </c>
      <c r="B17" s="33" t="s">
        <v>11</v>
      </c>
      <c r="C17" s="34" t="s">
        <v>149</v>
      </c>
      <c r="D17" s="35" t="s">
        <v>13</v>
      </c>
      <c r="E17" s="36" t="s">
        <v>150</v>
      </c>
      <c r="F17" s="36" t="s">
        <v>151</v>
      </c>
      <c r="G17" s="37" t="s">
        <v>142</v>
      </c>
      <c r="H17" s="35" t="s">
        <v>14</v>
      </c>
      <c r="I17" s="38">
        <v>70000</v>
      </c>
    </row>
    <row r="18" spans="1:9" ht="87" customHeight="1" x14ac:dyDescent="0.25">
      <c r="A18" s="64" t="s">
        <v>152</v>
      </c>
      <c r="B18" s="33" t="s">
        <v>11</v>
      </c>
      <c r="C18" s="34" t="s">
        <v>152</v>
      </c>
      <c r="D18" s="35" t="s">
        <v>13</v>
      </c>
      <c r="E18" s="36" t="s">
        <v>153</v>
      </c>
      <c r="F18" s="36" t="s">
        <v>151</v>
      </c>
      <c r="G18" s="37" t="s">
        <v>142</v>
      </c>
      <c r="H18" s="35" t="s">
        <v>14</v>
      </c>
      <c r="I18" s="38">
        <v>120000</v>
      </c>
    </row>
    <row r="19" spans="1:9" ht="35.25" customHeight="1" x14ac:dyDescent="0.25">
      <c r="A19" s="41" t="s">
        <v>108</v>
      </c>
      <c r="B19" s="42" t="s">
        <v>11</v>
      </c>
      <c r="C19" s="43" t="s">
        <v>109</v>
      </c>
      <c r="D19" s="42" t="s">
        <v>21</v>
      </c>
      <c r="E19" s="44" t="s">
        <v>29</v>
      </c>
      <c r="F19" s="45" t="s">
        <v>147</v>
      </c>
      <c r="G19" s="46">
        <v>46023</v>
      </c>
      <c r="H19" s="42" t="s">
        <v>23</v>
      </c>
      <c r="I19" s="47">
        <v>280000</v>
      </c>
    </row>
    <row r="20" spans="1:9" ht="36" customHeight="1" x14ac:dyDescent="0.25">
      <c r="A20" s="41" t="s">
        <v>110</v>
      </c>
      <c r="B20" s="42" t="s">
        <v>11</v>
      </c>
      <c r="C20" s="43" t="s">
        <v>111</v>
      </c>
      <c r="D20" s="42" t="s">
        <v>21</v>
      </c>
      <c r="E20" s="44" t="s">
        <v>27</v>
      </c>
      <c r="F20" s="45" t="s">
        <v>147</v>
      </c>
      <c r="G20" s="46">
        <v>46023</v>
      </c>
      <c r="H20" s="42" t="s">
        <v>23</v>
      </c>
      <c r="I20" s="47">
        <v>171428.64</v>
      </c>
    </row>
    <row r="21" spans="1:9" ht="41.25" customHeight="1" x14ac:dyDescent="0.25">
      <c r="A21" s="41" t="s">
        <v>112</v>
      </c>
      <c r="B21" s="42" t="s">
        <v>11</v>
      </c>
      <c r="C21" s="43" t="s">
        <v>113</v>
      </c>
      <c r="D21" s="42" t="s">
        <v>21</v>
      </c>
      <c r="E21" s="44" t="s">
        <v>27</v>
      </c>
      <c r="F21" s="45" t="s">
        <v>147</v>
      </c>
      <c r="G21" s="46">
        <v>46023</v>
      </c>
      <c r="H21" s="42" t="s">
        <v>23</v>
      </c>
      <c r="I21" s="47">
        <v>257142.9</v>
      </c>
    </row>
    <row r="22" spans="1:9" ht="41.25" customHeight="1" x14ac:dyDescent="0.25">
      <c r="A22" s="41" t="s">
        <v>51</v>
      </c>
      <c r="B22" s="42" t="s">
        <v>11</v>
      </c>
      <c r="C22" s="43" t="s">
        <v>114</v>
      </c>
      <c r="D22" s="42" t="s">
        <v>21</v>
      </c>
      <c r="E22" s="44" t="s">
        <v>25</v>
      </c>
      <c r="F22" s="45" t="s">
        <v>147</v>
      </c>
      <c r="G22" s="46">
        <v>46023</v>
      </c>
      <c r="H22" s="42" t="s">
        <v>23</v>
      </c>
      <c r="I22" s="47">
        <v>205714.94</v>
      </c>
    </row>
    <row r="23" spans="1:9" ht="48.75" customHeight="1" x14ac:dyDescent="0.25">
      <c r="A23" s="41" t="s">
        <v>138</v>
      </c>
      <c r="B23" s="42" t="s">
        <v>11</v>
      </c>
      <c r="C23" s="43" t="s">
        <v>115</v>
      </c>
      <c r="D23" s="42" t="s">
        <v>21</v>
      </c>
      <c r="E23" s="48" t="s">
        <v>52</v>
      </c>
      <c r="F23" s="45" t="s">
        <v>22</v>
      </c>
      <c r="G23" s="46">
        <v>46023</v>
      </c>
      <c r="H23" s="42" t="s">
        <v>23</v>
      </c>
      <c r="I23" s="47">
        <v>181800</v>
      </c>
    </row>
    <row r="24" spans="1:9" ht="48.75" customHeight="1" x14ac:dyDescent="0.25">
      <c r="A24" s="41" t="s">
        <v>162</v>
      </c>
      <c r="B24" s="42" t="s">
        <v>11</v>
      </c>
      <c r="C24" s="43" t="s">
        <v>163</v>
      </c>
      <c r="D24" s="42" t="s">
        <v>157</v>
      </c>
      <c r="E24" s="48" t="s">
        <v>52</v>
      </c>
      <c r="F24" s="45" t="s">
        <v>22</v>
      </c>
      <c r="G24" s="46">
        <v>46023</v>
      </c>
      <c r="H24" s="42" t="s">
        <v>23</v>
      </c>
      <c r="I24" s="67">
        <v>170000</v>
      </c>
    </row>
    <row r="25" spans="1:9" ht="54" customHeight="1" x14ac:dyDescent="0.25">
      <c r="A25" s="49" t="s">
        <v>116</v>
      </c>
      <c r="B25" s="50" t="s">
        <v>11</v>
      </c>
      <c r="C25" s="49" t="s">
        <v>116</v>
      </c>
      <c r="D25" s="50" t="s">
        <v>21</v>
      </c>
      <c r="E25" s="51" t="s">
        <v>58</v>
      </c>
      <c r="F25" s="52" t="s">
        <v>137</v>
      </c>
      <c r="G25" s="53">
        <v>46023</v>
      </c>
      <c r="H25" s="50" t="s">
        <v>14</v>
      </c>
      <c r="I25" s="54">
        <v>1687503.9</v>
      </c>
    </row>
    <row r="26" spans="1:9" ht="57.75" customHeight="1" x14ac:dyDescent="0.25">
      <c r="A26" s="55" t="s">
        <v>117</v>
      </c>
      <c r="B26" s="50" t="s">
        <v>11</v>
      </c>
      <c r="C26" s="55" t="s">
        <v>117</v>
      </c>
      <c r="D26" s="50" t="s">
        <v>21</v>
      </c>
      <c r="E26" s="51" t="s">
        <v>45</v>
      </c>
      <c r="F26" s="52" t="s">
        <v>137</v>
      </c>
      <c r="G26" s="53">
        <v>46023</v>
      </c>
      <c r="H26" s="50" t="s">
        <v>14</v>
      </c>
      <c r="I26" s="54">
        <v>491736</v>
      </c>
    </row>
    <row r="27" spans="1:9" ht="84.75" customHeight="1" x14ac:dyDescent="0.25">
      <c r="A27" s="55" t="s">
        <v>118</v>
      </c>
      <c r="B27" s="50" t="s">
        <v>11</v>
      </c>
      <c r="C27" s="55" t="s">
        <v>118</v>
      </c>
      <c r="D27" s="50" t="s">
        <v>21</v>
      </c>
      <c r="E27" s="51" t="s">
        <v>46</v>
      </c>
      <c r="F27" s="52" t="s">
        <v>137</v>
      </c>
      <c r="G27" s="53">
        <v>46023</v>
      </c>
      <c r="H27" s="50" t="s">
        <v>14</v>
      </c>
      <c r="I27" s="54">
        <v>625408</v>
      </c>
    </row>
    <row r="28" spans="1:9" ht="50.25" customHeight="1" x14ac:dyDescent="0.25">
      <c r="A28" s="55" t="s">
        <v>119</v>
      </c>
      <c r="B28" s="50" t="s">
        <v>11</v>
      </c>
      <c r="C28" s="55" t="s">
        <v>119</v>
      </c>
      <c r="D28" s="50" t="s">
        <v>21</v>
      </c>
      <c r="E28" s="51" t="s">
        <v>47</v>
      </c>
      <c r="F28" s="52" t="s">
        <v>137</v>
      </c>
      <c r="G28" s="53">
        <v>46023</v>
      </c>
      <c r="H28" s="50" t="s">
        <v>14</v>
      </c>
      <c r="I28" s="54">
        <v>1190246.3999999999</v>
      </c>
    </row>
    <row r="29" spans="1:9" ht="77.25" customHeight="1" x14ac:dyDescent="0.25">
      <c r="A29" s="55" t="s">
        <v>120</v>
      </c>
      <c r="B29" s="50" t="s">
        <v>11</v>
      </c>
      <c r="C29" s="55" t="s">
        <v>120</v>
      </c>
      <c r="D29" s="50" t="s">
        <v>21</v>
      </c>
      <c r="E29" s="51" t="s">
        <v>45</v>
      </c>
      <c r="F29" s="52" t="s">
        <v>137</v>
      </c>
      <c r="G29" s="53">
        <v>46023</v>
      </c>
      <c r="H29" s="50" t="s">
        <v>14</v>
      </c>
      <c r="I29" s="54">
        <v>2335872</v>
      </c>
    </row>
    <row r="30" spans="1:9" ht="66" customHeight="1" x14ac:dyDescent="0.25">
      <c r="A30" s="56" t="s">
        <v>121</v>
      </c>
      <c r="B30" s="50" t="s">
        <v>11</v>
      </c>
      <c r="C30" s="56" t="s">
        <v>121</v>
      </c>
      <c r="D30" s="50" t="s">
        <v>21</v>
      </c>
      <c r="E30" s="51" t="s">
        <v>46</v>
      </c>
      <c r="F30" s="52" t="s">
        <v>137</v>
      </c>
      <c r="G30" s="53">
        <v>46023</v>
      </c>
      <c r="H30" s="50" t="s">
        <v>14</v>
      </c>
      <c r="I30" s="54">
        <v>933296.1</v>
      </c>
    </row>
    <row r="31" spans="1:9" ht="85.5" customHeight="1" x14ac:dyDescent="0.25">
      <c r="A31" s="55" t="s">
        <v>122</v>
      </c>
      <c r="B31" s="50" t="s">
        <v>11</v>
      </c>
      <c r="C31" s="55" t="s">
        <v>122</v>
      </c>
      <c r="D31" s="50" t="s">
        <v>21</v>
      </c>
      <c r="E31" s="51" t="s">
        <v>48</v>
      </c>
      <c r="F31" s="52" t="s">
        <v>137</v>
      </c>
      <c r="G31" s="53">
        <v>46023</v>
      </c>
      <c r="H31" s="50" t="s">
        <v>14</v>
      </c>
      <c r="I31" s="54">
        <v>1029503.88</v>
      </c>
    </row>
    <row r="32" spans="1:9" ht="63" customHeight="1" x14ac:dyDescent="0.25">
      <c r="A32" s="55" t="s">
        <v>123</v>
      </c>
      <c r="B32" s="50" t="s">
        <v>11</v>
      </c>
      <c r="C32" s="55" t="s">
        <v>123</v>
      </c>
      <c r="D32" s="50" t="s">
        <v>21</v>
      </c>
      <c r="E32" s="51" t="s">
        <v>53</v>
      </c>
      <c r="F32" s="52" t="s">
        <v>137</v>
      </c>
      <c r="G32" s="53">
        <v>46023</v>
      </c>
      <c r="H32" s="50" t="s">
        <v>14</v>
      </c>
      <c r="I32" s="54">
        <v>875616</v>
      </c>
    </row>
    <row r="33" spans="1:9" ht="85.5" customHeight="1" x14ac:dyDescent="0.25">
      <c r="A33" s="55" t="s">
        <v>124</v>
      </c>
      <c r="B33" s="50" t="s">
        <v>11</v>
      </c>
      <c r="C33" s="55" t="s">
        <v>124</v>
      </c>
      <c r="D33" s="50" t="s">
        <v>21</v>
      </c>
      <c r="E33" s="51" t="s">
        <v>54</v>
      </c>
      <c r="F33" s="52" t="s">
        <v>137</v>
      </c>
      <c r="G33" s="53">
        <v>46023</v>
      </c>
      <c r="H33" s="50" t="s">
        <v>14</v>
      </c>
      <c r="I33" s="54">
        <v>817935.89999999991</v>
      </c>
    </row>
    <row r="34" spans="1:9" ht="79.5" customHeight="1" x14ac:dyDescent="0.25">
      <c r="A34" s="55" t="s">
        <v>125</v>
      </c>
      <c r="B34" s="50" t="s">
        <v>11</v>
      </c>
      <c r="C34" s="55" t="s">
        <v>125</v>
      </c>
      <c r="D34" s="50" t="s">
        <v>21</v>
      </c>
      <c r="E34" s="51" t="s">
        <v>53</v>
      </c>
      <c r="F34" s="52" t="s">
        <v>137</v>
      </c>
      <c r="G34" s="53">
        <v>46023</v>
      </c>
      <c r="H34" s="50" t="s">
        <v>14</v>
      </c>
      <c r="I34" s="54">
        <v>1204224.1200000001</v>
      </c>
    </row>
    <row r="35" spans="1:9" ht="78.75" customHeight="1" x14ac:dyDescent="0.25">
      <c r="A35" s="55" t="s">
        <v>126</v>
      </c>
      <c r="B35" s="50" t="s">
        <v>11</v>
      </c>
      <c r="C35" s="55" t="s">
        <v>126</v>
      </c>
      <c r="D35" s="50" t="s">
        <v>21</v>
      </c>
      <c r="E35" s="51" t="s">
        <v>55</v>
      </c>
      <c r="F35" s="52" t="s">
        <v>137</v>
      </c>
      <c r="G35" s="53">
        <v>46023</v>
      </c>
      <c r="H35" s="50" t="s">
        <v>14</v>
      </c>
      <c r="I35" s="54">
        <v>882000</v>
      </c>
    </row>
    <row r="36" spans="1:9" ht="66.75" customHeight="1" x14ac:dyDescent="0.25">
      <c r="A36" s="56" t="s">
        <v>127</v>
      </c>
      <c r="B36" s="50" t="s">
        <v>11</v>
      </c>
      <c r="C36" s="56" t="s">
        <v>127</v>
      </c>
      <c r="D36" s="50" t="s">
        <v>21</v>
      </c>
      <c r="E36" s="51" t="s">
        <v>49</v>
      </c>
      <c r="F36" s="52" t="s">
        <v>137</v>
      </c>
      <c r="G36" s="53">
        <v>46023</v>
      </c>
      <c r="H36" s="50" t="s">
        <v>14</v>
      </c>
      <c r="I36" s="54">
        <v>1030959.9</v>
      </c>
    </row>
    <row r="37" spans="1:9" ht="66" customHeight="1" x14ac:dyDescent="0.25">
      <c r="A37" s="55" t="s">
        <v>128</v>
      </c>
      <c r="B37" s="50" t="s">
        <v>11</v>
      </c>
      <c r="C37" s="55" t="s">
        <v>128</v>
      </c>
      <c r="D37" s="50" t="s">
        <v>21</v>
      </c>
      <c r="E37" s="51" t="s">
        <v>56</v>
      </c>
      <c r="F37" s="52" t="s">
        <v>137</v>
      </c>
      <c r="G37" s="53">
        <v>46023</v>
      </c>
      <c r="H37" s="50" t="s">
        <v>14</v>
      </c>
      <c r="I37" s="54">
        <v>1713936</v>
      </c>
    </row>
    <row r="38" spans="1:9" ht="60" customHeight="1" x14ac:dyDescent="0.25">
      <c r="A38" s="55" t="s">
        <v>129</v>
      </c>
      <c r="B38" s="50" t="s">
        <v>11</v>
      </c>
      <c r="C38" s="55" t="s">
        <v>129</v>
      </c>
      <c r="D38" s="50" t="s">
        <v>21</v>
      </c>
      <c r="E38" s="51" t="s">
        <v>46</v>
      </c>
      <c r="F38" s="52" t="s">
        <v>137</v>
      </c>
      <c r="G38" s="53">
        <v>46023</v>
      </c>
      <c r="H38" s="50" t="s">
        <v>14</v>
      </c>
      <c r="I38" s="54">
        <v>696639.96</v>
      </c>
    </row>
    <row r="39" spans="1:9" ht="84.75" customHeight="1" x14ac:dyDescent="0.25">
      <c r="A39" s="55" t="s">
        <v>130</v>
      </c>
      <c r="B39" s="50" t="s">
        <v>11</v>
      </c>
      <c r="C39" s="55" t="s">
        <v>130</v>
      </c>
      <c r="D39" s="50" t="s">
        <v>21</v>
      </c>
      <c r="E39" s="51" t="s">
        <v>57</v>
      </c>
      <c r="F39" s="52" t="s">
        <v>137</v>
      </c>
      <c r="G39" s="53">
        <v>46023</v>
      </c>
      <c r="H39" s="50" t="s">
        <v>14</v>
      </c>
      <c r="I39" s="54">
        <v>2334998.4</v>
      </c>
    </row>
    <row r="40" spans="1:9" ht="78.75" customHeight="1" x14ac:dyDescent="0.25">
      <c r="A40" s="57" t="s">
        <v>131</v>
      </c>
      <c r="B40" s="50" t="s">
        <v>11</v>
      </c>
      <c r="C40" s="57" t="s">
        <v>131</v>
      </c>
      <c r="D40" s="50" t="s">
        <v>21</v>
      </c>
      <c r="E40" s="51" t="s">
        <v>53</v>
      </c>
      <c r="F40" s="52" t="s">
        <v>137</v>
      </c>
      <c r="G40" s="53">
        <v>46023</v>
      </c>
      <c r="H40" s="50" t="s">
        <v>14</v>
      </c>
      <c r="I40" s="54">
        <v>1156108.8</v>
      </c>
    </row>
    <row r="41" spans="1:9" ht="85.5" customHeight="1" x14ac:dyDescent="0.25">
      <c r="A41" s="57" t="s">
        <v>132</v>
      </c>
      <c r="B41" s="50" t="s">
        <v>11</v>
      </c>
      <c r="C41" s="57" t="s">
        <v>132</v>
      </c>
      <c r="D41" s="50" t="s">
        <v>21</v>
      </c>
      <c r="E41" s="51" t="s">
        <v>53</v>
      </c>
      <c r="F41" s="52" t="s">
        <v>137</v>
      </c>
      <c r="G41" s="53">
        <v>46023</v>
      </c>
      <c r="H41" s="50" t="s">
        <v>14</v>
      </c>
      <c r="I41" s="54">
        <v>1211280</v>
      </c>
    </row>
    <row r="42" spans="1:9" ht="85.5" customHeight="1" x14ac:dyDescent="0.25">
      <c r="A42" s="57" t="s">
        <v>133</v>
      </c>
      <c r="B42" s="50" t="s">
        <v>11</v>
      </c>
      <c r="C42" s="57" t="s">
        <v>139</v>
      </c>
      <c r="D42" s="50" t="s">
        <v>21</v>
      </c>
      <c r="E42" s="51" t="s">
        <v>134</v>
      </c>
      <c r="F42" s="52" t="s">
        <v>137</v>
      </c>
      <c r="G42" s="53">
        <v>46023</v>
      </c>
      <c r="H42" s="50" t="s">
        <v>14</v>
      </c>
      <c r="I42" s="54">
        <v>1195600</v>
      </c>
    </row>
    <row r="43" spans="1:9" ht="75.75" customHeight="1" x14ac:dyDescent="0.25">
      <c r="A43" s="57" t="s">
        <v>42</v>
      </c>
      <c r="B43" s="50" t="s">
        <v>11</v>
      </c>
      <c r="C43" s="57" t="s">
        <v>42</v>
      </c>
      <c r="D43" s="50" t="s">
        <v>44</v>
      </c>
      <c r="E43" s="51" t="s">
        <v>135</v>
      </c>
      <c r="F43" s="52" t="s">
        <v>146</v>
      </c>
      <c r="G43" s="53">
        <v>46174</v>
      </c>
      <c r="H43" s="50" t="s">
        <v>14</v>
      </c>
      <c r="I43" s="54">
        <v>3300000</v>
      </c>
    </row>
    <row r="44" spans="1:9" ht="69" customHeight="1" x14ac:dyDescent="0.25">
      <c r="A44" s="57" t="s">
        <v>43</v>
      </c>
      <c r="B44" s="50" t="s">
        <v>11</v>
      </c>
      <c r="C44" s="57" t="s">
        <v>43</v>
      </c>
      <c r="D44" s="50" t="s">
        <v>44</v>
      </c>
      <c r="E44" s="51" t="s">
        <v>136</v>
      </c>
      <c r="F44" s="52" t="s">
        <v>146</v>
      </c>
      <c r="G44" s="53">
        <v>46174</v>
      </c>
      <c r="H44" s="50" t="s">
        <v>14</v>
      </c>
      <c r="I44" s="54">
        <v>3300000</v>
      </c>
    </row>
    <row r="45" spans="1:9" ht="76.5" customHeight="1" x14ac:dyDescent="0.25">
      <c r="A45" s="60" t="s">
        <v>105</v>
      </c>
      <c r="B45" s="58" t="s">
        <v>11</v>
      </c>
      <c r="C45" s="61" t="s">
        <v>107</v>
      </c>
      <c r="D45" s="58" t="s">
        <v>44</v>
      </c>
      <c r="E45" s="61" t="s">
        <v>106</v>
      </c>
      <c r="F45" s="62" t="s">
        <v>18</v>
      </c>
      <c r="G45" s="63" t="s">
        <v>143</v>
      </c>
      <c r="H45" s="63" t="s">
        <v>23</v>
      </c>
      <c r="I45" s="59">
        <v>220000</v>
      </c>
    </row>
    <row r="46" spans="1:9" hidden="1" x14ac:dyDescent="0.25"/>
    <row r="47" spans="1:9" ht="24" hidden="1" customHeight="1" x14ac:dyDescent="0.25"/>
    <row r="48" spans="1:9" x14ac:dyDescent="0.25">
      <c r="I48" s="68">
        <f>SUM(I9:I47)</f>
        <v>30918951.84</v>
      </c>
    </row>
    <row r="49" spans="9:9" x14ac:dyDescent="0.25">
      <c r="I49" s="1">
        <v>30918951.84</v>
      </c>
    </row>
    <row r="51" spans="9:9" x14ac:dyDescent="0.25">
      <c r="I51" s="68">
        <f>I48-I49</f>
        <v>0</v>
      </c>
    </row>
    <row r="131" spans="9:9" x14ac:dyDescent="0.25">
      <c r="I131" s="1">
        <v>130</v>
      </c>
    </row>
  </sheetData>
  <mergeCells count="1">
    <mergeCell ref="C4:F4"/>
  </mergeCells>
  <phoneticPr fontId="10" type="noConversion"/>
  <pageMargins left="0.9055118110236221" right="0.39370078740157483" top="0.74803149606299213" bottom="0.74803149606299213" header="0.31496062992125984" footer="0.31496062992125984"/>
  <pageSetup paperSize="9" scale="1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2"/>
  <sheetViews>
    <sheetView tabSelected="1" view="pageBreakPreview" zoomScale="92" zoomScaleNormal="100" zoomScaleSheetLayoutView="92" workbookViewId="0">
      <selection activeCell="D26" sqref="D26"/>
    </sheetView>
  </sheetViews>
  <sheetFormatPr baseColWidth="10" defaultRowHeight="15" x14ac:dyDescent="0.25"/>
  <cols>
    <col min="1" max="1" width="56.85546875" customWidth="1"/>
    <col min="2" max="2" width="42.85546875" customWidth="1"/>
    <col min="3" max="3" width="24.28515625" customWidth="1"/>
    <col min="4" max="4" width="84.7109375" customWidth="1"/>
    <col min="5" max="5" width="19.42578125" customWidth="1"/>
    <col min="6" max="6" width="26.42578125" customWidth="1"/>
    <col min="7" max="7" width="46.28515625" bestFit="1" customWidth="1"/>
    <col min="8" max="8" width="23.7109375" bestFit="1" customWidth="1"/>
    <col min="9" max="9" width="23.42578125" bestFit="1" customWidth="1"/>
    <col min="10" max="10" width="23.42578125" customWidth="1"/>
    <col min="11" max="11" width="35.140625" customWidth="1"/>
  </cols>
  <sheetData>
    <row r="1" spans="1:11" s="1" customFormat="1" ht="18.75" x14ac:dyDescent="0.25">
      <c r="A1" s="6" t="s">
        <v>0</v>
      </c>
      <c r="B1" s="15" t="s">
        <v>35</v>
      </c>
    </row>
    <row r="2" spans="1:11" s="1" customFormat="1" ht="18.75" x14ac:dyDescent="0.25">
      <c r="A2" s="6" t="s">
        <v>1</v>
      </c>
      <c r="B2" s="7"/>
    </row>
    <row r="3" spans="1:11" s="1" customFormat="1" ht="23.25" x14ac:dyDescent="0.25">
      <c r="A3" s="6" t="s">
        <v>2</v>
      </c>
      <c r="B3" s="7"/>
      <c r="C3" s="75" t="s">
        <v>140</v>
      </c>
      <c r="D3" s="76"/>
      <c r="E3" s="76"/>
      <c r="F3" s="76"/>
    </row>
    <row r="4" spans="1:11" s="1" customFormat="1" ht="15.75" x14ac:dyDescent="0.25"/>
    <row r="6" spans="1:11" ht="15.75" thickBot="1" x14ac:dyDescent="0.3"/>
    <row r="7" spans="1:11" s="1" customFormat="1" ht="73.5" customHeight="1" x14ac:dyDescent="0.25">
      <c r="A7" s="2" t="s">
        <v>5</v>
      </c>
      <c r="B7" s="2" t="s">
        <v>100</v>
      </c>
      <c r="C7" s="2" t="s">
        <v>3</v>
      </c>
      <c r="D7" s="3" t="s">
        <v>4</v>
      </c>
      <c r="E7" s="4" t="s">
        <v>6</v>
      </c>
      <c r="F7" s="4" t="s">
        <v>7</v>
      </c>
      <c r="G7" s="4" t="s">
        <v>34</v>
      </c>
      <c r="H7" s="4" t="s">
        <v>8</v>
      </c>
      <c r="I7" s="4" t="s">
        <v>10</v>
      </c>
      <c r="J7" s="5" t="s">
        <v>9</v>
      </c>
      <c r="K7" s="5" t="s">
        <v>99</v>
      </c>
    </row>
    <row r="8" spans="1:11" s="1" customFormat="1" ht="37.5" customHeight="1" x14ac:dyDescent="0.25">
      <c r="A8" s="81" t="s">
        <v>101</v>
      </c>
      <c r="B8" s="23" t="s">
        <v>98</v>
      </c>
      <c r="C8" s="20" t="s">
        <v>11</v>
      </c>
      <c r="D8" s="22" t="s">
        <v>84</v>
      </c>
      <c r="E8" s="20" t="s">
        <v>21</v>
      </c>
      <c r="F8" s="21" t="s">
        <v>52</v>
      </c>
      <c r="G8" s="21" t="s">
        <v>22</v>
      </c>
      <c r="H8" s="25">
        <v>46023</v>
      </c>
      <c r="I8" s="20" t="s">
        <v>23</v>
      </c>
      <c r="J8" s="19">
        <v>49800</v>
      </c>
      <c r="K8" s="84">
        <v>199200</v>
      </c>
    </row>
    <row r="9" spans="1:11" s="1" customFormat="1" ht="40.5" customHeight="1" x14ac:dyDescent="0.25">
      <c r="A9" s="82"/>
      <c r="B9" s="23" t="s">
        <v>97</v>
      </c>
      <c r="C9" s="20" t="s">
        <v>11</v>
      </c>
      <c r="D9" s="22" t="s">
        <v>84</v>
      </c>
      <c r="E9" s="20" t="s">
        <v>21</v>
      </c>
      <c r="F9" s="21" t="s">
        <v>52</v>
      </c>
      <c r="G9" s="21" t="s">
        <v>22</v>
      </c>
      <c r="H9" s="25">
        <v>46023</v>
      </c>
      <c r="I9" s="20" t="s">
        <v>23</v>
      </c>
      <c r="J9" s="19">
        <v>49800</v>
      </c>
      <c r="K9" s="85"/>
    </row>
    <row r="10" spans="1:11" s="1" customFormat="1" ht="39" customHeight="1" x14ac:dyDescent="0.25">
      <c r="A10" s="82"/>
      <c r="B10" s="23" t="s">
        <v>96</v>
      </c>
      <c r="C10" s="20" t="s">
        <v>11</v>
      </c>
      <c r="D10" s="22" t="s">
        <v>84</v>
      </c>
      <c r="E10" s="20" t="s">
        <v>21</v>
      </c>
      <c r="F10" s="21" t="s">
        <v>52</v>
      </c>
      <c r="G10" s="21" t="s">
        <v>22</v>
      </c>
      <c r="H10" s="25">
        <v>46023</v>
      </c>
      <c r="I10" s="20" t="s">
        <v>23</v>
      </c>
      <c r="J10" s="19">
        <v>49800</v>
      </c>
      <c r="K10" s="85"/>
    </row>
    <row r="11" spans="1:11" s="1" customFormat="1" ht="42" customHeight="1" x14ac:dyDescent="0.25">
      <c r="A11" s="83"/>
      <c r="B11" s="23" t="s">
        <v>95</v>
      </c>
      <c r="C11" s="20" t="s">
        <v>11</v>
      </c>
      <c r="D11" s="22" t="s">
        <v>94</v>
      </c>
      <c r="E11" s="20" t="s">
        <v>21</v>
      </c>
      <c r="F11" s="21" t="s">
        <v>52</v>
      </c>
      <c r="G11" s="21" t="s">
        <v>22</v>
      </c>
      <c r="H11" s="25">
        <v>46023</v>
      </c>
      <c r="I11" s="20" t="s">
        <v>23</v>
      </c>
      <c r="J11" s="19">
        <v>49800</v>
      </c>
      <c r="K11" s="86"/>
    </row>
    <row r="12" spans="1:11" s="1" customFormat="1" ht="40.5" customHeight="1" x14ac:dyDescent="0.25">
      <c r="A12" s="81" t="s">
        <v>36</v>
      </c>
      <c r="B12" s="23" t="s">
        <v>93</v>
      </c>
      <c r="C12" s="20" t="s">
        <v>11</v>
      </c>
      <c r="D12" s="22" t="s">
        <v>91</v>
      </c>
      <c r="E12" s="20" t="s">
        <v>21</v>
      </c>
      <c r="F12" s="21" t="s">
        <v>52</v>
      </c>
      <c r="G12" s="21" t="s">
        <v>22</v>
      </c>
      <c r="H12" s="25">
        <v>46023</v>
      </c>
      <c r="I12" s="20" t="s">
        <v>23</v>
      </c>
      <c r="J12" s="19">
        <v>49800</v>
      </c>
      <c r="K12" s="84">
        <v>99600</v>
      </c>
    </row>
    <row r="13" spans="1:11" s="1" customFormat="1" ht="45.75" customHeight="1" x14ac:dyDescent="0.25">
      <c r="A13" s="82"/>
      <c r="B13" s="23" t="s">
        <v>92</v>
      </c>
      <c r="C13" s="20" t="s">
        <v>11</v>
      </c>
      <c r="D13" s="22" t="s">
        <v>91</v>
      </c>
      <c r="E13" s="20" t="s">
        <v>21</v>
      </c>
      <c r="F13" s="21" t="s">
        <v>52</v>
      </c>
      <c r="G13" s="21" t="s">
        <v>22</v>
      </c>
      <c r="H13" s="25">
        <v>46023</v>
      </c>
      <c r="I13" s="20" t="s">
        <v>23</v>
      </c>
      <c r="J13" s="19">
        <v>49800</v>
      </c>
      <c r="K13" s="86"/>
    </row>
    <row r="14" spans="1:11" s="1" customFormat="1" ht="36" customHeight="1" x14ac:dyDescent="0.25">
      <c r="A14" s="81" t="s">
        <v>37</v>
      </c>
      <c r="B14" s="23" t="s">
        <v>90</v>
      </c>
      <c r="C14" s="20" t="s">
        <v>11</v>
      </c>
      <c r="D14" s="22" t="s">
        <v>89</v>
      </c>
      <c r="E14" s="20" t="s">
        <v>21</v>
      </c>
      <c r="F14" s="21" t="s">
        <v>52</v>
      </c>
      <c r="G14" s="21" t="s">
        <v>22</v>
      </c>
      <c r="H14" s="25">
        <v>46023</v>
      </c>
      <c r="I14" s="20" t="s">
        <v>23</v>
      </c>
      <c r="J14" s="19">
        <v>49800</v>
      </c>
      <c r="K14" s="84">
        <v>99600</v>
      </c>
    </row>
    <row r="15" spans="1:11" s="1" customFormat="1" ht="36" customHeight="1" x14ac:dyDescent="0.25">
      <c r="A15" s="82"/>
      <c r="B15" s="23" t="s">
        <v>88</v>
      </c>
      <c r="C15" s="20" t="s">
        <v>11</v>
      </c>
      <c r="D15" s="22" t="s">
        <v>84</v>
      </c>
      <c r="E15" s="20" t="s">
        <v>21</v>
      </c>
      <c r="F15" s="21" t="s">
        <v>52</v>
      </c>
      <c r="G15" s="21" t="s">
        <v>22</v>
      </c>
      <c r="H15" s="25">
        <v>46023</v>
      </c>
      <c r="I15" s="20" t="s">
        <v>23</v>
      </c>
      <c r="J15" s="19">
        <v>49800</v>
      </c>
      <c r="K15" s="86"/>
    </row>
    <row r="16" spans="1:11" s="1" customFormat="1" ht="58.5" customHeight="1" x14ac:dyDescent="0.25">
      <c r="A16" s="26" t="s">
        <v>104</v>
      </c>
      <c r="B16" s="23" t="s">
        <v>87</v>
      </c>
      <c r="C16" s="20" t="s">
        <v>11</v>
      </c>
      <c r="D16" s="22" t="s">
        <v>84</v>
      </c>
      <c r="E16" s="20" t="s">
        <v>21</v>
      </c>
      <c r="F16" s="21" t="s">
        <v>52</v>
      </c>
      <c r="G16" s="21" t="s">
        <v>22</v>
      </c>
      <c r="H16" s="25">
        <v>46023</v>
      </c>
      <c r="I16" s="20" t="s">
        <v>23</v>
      </c>
      <c r="J16" s="19">
        <v>49800</v>
      </c>
      <c r="K16" s="19">
        <v>49800</v>
      </c>
    </row>
    <row r="17" spans="1:11" s="1" customFormat="1" ht="48" customHeight="1" x14ac:dyDescent="0.25">
      <c r="A17" s="24" t="s">
        <v>38</v>
      </c>
      <c r="B17" s="23" t="s">
        <v>86</v>
      </c>
      <c r="C17" s="20" t="s">
        <v>11</v>
      </c>
      <c r="D17" s="22" t="s">
        <v>84</v>
      </c>
      <c r="E17" s="20" t="s">
        <v>21</v>
      </c>
      <c r="F17" s="21" t="s">
        <v>52</v>
      </c>
      <c r="G17" s="21" t="s">
        <v>22</v>
      </c>
      <c r="H17" s="25">
        <v>46023</v>
      </c>
      <c r="I17" s="20" t="s">
        <v>23</v>
      </c>
      <c r="J17" s="19">
        <v>49800</v>
      </c>
      <c r="K17" s="19">
        <v>49800</v>
      </c>
    </row>
    <row r="18" spans="1:11" s="1" customFormat="1" ht="41.25" customHeight="1" x14ac:dyDescent="0.25">
      <c r="A18" s="24" t="s">
        <v>39</v>
      </c>
      <c r="B18" s="23" t="s">
        <v>85</v>
      </c>
      <c r="C18" s="20" t="s">
        <v>11</v>
      </c>
      <c r="D18" s="22" t="s">
        <v>84</v>
      </c>
      <c r="E18" s="20" t="s">
        <v>21</v>
      </c>
      <c r="F18" s="21" t="s">
        <v>52</v>
      </c>
      <c r="G18" s="21" t="s">
        <v>22</v>
      </c>
      <c r="H18" s="25">
        <v>46023</v>
      </c>
      <c r="I18" s="20" t="s">
        <v>23</v>
      </c>
      <c r="J18" s="19">
        <v>49800</v>
      </c>
      <c r="K18" s="19">
        <v>49800</v>
      </c>
    </row>
    <row r="19" spans="1:11" s="1" customFormat="1" ht="48" customHeight="1" x14ac:dyDescent="0.25">
      <c r="A19" s="77" t="s">
        <v>24</v>
      </c>
      <c r="B19" s="17" t="s">
        <v>83</v>
      </c>
      <c r="C19" s="9" t="s">
        <v>11</v>
      </c>
      <c r="D19" s="8" t="s">
        <v>79</v>
      </c>
      <c r="E19" s="9" t="s">
        <v>21</v>
      </c>
      <c r="F19" s="12" t="s">
        <v>27</v>
      </c>
      <c r="G19" s="10" t="s">
        <v>147</v>
      </c>
      <c r="H19" s="13">
        <v>46023</v>
      </c>
      <c r="I19" s="9" t="s">
        <v>23</v>
      </c>
      <c r="J19" s="11">
        <v>92750</v>
      </c>
      <c r="K19" s="79">
        <v>488660</v>
      </c>
    </row>
    <row r="20" spans="1:11" s="1" customFormat="1" ht="46.5" customHeight="1" x14ac:dyDescent="0.25">
      <c r="A20" s="87"/>
      <c r="B20" s="17" t="s">
        <v>82</v>
      </c>
      <c r="C20" s="9" t="s">
        <v>11</v>
      </c>
      <c r="D20" s="8" t="s">
        <v>81</v>
      </c>
      <c r="E20" s="9" t="s">
        <v>21</v>
      </c>
      <c r="F20" s="12" t="s">
        <v>27</v>
      </c>
      <c r="G20" s="10" t="s">
        <v>147</v>
      </c>
      <c r="H20" s="13">
        <v>46023</v>
      </c>
      <c r="I20" s="9" t="s">
        <v>23</v>
      </c>
      <c r="J20" s="11">
        <v>92750</v>
      </c>
      <c r="K20" s="88"/>
    </row>
    <row r="21" spans="1:11" s="1" customFormat="1" ht="46.5" customHeight="1" x14ac:dyDescent="0.25">
      <c r="A21" s="87"/>
      <c r="B21" s="17" t="s">
        <v>80</v>
      </c>
      <c r="C21" s="9" t="s">
        <v>11</v>
      </c>
      <c r="D21" s="8" t="s">
        <v>79</v>
      </c>
      <c r="E21" s="9" t="s">
        <v>21</v>
      </c>
      <c r="F21" s="12" t="s">
        <v>27</v>
      </c>
      <c r="G21" s="10" t="s">
        <v>147</v>
      </c>
      <c r="H21" s="13">
        <v>46023</v>
      </c>
      <c r="I21" s="9" t="s">
        <v>23</v>
      </c>
      <c r="J21" s="11">
        <v>75790</v>
      </c>
      <c r="K21" s="88"/>
    </row>
    <row r="22" spans="1:11" s="1" customFormat="1" ht="48.75" customHeight="1" x14ac:dyDescent="0.25">
      <c r="A22" s="87"/>
      <c r="B22" s="17" t="s">
        <v>78</v>
      </c>
      <c r="C22" s="9" t="s">
        <v>11</v>
      </c>
      <c r="D22" s="8" t="s">
        <v>77</v>
      </c>
      <c r="E22" s="9" t="s">
        <v>21</v>
      </c>
      <c r="F22" s="12" t="s">
        <v>27</v>
      </c>
      <c r="G22" s="10" t="s">
        <v>147</v>
      </c>
      <c r="H22" s="13">
        <v>46023</v>
      </c>
      <c r="I22" s="9" t="s">
        <v>23</v>
      </c>
      <c r="J22" s="11">
        <v>75790</v>
      </c>
      <c r="K22" s="88"/>
    </row>
    <row r="23" spans="1:11" s="1" customFormat="1" ht="50.25" customHeight="1" x14ac:dyDescent="0.25">
      <c r="A23" s="87"/>
      <c r="B23" s="17" t="s">
        <v>76</v>
      </c>
      <c r="C23" s="9" t="s">
        <v>11</v>
      </c>
      <c r="D23" s="8" t="s">
        <v>75</v>
      </c>
      <c r="E23" s="9" t="s">
        <v>21</v>
      </c>
      <c r="F23" s="12" t="s">
        <v>27</v>
      </c>
      <c r="G23" s="10" t="s">
        <v>147</v>
      </c>
      <c r="H23" s="13">
        <v>46023</v>
      </c>
      <c r="I23" s="9" t="s">
        <v>23</v>
      </c>
      <c r="J23" s="11">
        <v>75790</v>
      </c>
      <c r="K23" s="88"/>
    </row>
    <row r="24" spans="1:11" s="1" customFormat="1" ht="50.25" customHeight="1" x14ac:dyDescent="0.25">
      <c r="A24" s="78"/>
      <c r="B24" s="17" t="s">
        <v>61</v>
      </c>
      <c r="C24" s="9" t="s">
        <v>11</v>
      </c>
      <c r="D24" s="8" t="s">
        <v>79</v>
      </c>
      <c r="E24" s="9" t="s">
        <v>44</v>
      </c>
      <c r="F24" s="12" t="s">
        <v>27</v>
      </c>
      <c r="G24" s="10" t="s">
        <v>147</v>
      </c>
      <c r="H24" s="13">
        <v>46023</v>
      </c>
      <c r="I24" s="9" t="s">
        <v>23</v>
      </c>
      <c r="J24" s="11">
        <v>75790</v>
      </c>
      <c r="K24" s="80"/>
    </row>
    <row r="25" spans="1:11" s="1" customFormat="1" ht="69" customHeight="1" x14ac:dyDescent="0.25">
      <c r="A25" s="18" t="s">
        <v>26</v>
      </c>
      <c r="B25" s="17" t="s">
        <v>74</v>
      </c>
      <c r="C25" s="9" t="s">
        <v>11</v>
      </c>
      <c r="D25" s="8" t="s">
        <v>73</v>
      </c>
      <c r="E25" s="9" t="s">
        <v>21</v>
      </c>
      <c r="F25" s="12" t="s">
        <v>27</v>
      </c>
      <c r="G25" s="10" t="s">
        <v>147</v>
      </c>
      <c r="H25" s="13">
        <v>46023</v>
      </c>
      <c r="I25" s="9" t="s">
        <v>23</v>
      </c>
      <c r="J25" s="11">
        <v>88400</v>
      </c>
      <c r="K25" s="11">
        <v>88400</v>
      </c>
    </row>
    <row r="26" spans="1:11" s="1" customFormat="1" ht="51.75" customHeight="1" x14ac:dyDescent="0.25">
      <c r="A26" s="77" t="s">
        <v>28</v>
      </c>
      <c r="B26" s="17" t="s">
        <v>72</v>
      </c>
      <c r="C26" s="9" t="s">
        <v>11</v>
      </c>
      <c r="D26" s="8" t="s">
        <v>71</v>
      </c>
      <c r="E26" s="9" t="s">
        <v>21</v>
      </c>
      <c r="F26" s="12" t="s">
        <v>29</v>
      </c>
      <c r="G26" s="10" t="s">
        <v>147</v>
      </c>
      <c r="H26" s="13">
        <v>46023</v>
      </c>
      <c r="I26" s="9" t="s">
        <v>23</v>
      </c>
      <c r="J26" s="11">
        <v>80080</v>
      </c>
      <c r="K26" s="79">
        <v>160160</v>
      </c>
    </row>
    <row r="27" spans="1:11" s="1" customFormat="1" ht="57" customHeight="1" x14ac:dyDescent="0.25">
      <c r="A27" s="78"/>
      <c r="B27" s="17" t="s">
        <v>70</v>
      </c>
      <c r="C27" s="9" t="s">
        <v>11</v>
      </c>
      <c r="D27" s="8" t="s">
        <v>69</v>
      </c>
      <c r="E27" s="9" t="s">
        <v>21</v>
      </c>
      <c r="F27" s="12" t="s">
        <v>29</v>
      </c>
      <c r="G27" s="10" t="s">
        <v>147</v>
      </c>
      <c r="H27" s="13">
        <v>46023</v>
      </c>
      <c r="I27" s="9" t="s">
        <v>23</v>
      </c>
      <c r="J27" s="11">
        <v>80080</v>
      </c>
      <c r="K27" s="80"/>
    </row>
    <row r="28" spans="1:11" s="1" customFormat="1" ht="83.25" customHeight="1" x14ac:dyDescent="0.25">
      <c r="A28" s="8" t="s">
        <v>30</v>
      </c>
      <c r="B28" s="17" t="s">
        <v>68</v>
      </c>
      <c r="C28" s="9" t="s">
        <v>11</v>
      </c>
      <c r="D28" s="8" t="s">
        <v>67</v>
      </c>
      <c r="E28" s="9" t="s">
        <v>21</v>
      </c>
      <c r="F28" s="12" t="s">
        <v>31</v>
      </c>
      <c r="G28" s="10" t="s">
        <v>147</v>
      </c>
      <c r="H28" s="13">
        <v>46023</v>
      </c>
      <c r="I28" s="9" t="s">
        <v>23</v>
      </c>
      <c r="J28" s="11">
        <v>43500</v>
      </c>
      <c r="K28" s="11">
        <v>43500</v>
      </c>
    </row>
    <row r="29" spans="1:11" s="1" customFormat="1" ht="78.75" customHeight="1" x14ac:dyDescent="0.25">
      <c r="A29" s="8" t="s">
        <v>32</v>
      </c>
      <c r="B29" s="17" t="s">
        <v>66</v>
      </c>
      <c r="C29" s="9" t="s">
        <v>11</v>
      </c>
      <c r="D29" s="8" t="s">
        <v>65</v>
      </c>
      <c r="E29" s="9" t="s">
        <v>21</v>
      </c>
      <c r="F29" s="12" t="s">
        <v>31</v>
      </c>
      <c r="G29" s="10" t="s">
        <v>147</v>
      </c>
      <c r="H29" s="13">
        <v>46023</v>
      </c>
      <c r="I29" s="9" t="s">
        <v>23</v>
      </c>
      <c r="J29" s="11">
        <v>47300</v>
      </c>
      <c r="K29" s="11">
        <v>47300</v>
      </c>
    </row>
    <row r="30" spans="1:11" s="1" customFormat="1" ht="73.5" customHeight="1" x14ac:dyDescent="0.25">
      <c r="A30" s="8" t="s">
        <v>64</v>
      </c>
      <c r="B30" s="17" t="s">
        <v>63</v>
      </c>
      <c r="C30" s="9" t="s">
        <v>11</v>
      </c>
      <c r="D30" s="8" t="s">
        <v>62</v>
      </c>
      <c r="E30" s="9" t="s">
        <v>21</v>
      </c>
      <c r="F30" s="14" t="s">
        <v>27</v>
      </c>
      <c r="G30" s="10" t="s">
        <v>147</v>
      </c>
      <c r="H30" s="13">
        <v>46023</v>
      </c>
      <c r="I30" s="9" t="s">
        <v>23</v>
      </c>
      <c r="J30" s="11">
        <v>30000</v>
      </c>
      <c r="K30" s="11">
        <v>30000</v>
      </c>
    </row>
    <row r="31" spans="1:11" s="1" customFormat="1" ht="78" customHeight="1" x14ac:dyDescent="0.25">
      <c r="A31" s="8" t="s">
        <v>33</v>
      </c>
      <c r="B31" s="16" t="s">
        <v>154</v>
      </c>
      <c r="C31" s="9" t="s">
        <v>11</v>
      </c>
      <c r="D31" s="8" t="s">
        <v>33</v>
      </c>
      <c r="E31" s="9" t="s">
        <v>21</v>
      </c>
      <c r="F31" s="12" t="s">
        <v>29</v>
      </c>
      <c r="G31" s="10" t="s">
        <v>147</v>
      </c>
      <c r="H31" s="9" t="s">
        <v>141</v>
      </c>
      <c r="I31" s="9" t="s">
        <v>23</v>
      </c>
      <c r="J31" s="11" t="s">
        <v>60</v>
      </c>
      <c r="K31" s="11">
        <v>196000</v>
      </c>
    </row>
    <row r="32" spans="1:11" ht="67.5" customHeight="1" x14ac:dyDescent="0.25">
      <c r="A32" s="8" t="s">
        <v>164</v>
      </c>
      <c r="B32" s="65" t="s">
        <v>155</v>
      </c>
      <c r="C32" s="9" t="s">
        <v>11</v>
      </c>
      <c r="D32" s="8" t="s">
        <v>164</v>
      </c>
      <c r="E32" s="9" t="s">
        <v>21</v>
      </c>
      <c r="F32" s="14" t="s">
        <v>27</v>
      </c>
      <c r="G32" s="10" t="s">
        <v>147</v>
      </c>
      <c r="H32" s="13">
        <v>46023</v>
      </c>
      <c r="I32" s="9" t="s">
        <v>23</v>
      </c>
      <c r="J32" s="11">
        <v>50000</v>
      </c>
      <c r="K32" s="11">
        <v>50000</v>
      </c>
    </row>
    <row r="33" spans="10:11" ht="44.1" customHeight="1" x14ac:dyDescent="0.25">
      <c r="K33" s="69">
        <f>SUM(K8:K32)</f>
        <v>1651820</v>
      </c>
    </row>
    <row r="35" spans="10:11" x14ac:dyDescent="0.25">
      <c r="J35" t="s">
        <v>165</v>
      </c>
      <c r="K35" s="69">
        <v>800000</v>
      </c>
    </row>
    <row r="37" spans="10:11" x14ac:dyDescent="0.25">
      <c r="K37" s="69"/>
    </row>
    <row r="40" spans="10:11" x14ac:dyDescent="0.25">
      <c r="J40" t="s">
        <v>166</v>
      </c>
      <c r="K40" s="70">
        <v>2422030</v>
      </c>
    </row>
    <row r="42" spans="10:11" x14ac:dyDescent="0.25">
      <c r="J42" s="72" t="s">
        <v>167</v>
      </c>
      <c r="K42" s="71">
        <f>K33+K35-K40</f>
        <v>29790</v>
      </c>
    </row>
  </sheetData>
  <mergeCells count="11">
    <mergeCell ref="C3:F3"/>
    <mergeCell ref="A26:A27"/>
    <mergeCell ref="K26:K27"/>
    <mergeCell ref="A8:A11"/>
    <mergeCell ref="K8:K11"/>
    <mergeCell ref="A12:A13"/>
    <mergeCell ref="K12:K13"/>
    <mergeCell ref="A14:A15"/>
    <mergeCell ref="K14:K15"/>
    <mergeCell ref="A19:A24"/>
    <mergeCell ref="K19:K24"/>
  </mergeCells>
  <phoneticPr fontId="10" type="noConversion"/>
  <pageMargins left="0.7" right="0.7" top="0.75" bottom="0.75" header="0.3" footer="0.3"/>
  <pageSetup paperSize="9" scale="32" orientation="landscape"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Buddget 2026 Rabat </vt:lpstr>
      <vt:lpstr>Buddget 2026 laayoune</vt:lpstr>
      <vt:lpstr>'Buddget 2026 Rabat '!Zone_d_impression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BOUROUIS Ayoub</dc:creator>
  <cp:lastModifiedBy>user</cp:lastModifiedBy>
  <cp:lastPrinted>2023-12-11T12:34:49Z</cp:lastPrinted>
  <dcterms:created xsi:type="dcterms:W3CDTF">2023-09-18T14:13:39Z</dcterms:created>
  <dcterms:modified xsi:type="dcterms:W3CDTF">2026-01-05T13:00:10Z</dcterms:modified>
</cp:coreProperties>
</file>