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0730" windowHeight="11760" tabRatio="903"/>
  </bookViews>
  <sheets>
    <sheet name="AOO 2026" sheetId="20" r:id="rId1"/>
    <sheet name="RECONDUCTION PRG EXT 2026" sheetId="18" r:id="rId2"/>
    <sheet name="PPA BONS DE COMMANDES 2026" sheetId="14" r:id="rId3"/>
    <sheet name="PPA MARCHES 2026" sheetId="15" r:id="rId4"/>
    <sheet name="DETAIL FREELANCES" sheetId="17" r:id="rId5"/>
  </sheets>
  <externalReferences>
    <externalReference r:id="rId6"/>
  </externalReferences>
  <definedNames>
    <definedName name="_xlnm._FilterDatabase" localSheetId="2" hidden="1">'PPA BONS DE COMMANDES 2026'!$A$3:$J$4</definedName>
    <definedName name="Base_Annee">[1]Base!$D:$D</definedName>
    <definedName name="Base_BDG">[1]Base!$E:$E</definedName>
    <definedName name="Base_DIR">[1]Base!$A:$A</definedName>
    <definedName name="Base_LIB">[1]Base!$B:$B</definedName>
    <definedName name="Base_MNT">[1]Base!$F:$F</definedName>
    <definedName name="Base_Nature">[1]Base!$C:$C</definedName>
    <definedName name="BC_ANNEE">'[1]BC16-20'!$A:$A</definedName>
    <definedName name="BC_BDG">'[1]BC16-20'!$K:$K</definedName>
    <definedName name="BC_DIRECTION">'[1]BC16-20'!$J:$J</definedName>
    <definedName name="BC_TTC">'[1]BC16-20'!$H:$H</definedName>
    <definedName name="BC21_BDG">'PPA BONS DE COMMANDES 2026'!$I:$I</definedName>
    <definedName name="BC21_DIR">'PPA BONS DE COMMANDES 2026'!$A:$A</definedName>
    <definedName name="BC21_MNT">'PPA BONS DE COMMANDES 2026'!$D:$D</definedName>
    <definedName name="CONTRA_ANNE">'[1]CONTRAT16-20'!$A:$A</definedName>
    <definedName name="CONTRA_BDG">'[1]CONTRAT16-20'!$W:$W</definedName>
    <definedName name="CONTRA_DIRECT">'[1]CONTRAT16-20'!$D:$D</definedName>
    <definedName name="CONTRA_TTC">'[1]CONTRAT16-20'!$V:$V</definedName>
    <definedName name="CRT21_BDG" localSheetId="0">#REF!</definedName>
    <definedName name="CRT21_BDG">#REF!</definedName>
    <definedName name="CRT21_DIR" localSheetId="0">#REF!</definedName>
    <definedName name="CRT21_DIR">#REF!</definedName>
    <definedName name="CRT21_MNT" localSheetId="0">#REF!</definedName>
    <definedName name="CRT21_MNT">#REF!</definedName>
    <definedName name="DIRECTIONS">[1]Base!$A$2:$A$24</definedName>
    <definedName name="_xlnm.Print_Titles" localSheetId="2">'PPA BONS DE COMMANDES 2026'!$1:$3</definedName>
    <definedName name="LIB">[1]Parametres!$A$2:$A$24</definedName>
    <definedName name="MAR21_BDG" localSheetId="0">#REF!</definedName>
    <definedName name="MAR21_BDG">#REF!</definedName>
    <definedName name="MAR21_DIR" localSheetId="0">#REF!</definedName>
    <definedName name="MAR21_DIR">#REF!</definedName>
    <definedName name="MAR21_MNT" localSheetId="0">#REF!</definedName>
    <definedName name="MAR21_MNT">#REF!</definedName>
    <definedName name="MARCHE_ANNE">'[1]MARCHES16-20'!$A:$A</definedName>
    <definedName name="MARCHE_BDG">'[1]MARCHES16-20'!$Q:$Q</definedName>
    <definedName name="MARCHE_DIRCT">'[1]MARCHES16-20'!$B:$B</definedName>
    <definedName name="MARCHE_TTC">'[1]MARCHES16-20'!$O:$O</definedName>
    <definedName name="MOY">'[1]SYNTHESE GENERALE'!$AC$5:$AE$26</definedName>
    <definedName name="PRO21_AO" localSheetId="0">#REF!</definedName>
    <definedName name="PRO21_AO">#REF!</definedName>
    <definedName name="PRO21_BDG" localSheetId="0">#REF!</definedName>
    <definedName name="PRO21_BDG">#REF!</definedName>
    <definedName name="PRO21_DIR" localSheetId="0">#REF!</definedName>
    <definedName name="PRO21_DIR">#REF!</definedName>
    <definedName name="PRO21_HT" localSheetId="0">#REF!</definedName>
    <definedName name="PRO21_HT">#REF!</definedName>
    <definedName name="PRO21_MNT" localSheetId="0">#REF!</definedName>
    <definedName name="PRO21_MNT">#REF!</definedName>
    <definedName name="PRO21_NB" localSheetId="0">#REF!</definedName>
    <definedName name="PRO21_NB">#REF!</definedName>
    <definedName name="PROD_ANNE">'[1]PRODUCTION16-20'!$A:$A</definedName>
    <definedName name="PROD_AO">'[1]PRODUCTION16-20'!$I:$I</definedName>
    <definedName name="PROD_BDG">'[1]PRODUCTION16-20'!$M:$M</definedName>
    <definedName name="PROD_DIRCT">'[1]PRODUCTION16-20'!$C:$C</definedName>
    <definedName name="PROD_HT">'[1]PRODUCTION16-20'!$K:$K</definedName>
    <definedName name="PROD_TTC">'[1]PRODUCTION16-20'!$L:$L</definedName>
    <definedName name="RECAP_ANNEE">'[1]SYNTHESE GENERALE'!$A$4:$AJ$26</definedName>
    <definedName name="_xlnm.Print_Area" localSheetId="0">'AOO 2026'!$A$1:$M$16</definedName>
    <definedName name="_xlnm.Print_Area" localSheetId="2">'PPA BONS DE COMMANDES 2026'!$A$1:$J$7</definedName>
    <definedName name="_xlnm.Print_Area" localSheetId="3">'PPA MARCHES 2026'!$A$1:$N$7</definedName>
    <definedName name="_xlnm.Print_Area" localSheetId="1">'RECONDUCTION PRG EXT 2026'!$A$1:$M$21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8"/>
  <c r="M20" s="1"/>
  <c r="M7"/>
  <c r="K16" i="20"/>
  <c r="K9"/>
  <c r="L9" s="1"/>
  <c r="M9" s="1"/>
  <c r="K8"/>
  <c r="L8" s="1"/>
  <c r="M8" s="1"/>
  <c r="K7"/>
  <c r="L7" s="1"/>
  <c r="M7" s="1"/>
  <c r="K3"/>
  <c r="K4"/>
  <c r="K6" l="1"/>
  <c r="L6" s="1"/>
  <c r="M6" s="1"/>
  <c r="K5"/>
  <c r="L5" s="1"/>
  <c r="M5" s="1"/>
  <c r="M10"/>
  <c r="M11"/>
  <c r="M12"/>
  <c r="M13"/>
  <c r="M14"/>
  <c r="M15"/>
  <c r="L3"/>
  <c r="M3" s="1"/>
  <c r="L4"/>
  <c r="M4" s="1"/>
  <c r="L2"/>
  <c r="M2" s="1"/>
  <c r="K2"/>
  <c r="K15"/>
  <c r="L15" s="1"/>
  <c r="L14"/>
  <c r="K13"/>
  <c r="L13" s="1"/>
  <c r="K12"/>
  <c r="K11"/>
  <c r="L11" s="1"/>
  <c r="L10"/>
  <c r="K10"/>
  <c r="K6" i="18"/>
  <c r="M6" s="1"/>
  <c r="K5"/>
  <c r="M5" s="1"/>
  <c r="K3"/>
  <c r="K4"/>
  <c r="L19"/>
  <c r="M19" s="1"/>
  <c r="L3" l="1"/>
  <c r="M3" s="1"/>
  <c r="L4"/>
  <c r="M4" s="1"/>
  <c r="M16" i="20"/>
  <c r="L12"/>
  <c r="K18" i="18" l="1"/>
  <c r="M18" s="1"/>
  <c r="K17"/>
  <c r="K16"/>
  <c r="K15"/>
  <c r="K14"/>
  <c r="K13"/>
  <c r="K12"/>
  <c r="M12" s="1"/>
  <c r="K11"/>
  <c r="K10"/>
  <c r="K9"/>
  <c r="K8"/>
  <c r="K2"/>
  <c r="L8" l="1"/>
  <c r="M8" s="1"/>
  <c r="L16"/>
  <c r="M16"/>
  <c r="L2"/>
  <c r="M2" s="1"/>
  <c r="L11"/>
  <c r="M11" s="1"/>
  <c r="L15"/>
  <c r="M15" s="1"/>
  <c r="L10"/>
  <c r="M10" s="1"/>
  <c r="L13"/>
  <c r="M13" s="1"/>
  <c r="L9"/>
  <c r="M9" s="1"/>
  <c r="L14"/>
  <c r="M14" s="1"/>
  <c r="L17"/>
  <c r="M17" s="1"/>
  <c r="M21" l="1"/>
  <c r="F2" i="17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 l="1"/>
</calcChain>
</file>

<file path=xl/sharedStrings.xml><?xml version="1.0" encoding="utf-8"?>
<sst xmlns="http://schemas.openxmlformats.org/spreadsheetml/2006/main" count="445" uniqueCount="206">
  <si>
    <t xml:space="preserve">DIRECTION </t>
  </si>
  <si>
    <t>OBJET
(le plus détaillé possible)</t>
  </si>
  <si>
    <t xml:space="preserve">Nature de la prestation </t>
  </si>
  <si>
    <t>Budget Prévisionnel (TTC)</t>
  </si>
  <si>
    <t>Période d'exécution</t>
  </si>
  <si>
    <t>Lieu d'execution</t>
  </si>
  <si>
    <t>Nature Budget présentée</t>
  </si>
  <si>
    <t>Nature de besoin</t>
  </si>
  <si>
    <t>Justification du besoin</t>
  </si>
  <si>
    <t xml:space="preserve">            OBSERVATION              </t>
  </si>
  <si>
    <t>Rabat</t>
  </si>
  <si>
    <t>Fonctionnement</t>
  </si>
  <si>
    <t>Prévisionnel</t>
  </si>
  <si>
    <t>Nouveaux besoins</t>
  </si>
  <si>
    <t>Acquisition des Programmes PAD ( Piéces théatrales, Dessins animés, Programmes externalisés MRE)</t>
  </si>
  <si>
    <t>9 MOIS</t>
  </si>
  <si>
    <t>Période prévue 
pour le lancement</t>
  </si>
  <si>
    <t>Nature Budget</t>
  </si>
  <si>
    <t>DIRECTION CHARGEE DES PROGRAMMES AMAZIGH RADIO ET TV</t>
  </si>
  <si>
    <t>2 MOIS</t>
  </si>
  <si>
    <t>BC</t>
  </si>
  <si>
    <t>Habillement journalistes présentateurs</t>
  </si>
  <si>
    <t>Habillement</t>
  </si>
  <si>
    <t xml:space="preserve">Invesstissement </t>
  </si>
  <si>
    <t xml:space="preserve">Impression </t>
  </si>
  <si>
    <t>PROGRAMME PREVISIONNEL DES ACHATS DES MARCHES -2024-</t>
  </si>
  <si>
    <t>Mode de passation</t>
  </si>
  <si>
    <t xml:space="preserve">Habillage général de la chaîne </t>
  </si>
  <si>
    <t>Services</t>
  </si>
  <si>
    <t>AOO</t>
  </si>
  <si>
    <t>4 mois</t>
  </si>
  <si>
    <t>Investissement</t>
  </si>
  <si>
    <t>Nouveau besoin</t>
  </si>
  <si>
    <t>Conception et fabrication d'un ensemble de décors comprenant une table et cinq chaises dédiées aux émissions de débat télévisé diffusées sur la chaîne TV8.</t>
  </si>
  <si>
    <t>Habillage général de Radio Amazigh</t>
  </si>
  <si>
    <t xml:space="preserve">Nbr </t>
  </si>
  <si>
    <t>PRESTATAIRE</t>
  </si>
  <si>
    <t>OBJET</t>
  </si>
  <si>
    <t>Trimestres</t>
  </si>
  <si>
    <t xml:space="preserve">PU/Forfait 
trimestriel BRUT
 </t>
  </si>
  <si>
    <t>MONTANT ANNUEL BRUT</t>
  </si>
  <si>
    <t>DELAIS</t>
  </si>
  <si>
    <t>NARJISS EL GOURARI</t>
  </si>
  <si>
    <t>maquilleuse coiffeuse et habilleuse Sénior</t>
  </si>
  <si>
    <t>12 MOIS</t>
  </si>
  <si>
    <t>KARIM DRISS AZIZ</t>
  </si>
  <si>
    <t>Infographiste : gestion playlists JT</t>
  </si>
  <si>
    <t>FATIMA ID-HAMOU</t>
  </si>
  <si>
    <t>Montage Auto Promotion et Bandes Annonces, Webmaster</t>
  </si>
  <si>
    <t>YOUSSEF CHAIH</t>
  </si>
  <si>
    <t>Pré-PAD/Assistant réalisateur</t>
  </si>
  <si>
    <t>ABDELAZIZ AKABBAB</t>
  </si>
  <si>
    <t>Monteur et Pré-PAD</t>
  </si>
  <si>
    <t>CHIHAL FOUAD</t>
  </si>
  <si>
    <t>Réalisateur</t>
  </si>
  <si>
    <t>INSSAF BENTARKA</t>
  </si>
  <si>
    <t>maquilleuse coiffeuse et habilleuse</t>
  </si>
  <si>
    <t>LAHCEN HERRAF</t>
  </si>
  <si>
    <t>Coordinateur Archives</t>
  </si>
  <si>
    <t>FATIMA DOUIBI</t>
  </si>
  <si>
    <t>SOUAD HILALI</t>
  </si>
  <si>
    <t xml:space="preserve">Journaliste </t>
  </si>
  <si>
    <t>REDA KENZI</t>
  </si>
  <si>
    <t>Chargé de production</t>
  </si>
  <si>
    <t>IDRISSI BADR TAFRAOUTI</t>
  </si>
  <si>
    <t>OPV/OPS</t>
  </si>
  <si>
    <t>REDA OU-OUCHEN</t>
  </si>
  <si>
    <t>Assistant Graphiste</t>
  </si>
  <si>
    <t>SAID BELLI</t>
  </si>
  <si>
    <t>SELAYMANE ATTOU</t>
  </si>
  <si>
    <t>Journaliste</t>
  </si>
  <si>
    <t>BASMA OULKHCHICH</t>
  </si>
  <si>
    <t>BOUSSABRI FATIMA</t>
  </si>
  <si>
    <t>JAMAL OUJDDOU</t>
  </si>
  <si>
    <t>REDOUAN SEDDEKI</t>
  </si>
  <si>
    <t>Monteur</t>
  </si>
  <si>
    <t>MOHAMED FADLAOUI</t>
  </si>
  <si>
    <t>Commentateur des matchs football</t>
  </si>
  <si>
    <t>LARBI EL OUAHDANI</t>
  </si>
  <si>
    <t>Maquilleur et coiffeur</t>
  </si>
  <si>
    <t>BOUMCOUSI MOHAMED</t>
  </si>
  <si>
    <t>Concepteur Animateur RD/TV</t>
  </si>
  <si>
    <t>SALAH BOULLA</t>
  </si>
  <si>
    <t>Chef d’édition JT</t>
  </si>
  <si>
    <t>ZAKARIA ACHTER</t>
  </si>
  <si>
    <t>AKDIM M'BAREK</t>
  </si>
  <si>
    <t>MARYEM OUJOUJ</t>
  </si>
  <si>
    <t>Régisseur d'antenne/opérateur serveur</t>
  </si>
  <si>
    <t>RACHID EL MANSOURI</t>
  </si>
  <si>
    <t>HICHAM MADACHA</t>
  </si>
  <si>
    <t>Consultant Politique</t>
  </si>
  <si>
    <t>Consultant juridique/Politique</t>
  </si>
  <si>
    <t>HAFID EZZAHRI</t>
  </si>
  <si>
    <t>SOFIA EL AMALKI</t>
  </si>
  <si>
    <t>Chargée de production</t>
  </si>
  <si>
    <t>AASSID AHMED</t>
  </si>
  <si>
    <t>Chroniqueur</t>
  </si>
  <si>
    <t>32 ép</t>
  </si>
  <si>
    <t>TAHAR MOHAMED</t>
  </si>
  <si>
    <t>SAID HASNI</t>
  </si>
  <si>
    <t>MOUSTAOUI MOHAMED</t>
  </si>
  <si>
    <t>52 ép</t>
  </si>
  <si>
    <t>RACHID ABDELOAHID</t>
  </si>
  <si>
    <t>Journaliste sportif</t>
  </si>
  <si>
    <t>52 ép
50 ép</t>
  </si>
  <si>
    <t>SRHANE EL MOSTAFA</t>
  </si>
  <si>
    <t>BEN AMAR RACHID</t>
  </si>
  <si>
    <t>AAMOUNE MY EL BACHIR</t>
  </si>
  <si>
    <t>NAJMI NOUREDDIN</t>
  </si>
  <si>
    <t>ABEL NEZHA</t>
  </si>
  <si>
    <t>OUIDAD ADARDAK</t>
  </si>
  <si>
    <t>MHAMED EL FERDI</t>
  </si>
  <si>
    <t>NAIMA ABRDAOUS</t>
  </si>
  <si>
    <r>
      <t>Programmatrice</t>
    </r>
    <r>
      <rPr>
        <sz val="11"/>
        <color theme="1"/>
        <rFont val="Calibri"/>
        <family val="2"/>
        <scheme val="minor"/>
      </rPr>
      <t> : Coordination services production et programmation</t>
    </r>
  </si>
  <si>
    <t>DARKAOUI AHLAM</t>
  </si>
  <si>
    <t>Concepteur Animateur RD</t>
  </si>
  <si>
    <t>AMINA ABEL</t>
  </si>
  <si>
    <t>BRAHIM IAAZZA</t>
  </si>
  <si>
    <t>Rédacteur en Tifinagh</t>
  </si>
  <si>
    <t>MOHAMED TALEB</t>
  </si>
  <si>
    <t>ARJDAL ZOHRA</t>
  </si>
  <si>
    <t>OUARDA KOULLIGE</t>
  </si>
  <si>
    <t>YAMINA CHOUA</t>
  </si>
  <si>
    <t>MOULOUD RABAH</t>
  </si>
  <si>
    <t>OBTEL NAJAT</t>
  </si>
  <si>
    <t>Gestionnaire d’antenne</t>
  </si>
  <si>
    <t>DANYAL AZAOUM</t>
  </si>
  <si>
    <t>ZAHRA OUHSSAIN</t>
  </si>
  <si>
    <t>SAADIA BOUZALRHA</t>
  </si>
  <si>
    <t>MUSTAPHA BOUKRIM</t>
  </si>
  <si>
    <t>FATIMA EL KABBOUD</t>
  </si>
  <si>
    <t>SAID BAJJI</t>
  </si>
  <si>
    <t>Nbr</t>
  </si>
  <si>
    <t>DIRECTION</t>
  </si>
  <si>
    <t>CONTRACTANT</t>
  </si>
  <si>
    <t>OBJET DU CONTRAT</t>
  </si>
  <si>
    <t xml:space="preserve">MODE DE PASSATION </t>
  </si>
  <si>
    <t>NATURE DETAILLEE</t>
  </si>
  <si>
    <t>DUREE MINUTES</t>
  </si>
  <si>
    <t>DUREE VALIDITE</t>
  </si>
  <si>
    <t>NBRE EPISODES</t>
  </si>
  <si>
    <t>PRIX UNITAIRE</t>
  </si>
  <si>
    <t>TVA 20%</t>
  </si>
  <si>
    <t>TAMAZIGHT TV</t>
  </si>
  <si>
    <t>HEADLIGHT PROD</t>
  </si>
  <si>
    <t>RECONDUCTION</t>
  </si>
  <si>
    <t>EMISSION TV</t>
  </si>
  <si>
    <t>CEDRE PROD</t>
  </si>
  <si>
    <t xml:space="preserve">L'exécution de la production du  Documentaire"ASRARE ATTABIAA" </t>
  </si>
  <si>
    <t>DOCUMENTAIRE</t>
  </si>
  <si>
    <t>YAN PRODUCTION</t>
  </si>
  <si>
    <t>DISCONNECTED</t>
  </si>
  <si>
    <t>SOIREE</t>
  </si>
  <si>
    <t>MONAFRIQUE</t>
  </si>
  <si>
    <t>ALT MEDIA</t>
  </si>
  <si>
    <t>GOOD NEW COM</t>
  </si>
  <si>
    <t>TAZIRI PROD</t>
  </si>
  <si>
    <t>MAR PRODUCTION</t>
  </si>
  <si>
    <t>ARTLY PROD</t>
  </si>
  <si>
    <t>CONNEXION MEDIA</t>
  </si>
  <si>
    <t xml:space="preserve">L'exécution de la production du documentaire intitulé : « AGHBALOU » </t>
  </si>
  <si>
    <t>ACQUISITION</t>
  </si>
  <si>
    <t>AOO A LANCER</t>
  </si>
  <si>
    <t xml:space="preserve"> Piéces théatrales, Dessins animés, Programmes externalisés MRE</t>
  </si>
  <si>
    <t xml:space="preserve">1 MOIS </t>
  </si>
  <si>
    <t>PROGRAMME PREVISIONNEL DES ACHATS DES BONS DE COMMANDE -2026-</t>
  </si>
  <si>
    <t>MOUSTAPHA AZIZI</t>
  </si>
  <si>
    <t>Impression des affiches et spots/ Emissions couvrant Manifestations sportives</t>
  </si>
  <si>
    <t>Emission de Talk-shows thématique : société, jeunesse et inovations</t>
  </si>
  <si>
    <t>Magazine d'investigation sur les enjeux nationaux et locaux</t>
  </si>
  <si>
    <t>Emission de jeux culture Amazigh: KAFILAT ACHIAAR</t>
  </si>
  <si>
    <t>Emission de jeunes entrepreneurs : ILA AL AMAME</t>
  </si>
  <si>
    <t>Capsules lexicographie : LI NATAHADAT BI AMAZIGHYA</t>
  </si>
  <si>
    <t>Documentaire intitulé : JOUSSOUR FANIA</t>
  </si>
  <si>
    <t>Documentaire intitulé : DAKIRA MAOUCHOUMA</t>
  </si>
  <si>
    <t>Capsules d'apprentissage de la langue Amazigh ( Expressions, proverbes, lexique quotidiens)</t>
  </si>
  <si>
    <t>Téléfeuilleton Tachelhit</t>
  </si>
  <si>
    <t>Téléfeuilleton Tarifit</t>
  </si>
  <si>
    <t>Téléfeuilleton Tamazight</t>
  </si>
  <si>
    <t>A00 2026</t>
  </si>
  <si>
    <t>Fiction</t>
  </si>
  <si>
    <t>Téléfilm social/policier/ comédie ( Tachelhit,Tarifit,Tamazight)</t>
  </si>
  <si>
    <t>Format court (Tachlehit, Tarifit , Tamazight)</t>
  </si>
  <si>
    <t>Séries Patrimoniales(Tachlehit, Tarifit , Tamazight)</t>
  </si>
  <si>
    <t>Séries Radiophoniques(Tachlehit, Tarifit , Tamazight)</t>
  </si>
  <si>
    <t>Soirées Artistiques</t>
  </si>
  <si>
    <t xml:space="preserve">Montant TTC
DHS </t>
  </si>
  <si>
    <t xml:space="preserve">MONTANT DHS HT </t>
  </si>
  <si>
    <t>maquillage</t>
  </si>
  <si>
    <t>Maquillage/Coiffure  journalistes présentateurs</t>
  </si>
  <si>
    <t>Décors</t>
  </si>
  <si>
    <t xml:space="preserve">Capsules numériques Amazigh, thématique possible : 
- langue et expressions,
- Proverbes illustrés en situation animés.
</t>
  </si>
  <si>
    <t>Emission de jeux éducatifs : ortoghraphe Amazigh, quizz culturel, Talents Jeunes.</t>
  </si>
  <si>
    <t>Emission pour enfants se basant sur l'objectif de l'initiation des enfants à la langue Amazigh de façon ludique et , la créativité  avec un brassage de divertissement et apprentissage.</t>
  </si>
  <si>
    <t xml:space="preserve">L'exécution de la production de l'émission MRE  : " WELCOME TAMAZIGHT " </t>
  </si>
  <si>
    <t>L'exécution de la production de la soiree artistique : " SAHRATOUNNA "</t>
  </si>
  <si>
    <t>L'exécution de la production de  l'émission de jeux : " CODE MAGIC"</t>
  </si>
  <si>
    <t>L'exécution de la production de l'émission  : " HIQAYAT  QARIA "</t>
  </si>
  <si>
    <t>L'exécution de la production de l'émission litérature  : " ABAQ AL ADAB "</t>
  </si>
  <si>
    <t>L'exécution de la production de la Capsule  : " AL MORCHID ILA ALOUGHA AL AMAZIGHYA "</t>
  </si>
  <si>
    <t>L'exécution de la production de la Capsule  : " LAHDA  FANIYA "</t>
  </si>
  <si>
    <t>L'exécution de la production du Magazine socio-économique : " MAJALAT ATTAMINA"</t>
  </si>
  <si>
    <t xml:space="preserve">L'exécution de la production du documentaire intitulé : « MAOUROUTE HAY» </t>
  </si>
  <si>
    <t>L'exécution de la production de l'émission  : " TAWNZA  " la Matinale dédiée à la famille</t>
  </si>
  <si>
    <t>L'exécution de la production de l'émission de culturation juridique</t>
  </si>
  <si>
    <t>Décors pour émissions des événements sportifs internationaux organisé par le Maroc</t>
  </si>
</sst>
</file>

<file path=xl/styles.xml><?xml version="1.0" encoding="utf-8"?>
<styleSheet xmlns="http://schemas.openxmlformats.org/spreadsheetml/2006/main">
  <numFmts count="3">
    <numFmt numFmtId="43" formatCode="_-* #,##0.00\ _€_-;\-* #,##0.00\ _€_-;_-* &quot;-&quot;??\ _€_-;_-@_-"/>
    <numFmt numFmtId="164" formatCode="_-* #,##0.00_-;\-* #,##0.00_-;_-* &quot;-&quot;??_-;_-@_-"/>
    <numFmt numFmtId="165" formatCode="_-* #,##0.00\ _D_H_-;\-* #,##0.00\ _D_H_-;_-* &quot;-&quot;??\ _D_H_-;_-@_-"/>
  </numFmts>
  <fonts count="3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theme="0"/>
      <name val="Times New Roman"/>
      <family val="1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8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" fillId="0" borderId="0" applyNumberFormat="0" applyFill="0">
      <alignment horizontal="center" vertical="center" wrapText="1"/>
    </xf>
    <xf numFmtId="43" fontId="2" fillId="0" borderId="0" applyFont="0" applyFill="0" applyBorder="0" applyAlignment="0" applyProtection="0"/>
    <xf numFmtId="0" fontId="18" fillId="0" borderId="0" applyNumberFormat="0" applyFill="0">
      <alignment horizontal="center" vertical="center" wrapText="1"/>
    </xf>
  </cellStyleXfs>
  <cellXfs count="9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2" fillId="0" borderId="0" xfId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vertical="center" wrapText="1"/>
    </xf>
    <xf numFmtId="164" fontId="6" fillId="0" borderId="1" xfId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8" fillId="2" borderId="5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4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164" fontId="10" fillId="0" borderId="0" xfId="1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164" fontId="11" fillId="2" borderId="2" xfId="1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164" fontId="7" fillId="0" borderId="8" xfId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13" fillId="4" borderId="8" xfId="2" applyFont="1" applyFill="1" applyBorder="1" applyAlignment="1">
      <alignment horizontal="center" vertical="center" wrapText="1"/>
    </xf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3" fontId="3" fillId="4" borderId="1" xfId="3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3" fontId="2" fillId="0" borderId="1" xfId="3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43" fontId="2" fillId="0" borderId="0" xfId="3" applyFont="1" applyAlignment="1">
      <alignment vertical="center"/>
    </xf>
    <xf numFmtId="43" fontId="16" fillId="0" borderId="10" xfId="3" applyFont="1" applyBorder="1"/>
    <xf numFmtId="0" fontId="17" fillId="0" borderId="0" xfId="0" applyFont="1" applyAlignment="1">
      <alignment horizontal="center" vertical="center"/>
    </xf>
    <xf numFmtId="43" fontId="2" fillId="0" borderId="0" xfId="3" applyFo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9" fillId="2" borderId="1" xfId="4" applyFont="1" applyFill="1" applyBorder="1">
      <alignment horizontal="center" vertical="center" wrapText="1"/>
    </xf>
    <xf numFmtId="43" fontId="19" fillId="2" borderId="1" xfId="3" applyFont="1" applyFill="1" applyBorder="1" applyAlignment="1">
      <alignment horizontal="center" vertical="center" wrapText="1"/>
    </xf>
    <xf numFmtId="43" fontId="19" fillId="2" borderId="1" xfId="5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0" fillId="3" borderId="1" xfId="4" applyFont="1" applyFill="1" applyBorder="1">
      <alignment horizontal="center" vertical="center" wrapText="1"/>
    </xf>
    <xf numFmtId="0" fontId="0" fillId="7" borderId="0" xfId="0" applyFont="1" applyFill="1"/>
    <xf numFmtId="0" fontId="0" fillId="0" borderId="1" xfId="0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0" fillId="0" borderId="0" xfId="0" applyNumberFormat="1"/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5" fillId="2" borderId="1" xfId="4" applyFont="1" applyFill="1" applyBorder="1">
      <alignment horizontal="center" vertical="center" wrapText="1"/>
    </xf>
    <xf numFmtId="0" fontId="24" fillId="0" borderId="0" xfId="0" applyFont="1" applyAlignment="1">
      <alignment vertical="center"/>
    </xf>
    <xf numFmtId="0" fontId="15" fillId="0" borderId="0" xfId="0" applyFont="1"/>
    <xf numFmtId="0" fontId="26" fillId="3" borderId="1" xfId="4" applyFont="1" applyFill="1" applyBorder="1" applyAlignment="1">
      <alignment horizontal="left" vertical="center" wrapText="1"/>
    </xf>
    <xf numFmtId="43" fontId="27" fillId="0" borderId="0" xfId="0" applyNumberFormat="1" applyFont="1" applyAlignment="1">
      <alignment vertical="center"/>
    </xf>
    <xf numFmtId="43" fontId="28" fillId="3" borderId="1" xfId="5" applyFont="1" applyFill="1" applyBorder="1" applyAlignment="1">
      <alignment horizontal="center" vertical="center" wrapText="1"/>
    </xf>
    <xf numFmtId="43" fontId="28" fillId="0" borderId="1" xfId="5" applyFont="1" applyBorder="1" applyAlignment="1">
      <alignment horizontal="center" vertical="center" wrapText="1"/>
    </xf>
    <xf numFmtId="43" fontId="28" fillId="3" borderId="1" xfId="3" applyFont="1" applyFill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/>
    </xf>
    <xf numFmtId="164" fontId="27" fillId="0" borderId="1" xfId="1" applyFont="1" applyBorder="1" applyAlignment="1">
      <alignment horizontal="center" vertical="center"/>
    </xf>
    <xf numFmtId="43" fontId="27" fillId="0" borderId="1" xfId="3" applyFont="1" applyBorder="1" applyAlignment="1">
      <alignment horizontal="center" vertical="center"/>
    </xf>
    <xf numFmtId="0" fontId="28" fillId="3" borderId="1" xfId="4" applyFont="1" applyFill="1" applyBorder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3" fillId="3" borderId="1" xfId="4" applyFont="1" applyFill="1" applyBorder="1">
      <alignment horizontal="center" vertical="center" wrapText="1"/>
    </xf>
    <xf numFmtId="0" fontId="29" fillId="3" borderId="1" xfId="4" applyFont="1" applyFill="1" applyBorder="1">
      <alignment horizontal="center" vertical="center" wrapText="1"/>
    </xf>
    <xf numFmtId="164" fontId="1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3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/>
  </cellXfs>
  <cellStyles count="7">
    <cellStyle name="Milliers 11" xfId="3"/>
    <cellStyle name="Milliers 2" xfId="1"/>
    <cellStyle name="Milliers 4" xfId="2"/>
    <cellStyle name="Milliers 7" xfId="5"/>
    <cellStyle name="Normal" xfId="0" builtinId="0"/>
    <cellStyle name="Normal 13" xfId="4"/>
    <cellStyle name="Normal 17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wnloads\file:\D:\RAPPORT%20PPA\PPA%2029%2003%202021\Analyse\16%2006%202021\PPA%20version%20du%2016%2006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AU DE BORD"/>
      <sheetName val="PAGE DE GARDE"/>
      <sheetName val="Sommaire"/>
      <sheetName val="PG(1)"/>
      <sheetName val="INTRO"/>
      <sheetName val="PG(2)"/>
      <sheetName val="SYNTHESE GENERALE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PA PRODUCTION 2021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DETAIL AO PROD 2016-2021"/>
      <sheetName val="Feuil4"/>
      <sheetName val="Feuil2"/>
      <sheetName val="PRODUCTION16-20"/>
      <sheetName val="PPA PRODUCTION 2021 previ"/>
      <sheetName val="PPA PRODUCTION 2021 concre"/>
      <sheetName val="PG(4)"/>
      <sheetName val="ANALYSE SOMMAIRE MARCHES"/>
      <sheetName val="Parametres"/>
      <sheetName val="ANALYSE MARCHES"/>
      <sheetName val="ANALYSE MARCHES (2)"/>
      <sheetName val="Feuil7"/>
      <sheetName val="Feuil7 (2)"/>
      <sheetName val="MARCHES16-20"/>
      <sheetName val="Feuil1"/>
      <sheetName val="Feuil9"/>
      <sheetName val="PPA MARCHES 2021"/>
      <sheetName val="PPA MARCHES 2021 prev"/>
      <sheetName val="PPA MARCHES 2021 concret"/>
      <sheetName val="PG(5)"/>
      <sheetName val="ANALYSE SOMMAIRE CONTRAT"/>
      <sheetName val="Base"/>
      <sheetName val="ANALYSE CONTRAT"/>
      <sheetName val="CONTRAT16-20"/>
      <sheetName val="Feuil6"/>
      <sheetName val="PPA CONVENT &amp; CT 2021"/>
      <sheetName val="PPA CONVENT &amp; CT 2021 PREVIS"/>
      <sheetName val="PPA CONVENT &amp; CT 2021 CONCRET"/>
      <sheetName val="PG(6)"/>
      <sheetName val="ANALYSE SOMMAIRE BC"/>
      <sheetName val="ANALYSE BC"/>
      <sheetName val="BC16-20"/>
      <sheetName val="Feuil3"/>
      <sheetName val="Feuil5"/>
      <sheetName val="PPA BC 2021"/>
      <sheetName val="PPA BC 2021 PREVISION"/>
      <sheetName val="PPA BC 2021 CONCRET"/>
      <sheetName val="PG(7)"/>
      <sheetName val="CONCLUSION"/>
      <sheetName val="RE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A4" t="str">
            <v>DIRECTIONS</v>
          </cell>
          <cell r="K4">
            <v>2016</v>
          </cell>
          <cell r="N4">
            <v>2017</v>
          </cell>
          <cell r="Q4">
            <v>2018</v>
          </cell>
          <cell r="T4">
            <v>2019</v>
          </cell>
          <cell r="W4">
            <v>2020</v>
          </cell>
          <cell r="Z4">
            <v>2021</v>
          </cell>
          <cell r="AC4" t="str">
            <v>Myenne 16-20</v>
          </cell>
          <cell r="AF4" t="str">
            <v>Cumul 16-20</v>
          </cell>
          <cell r="AI4" t="str">
            <v>2021/Moy</v>
          </cell>
        </row>
        <row r="5">
          <cell r="A5">
            <v>1</v>
          </cell>
          <cell r="B5" t="str">
            <v>TELEDIFFUSION</v>
          </cell>
          <cell r="K5">
            <v>211.46117315434003</v>
          </cell>
          <cell r="N5">
            <v>195.25506342319184</v>
          </cell>
          <cell r="Q5">
            <v>332.68725359200403</v>
          </cell>
          <cell r="T5">
            <v>266.32798198813902</v>
          </cell>
          <cell r="W5">
            <v>175.06989866679999</v>
          </cell>
          <cell r="Z5">
            <v>257.29517188600005</v>
          </cell>
          <cell r="AC5">
            <v>236.16027416489496</v>
          </cell>
          <cell r="AF5">
            <v>1180.8013708244748</v>
          </cell>
          <cell r="AI5">
            <v>8.9493873581583006E-2</v>
          </cell>
        </row>
        <row r="6">
          <cell r="A6">
            <v>2</v>
          </cell>
          <cell r="B6" t="str">
            <v>ALAOULA</v>
          </cell>
          <cell r="K6">
            <v>158.68281384699998</v>
          </cell>
          <cell r="N6">
            <v>190.50381399999998</v>
          </cell>
          <cell r="Q6">
            <v>274.90709754879998</v>
          </cell>
          <cell r="T6">
            <v>164.88846432999998</v>
          </cell>
          <cell r="W6">
            <v>204.43823876999997</v>
          </cell>
          <cell r="Z6">
            <v>461.36252537599995</v>
          </cell>
          <cell r="AC6">
            <v>198.68408569915999</v>
          </cell>
          <cell r="AF6">
            <v>993.4204284957998</v>
          </cell>
          <cell r="AI6">
            <v>1.3220909905918576</v>
          </cell>
        </row>
        <row r="7">
          <cell r="A7">
            <v>3</v>
          </cell>
          <cell r="B7" t="str">
            <v>TAMAZIGHT</v>
          </cell>
          <cell r="K7">
            <v>96.58535537600001</v>
          </cell>
          <cell r="N7">
            <v>162.65046529299994</v>
          </cell>
          <cell r="Q7">
            <v>61.239332140000002</v>
          </cell>
          <cell r="T7">
            <v>56.27724589999999</v>
          </cell>
          <cell r="W7">
            <v>115.80262110800001</v>
          </cell>
          <cell r="Z7">
            <v>196.182504416</v>
          </cell>
          <cell r="AC7">
            <v>98.511003963399986</v>
          </cell>
          <cell r="AF7">
            <v>657.5847601375001</v>
          </cell>
          <cell r="AI7">
            <v>0.99147807374786401</v>
          </cell>
        </row>
        <row r="8">
          <cell r="A8">
            <v>4</v>
          </cell>
          <cell r="B8" t="str">
            <v>ARRYADIA</v>
          </cell>
          <cell r="K8">
            <v>124.20567837</v>
          </cell>
          <cell r="N8">
            <v>132.46113007</v>
          </cell>
          <cell r="Q8">
            <v>141.22327523749999</v>
          </cell>
          <cell r="T8">
            <v>138.89593597999999</v>
          </cell>
          <cell r="W8">
            <v>120.79874048000001</v>
          </cell>
          <cell r="Z8">
            <v>192.37854240000001</v>
          </cell>
          <cell r="AC8">
            <v>131.5169520275</v>
          </cell>
          <cell r="AF8">
            <v>492.5550198169999</v>
          </cell>
          <cell r="AI8">
            <v>0.46276612584341181</v>
          </cell>
        </row>
        <row r="9">
          <cell r="A9">
            <v>5</v>
          </cell>
          <cell r="B9" t="str">
            <v>TECHNIQUE</v>
          </cell>
          <cell r="K9">
            <v>150.76197486908802</v>
          </cell>
          <cell r="N9">
            <v>79.248893439999989</v>
          </cell>
          <cell r="Q9">
            <v>39.535246579800003</v>
          </cell>
          <cell r="T9">
            <v>73.741299630631801</v>
          </cell>
          <cell r="W9">
            <v>9.8089169960000007</v>
          </cell>
          <cell r="Z9">
            <v>79.106952749999991</v>
          </cell>
          <cell r="AC9">
            <v>70.61926630310397</v>
          </cell>
          <cell r="AF9">
            <v>353.09633151551998</v>
          </cell>
          <cell r="AI9">
            <v>0.12018938869268536</v>
          </cell>
        </row>
        <row r="10">
          <cell r="A10">
            <v>6</v>
          </cell>
          <cell r="B10" t="str">
            <v>DPMG</v>
          </cell>
          <cell r="K10">
            <v>55.596461085999991</v>
          </cell>
          <cell r="N10">
            <v>51.822223929999993</v>
          </cell>
          <cell r="Q10">
            <v>73.334188426000011</v>
          </cell>
          <cell r="T10">
            <v>60.969643282000007</v>
          </cell>
          <cell r="W10">
            <v>53.261251586999997</v>
          </cell>
          <cell r="Z10">
            <v>81.371036070000002</v>
          </cell>
          <cell r="AC10">
            <v>58.9967536622</v>
          </cell>
          <cell r="AF10">
            <v>294.98376831100001</v>
          </cell>
          <cell r="AI10">
            <v>0.3792459926847721</v>
          </cell>
        </row>
        <row r="11">
          <cell r="A11">
            <v>7</v>
          </cell>
          <cell r="B11" t="str">
            <v xml:space="preserve">LAAYOUNE </v>
          </cell>
          <cell r="K11">
            <v>19.279192179999999</v>
          </cell>
          <cell r="N11">
            <v>27.585966859999996</v>
          </cell>
          <cell r="Q11">
            <v>25.958459560000001</v>
          </cell>
          <cell r="T11">
            <v>14.42474638</v>
          </cell>
          <cell r="W11">
            <v>23.632263140000003</v>
          </cell>
          <cell r="Z11">
            <v>45.731521839999999</v>
          </cell>
          <cell r="AC11">
            <v>22.176125624000001</v>
          </cell>
          <cell r="AF11">
            <v>110.88062812000001</v>
          </cell>
          <cell r="AI11">
            <v>1.0621961931216375</v>
          </cell>
        </row>
        <row r="12">
          <cell r="A12">
            <v>8</v>
          </cell>
          <cell r="B12" t="str">
            <v>MARKETING ET PROG TV</v>
          </cell>
          <cell r="K12">
            <v>5.5642160780000003</v>
          </cell>
          <cell r="N12">
            <v>26.739836411999999</v>
          </cell>
          <cell r="Q12">
            <v>6.4545195764999992</v>
          </cell>
          <cell r="T12">
            <v>39.991989200000006</v>
          </cell>
          <cell r="W12">
            <v>6.1805909299999993</v>
          </cell>
          <cell r="Z12">
            <v>33.963822839999999</v>
          </cell>
          <cell r="AC12">
            <v>16.986230439299998</v>
          </cell>
          <cell r="AF12">
            <v>84.931152196499994</v>
          </cell>
          <cell r="AI12">
            <v>0.99949146818472379</v>
          </cell>
        </row>
        <row r="13">
          <cell r="A13">
            <v>9</v>
          </cell>
          <cell r="B13" t="str">
            <v>DSI</v>
          </cell>
          <cell r="K13">
            <v>3.8566431999999997</v>
          </cell>
          <cell r="N13">
            <v>10.377328159999999</v>
          </cell>
          <cell r="Q13">
            <v>20.375346938149999</v>
          </cell>
          <cell r="T13">
            <v>15.299769905</v>
          </cell>
          <cell r="W13">
            <v>12.302660746400001</v>
          </cell>
          <cell r="Z13">
            <v>15.659970099999999</v>
          </cell>
          <cell r="AC13">
            <v>12.442349789910001</v>
          </cell>
          <cell r="AF13">
            <v>62.21174894955</v>
          </cell>
          <cell r="AI13">
            <v>0.25860230297490072</v>
          </cell>
        </row>
        <row r="14">
          <cell r="A14">
            <v>10</v>
          </cell>
          <cell r="B14" t="str">
            <v>INFORMATION TV</v>
          </cell>
          <cell r="K14">
            <v>7.6352459699999997</v>
          </cell>
          <cell r="N14">
            <v>11.833322509999999</v>
          </cell>
          <cell r="Q14">
            <v>10.155432861085</v>
          </cell>
          <cell r="T14">
            <v>13.990551775999998</v>
          </cell>
          <cell r="W14">
            <v>10.639781583799998</v>
          </cell>
          <cell r="Z14">
            <v>17.548199272000002</v>
          </cell>
          <cell r="AC14">
            <v>10.850866940176999</v>
          </cell>
          <cell r="AF14">
            <v>54.254334700884996</v>
          </cell>
          <cell r="AI14">
            <v>0.61721633568513334</v>
          </cell>
        </row>
        <row r="15">
          <cell r="A15">
            <v>11</v>
          </cell>
          <cell r="B15" t="str">
            <v xml:space="preserve">REGIE PUBLICITAIRE </v>
          </cell>
          <cell r="K15">
            <v>5.523081436</v>
          </cell>
          <cell r="N15">
            <v>2.98002916</v>
          </cell>
          <cell r="Q15">
            <v>4.4219852623499998</v>
          </cell>
          <cell r="T15">
            <v>9.6687984920000005</v>
          </cell>
          <cell r="W15">
            <v>7.2292239850000009</v>
          </cell>
          <cell r="Z15">
            <v>5.3284096700000001</v>
          </cell>
          <cell r="AC15">
            <v>5.9646236670699997</v>
          </cell>
          <cell r="AF15">
            <v>29.823118335350003</v>
          </cell>
          <cell r="AI15">
            <v>-0.10666456638035084</v>
          </cell>
        </row>
        <row r="16">
          <cell r="A16">
            <v>12</v>
          </cell>
          <cell r="B16" t="str">
            <v>ASSADISSA ET RADIO COR</v>
          </cell>
          <cell r="K16">
            <v>5.5418500000000002</v>
          </cell>
          <cell r="N16">
            <v>4.2953099999999997</v>
          </cell>
          <cell r="Q16">
            <v>4.2736000000000001</v>
          </cell>
          <cell r="T16">
            <v>5.8291035200000021</v>
          </cell>
          <cell r="W16">
            <v>9.7113869999999967</v>
          </cell>
          <cell r="Z16">
            <v>14.379996340000002</v>
          </cell>
          <cell r="AC16">
            <v>5.9302501039999997</v>
          </cell>
          <cell r="AF16">
            <v>29.651250520000001</v>
          </cell>
          <cell r="AI16">
            <v>1.424854953469936</v>
          </cell>
        </row>
        <row r="17">
          <cell r="A17">
            <v>13</v>
          </cell>
          <cell r="B17" t="str">
            <v>RADIO PROD PROG</v>
          </cell>
          <cell r="K17">
            <v>7.0376484099999974</v>
          </cell>
          <cell r="N17">
            <v>6.8988511199999936</v>
          </cell>
          <cell r="Q17">
            <v>5.4375170399999968</v>
          </cell>
          <cell r="T17">
            <v>4.8674600000000003</v>
          </cell>
          <cell r="W17">
            <v>4.6239999999999997</v>
          </cell>
          <cell r="Z17">
            <v>9.7059999999999995</v>
          </cell>
          <cell r="AC17">
            <v>5.7730953139999972</v>
          </cell>
          <cell r="AF17">
            <v>28.865476569999988</v>
          </cell>
          <cell r="AI17">
            <v>0.68124714249261475</v>
          </cell>
        </row>
        <row r="18">
          <cell r="A18">
            <v>14</v>
          </cell>
          <cell r="B18" t="str">
            <v>DRI</v>
          </cell>
          <cell r="K18">
            <v>3.6265308300000001</v>
          </cell>
          <cell r="N18">
            <v>4.4399652800000009</v>
          </cell>
          <cell r="Q18">
            <v>6.9318352900000004</v>
          </cell>
          <cell r="T18">
            <v>4.9939124499999998</v>
          </cell>
          <cell r="W18">
            <v>4.5454033299999992</v>
          </cell>
          <cell r="Z18">
            <v>4.2681396146999999</v>
          </cell>
          <cell r="AC18">
            <v>4.9075294359999999</v>
          </cell>
          <cell r="AF18">
            <v>24.53764718</v>
          </cell>
          <cell r="AI18">
            <v>-0.13028751628256152</v>
          </cell>
        </row>
        <row r="19">
          <cell r="A19">
            <v>15</v>
          </cell>
          <cell r="B19" t="str">
            <v>RESSOURCES HUMAINES</v>
          </cell>
          <cell r="K19">
            <v>4.84012376</v>
          </cell>
          <cell r="N19">
            <v>3.2366229099999999</v>
          </cell>
          <cell r="Q19">
            <v>2.3937319800000001</v>
          </cell>
          <cell r="T19">
            <v>7.2281191500000004</v>
          </cell>
          <cell r="W19">
            <v>5.8793133800000001</v>
          </cell>
          <cell r="Z19">
            <v>13.71487254</v>
          </cell>
          <cell r="AC19">
            <v>4.7155822360000004</v>
          </cell>
          <cell r="AF19">
            <v>23.577911180000001</v>
          </cell>
          <cell r="AI19">
            <v>1.9084155155427127</v>
          </cell>
        </row>
        <row r="20">
          <cell r="A20">
            <v>16</v>
          </cell>
          <cell r="B20" t="str">
            <v>COMMUNICATION</v>
          </cell>
          <cell r="K20">
            <v>0.31581599999999999</v>
          </cell>
          <cell r="N20">
            <v>0.44379600000000002</v>
          </cell>
          <cell r="Q20">
            <v>0.66256199999999998</v>
          </cell>
          <cell r="T20">
            <v>1.9211592</v>
          </cell>
          <cell r="W20">
            <v>0.63222</v>
          </cell>
          <cell r="Z20">
            <v>3.0509319999999995</v>
          </cell>
          <cell r="AC20">
            <v>0.79511064000000009</v>
          </cell>
          <cell r="AF20">
            <v>3.9755532000000002</v>
          </cell>
          <cell r="AI20">
            <v>2.8371163037134046</v>
          </cell>
        </row>
        <row r="21">
          <cell r="A21">
            <v>17</v>
          </cell>
          <cell r="B21" t="str">
            <v>JURIDIQUE</v>
          </cell>
          <cell r="K21">
            <v>0.10734</v>
          </cell>
          <cell r="N21">
            <v>0.10832172800000001</v>
          </cell>
          <cell r="Q21">
            <v>3.2877899999999998</v>
          </cell>
          <cell r="T21">
            <v>0</v>
          </cell>
          <cell r="W21">
            <v>0.1089</v>
          </cell>
          <cell r="Z21">
            <v>0</v>
          </cell>
          <cell r="AC21">
            <v>0.72247034560000001</v>
          </cell>
          <cell r="AF21">
            <v>3.6123517280000002</v>
          </cell>
          <cell r="AI21">
            <v>-1</v>
          </cell>
        </row>
        <row r="22">
          <cell r="A22">
            <v>18</v>
          </cell>
          <cell r="B22" t="str">
            <v>ACHATS</v>
          </cell>
          <cell r="K22">
            <v>0.916688736</v>
          </cell>
          <cell r="N22">
            <v>0.68359310999999989</v>
          </cell>
          <cell r="Q22">
            <v>0</v>
          </cell>
          <cell r="T22">
            <v>0.87007572999999994</v>
          </cell>
          <cell r="W22">
            <v>0.88373632999999996</v>
          </cell>
          <cell r="Z22">
            <v>0.52560000000000007</v>
          </cell>
          <cell r="AC22">
            <v>0.67081878119999994</v>
          </cell>
          <cell r="AF22">
            <v>3.3540939059999992</v>
          </cell>
          <cell r="AI22">
            <v>-0.21647989780522245</v>
          </cell>
        </row>
        <row r="23">
          <cell r="A23">
            <v>19</v>
          </cell>
          <cell r="B23" t="str">
            <v>INFORMATION RADIO</v>
          </cell>
          <cell r="K23">
            <v>0.79200000000000004</v>
          </cell>
          <cell r="N23">
            <v>9.5877000000000004E-2</v>
          </cell>
          <cell r="Q23">
            <v>0.59426909999999999</v>
          </cell>
          <cell r="T23">
            <v>0.40799999999999997</v>
          </cell>
          <cell r="W23">
            <v>0.40799999999999997</v>
          </cell>
          <cell r="Z23">
            <v>0</v>
          </cell>
          <cell r="AC23">
            <v>0.45962921999999995</v>
          </cell>
          <cell r="AF23">
            <v>2.2981460999999999</v>
          </cell>
          <cell r="AI23">
            <v>-1</v>
          </cell>
        </row>
        <row r="24">
          <cell r="A24">
            <v>20</v>
          </cell>
          <cell r="B24" t="str">
            <v>QUATRIEME</v>
          </cell>
          <cell r="K24">
            <v>0</v>
          </cell>
          <cell r="N24">
            <v>0.39341999999999999</v>
          </cell>
          <cell r="Q24">
            <v>0</v>
          </cell>
          <cell r="T24">
            <v>1.2491399999999999</v>
          </cell>
          <cell r="W24">
            <v>0.152532</v>
          </cell>
          <cell r="Z24">
            <v>1.36</v>
          </cell>
          <cell r="AC24">
            <v>0.35901839999999996</v>
          </cell>
          <cell r="AF24">
            <v>1.7950920000000001</v>
          </cell>
          <cell r="AI24">
            <v>2.7881066819973581</v>
          </cell>
        </row>
        <row r="25">
          <cell r="A25">
            <v>21</v>
          </cell>
          <cell r="B25" t="str">
            <v>FINANCES</v>
          </cell>
          <cell r="K25">
            <v>0.19620000000000001</v>
          </cell>
          <cell r="N25">
            <v>0.49650240000000001</v>
          </cell>
          <cell r="Q25">
            <v>0.30908400000000003</v>
          </cell>
          <cell r="T25">
            <v>4.3610400000000001E-2</v>
          </cell>
          <cell r="W25">
            <v>9.5999999999999992E-3</v>
          </cell>
          <cell r="Z25">
            <v>1.3952</v>
          </cell>
          <cell r="AC25">
            <v>0.21099936000000002</v>
          </cell>
          <cell r="AF25">
            <v>1.0549968000000001</v>
          </cell>
          <cell r="AI25">
            <v>5.6123423312753173</v>
          </cell>
        </row>
        <row r="26">
          <cell r="A26">
            <v>22</v>
          </cell>
          <cell r="B26" t="str">
            <v>AUDIT ET CONTRÔLE DE LA GESTION</v>
          </cell>
          <cell r="K26">
            <v>4.6788000000000003E-2</v>
          </cell>
          <cell r="N26">
            <v>0</v>
          </cell>
          <cell r="Q26">
            <v>0</v>
          </cell>
          <cell r="T26">
            <v>0.10467</v>
          </cell>
          <cell r="W26">
            <v>9.9750000000000005E-2</v>
          </cell>
          <cell r="Z26">
            <v>0.14774999999999999</v>
          </cell>
          <cell r="AC26">
            <v>5.0241599999999997E-2</v>
          </cell>
          <cell r="AF26">
            <v>0.25120799999999999</v>
          </cell>
          <cell r="AI26">
            <v>1.9407901022260439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A1" t="str">
            <v>Année</v>
          </cell>
          <cell r="C1" t="str">
            <v>DIRECTION</v>
          </cell>
          <cell r="I1" t="str">
            <v>Mode de passation</v>
          </cell>
          <cell r="K1" t="str">
            <v xml:space="preserve">MONTANT DHS HT </v>
          </cell>
          <cell r="L1" t="str">
            <v xml:space="preserve">Montant TTCDHS </v>
          </cell>
          <cell r="M1" t="str">
            <v>Nature budget</v>
          </cell>
        </row>
        <row r="2">
          <cell r="A2">
            <v>2016</v>
          </cell>
          <cell r="C2" t="str">
            <v>DIRECTION CENTRALE DE LA PRODUCTION ET DE L'ANTENNE</v>
          </cell>
          <cell r="I2" t="str">
            <v>AOO</v>
          </cell>
          <cell r="K2">
            <v>3991512.02</v>
          </cell>
          <cell r="L2">
            <v>4789814.4239999996</v>
          </cell>
          <cell r="M2" t="str">
            <v>Fonctionnement</v>
          </cell>
        </row>
        <row r="3">
          <cell r="A3">
            <v>2016</v>
          </cell>
          <cell r="C3" t="str">
            <v>DIRECTION CENTRALE DE LA PRODUCTION ET DE L'ANTENNE</v>
          </cell>
          <cell r="I3" t="str">
            <v>AOO</v>
          </cell>
          <cell r="K3">
            <v>1020252.8</v>
          </cell>
          <cell r="L3">
            <v>1224303.3600000001</v>
          </cell>
          <cell r="M3" t="str">
            <v>Fonctionnement</v>
          </cell>
        </row>
        <row r="4">
          <cell r="A4">
            <v>2016</v>
          </cell>
          <cell r="C4" t="str">
            <v>DIRECTION CENTRALE DE LA PRODUCTION ET DE L'ANTENNE</v>
          </cell>
          <cell r="I4" t="str">
            <v>AOO</v>
          </cell>
          <cell r="K4">
            <v>3581536</v>
          </cell>
          <cell r="L4">
            <v>3581536</v>
          </cell>
          <cell r="M4" t="str">
            <v>Fonctionnement</v>
          </cell>
        </row>
        <row r="5">
          <cell r="A5">
            <v>2016</v>
          </cell>
          <cell r="C5" t="str">
            <v>DIRECTION CENTRALE DE LA PRODUCTION ET DE L'ANTENNE</v>
          </cell>
          <cell r="I5" t="str">
            <v>AOO</v>
          </cell>
          <cell r="K5">
            <v>4082624.04</v>
          </cell>
          <cell r="L5">
            <v>4082624.04</v>
          </cell>
          <cell r="M5" t="str">
            <v>Fonctionnement</v>
          </cell>
        </row>
        <row r="6">
          <cell r="A6">
            <v>2016</v>
          </cell>
          <cell r="C6" t="str">
            <v>DIRECTION CENTRALE DE LA PRODUCTION ET DE L'ANTENNE</v>
          </cell>
          <cell r="I6" t="str">
            <v>AOO</v>
          </cell>
          <cell r="K6">
            <v>7144356.8000000007</v>
          </cell>
          <cell r="L6">
            <v>8573228.1600000001</v>
          </cell>
          <cell r="M6" t="str">
            <v>Fonctionnement</v>
          </cell>
        </row>
        <row r="7">
          <cell r="A7">
            <v>2016</v>
          </cell>
          <cell r="C7" t="str">
            <v>DIRECTION CENTRALE DE LA PRODUCTION ET DE L'ANTENNE</v>
          </cell>
          <cell r="I7" t="str">
            <v>AOO</v>
          </cell>
          <cell r="K7">
            <v>977782.4</v>
          </cell>
          <cell r="L7">
            <v>1173338.8799999999</v>
          </cell>
          <cell r="M7" t="str">
            <v>Fonctionnement</v>
          </cell>
        </row>
        <row r="8">
          <cell r="A8">
            <v>2016</v>
          </cell>
          <cell r="C8" t="str">
            <v>DIRECTION CENTRALE DE LA PRODUCTION ET DE L'ANTENNE</v>
          </cell>
          <cell r="I8" t="str">
            <v>AOO</v>
          </cell>
          <cell r="K8">
            <v>8809472.0999999996</v>
          </cell>
          <cell r="L8">
            <v>10571366.52</v>
          </cell>
          <cell r="M8" t="str">
            <v>Fonctionnement</v>
          </cell>
        </row>
        <row r="9">
          <cell r="A9">
            <v>2016</v>
          </cell>
          <cell r="C9" t="str">
            <v>DIRECTION CENTRALE DE LA CHAÎNE TAMAZIGHT</v>
          </cell>
          <cell r="I9" t="str">
            <v>AOO</v>
          </cell>
          <cell r="K9">
            <v>7098336</v>
          </cell>
          <cell r="L9">
            <v>8518003.1999999993</v>
          </cell>
          <cell r="M9" t="str">
            <v>Fonctionnement</v>
          </cell>
        </row>
        <row r="10">
          <cell r="A10">
            <v>2016</v>
          </cell>
          <cell r="C10" t="str">
            <v>DIRECTION CENTRALE DE LA CHAÎNE TAMAZIGHT</v>
          </cell>
          <cell r="I10" t="str">
            <v>AOO</v>
          </cell>
          <cell r="K10">
            <v>7387968</v>
          </cell>
          <cell r="L10">
            <v>8865561.5999999996</v>
          </cell>
          <cell r="M10" t="str">
            <v>Fonctionnement</v>
          </cell>
        </row>
        <row r="11">
          <cell r="A11">
            <v>2016</v>
          </cell>
          <cell r="C11" t="str">
            <v>DIRECTION CENTRALE DE LA CHAÎNE TAMAZIGHT</v>
          </cell>
          <cell r="I11" t="str">
            <v>AOO</v>
          </cell>
          <cell r="K11">
            <v>7207670.3999999994</v>
          </cell>
          <cell r="L11">
            <v>8649204.4799999986</v>
          </cell>
          <cell r="M11" t="str">
            <v>Fonctionnement</v>
          </cell>
        </row>
        <row r="12">
          <cell r="A12">
            <v>2016</v>
          </cell>
          <cell r="C12" t="str">
            <v>DIRECTION CENTRALE DE LA CHAÎNE TAMAZIGHT</v>
          </cell>
          <cell r="I12" t="str">
            <v>AOO</v>
          </cell>
          <cell r="K12">
            <v>1160260</v>
          </cell>
          <cell r="L12">
            <v>1160260</v>
          </cell>
          <cell r="M12" t="str">
            <v>Fonctionnement</v>
          </cell>
        </row>
        <row r="13">
          <cell r="A13">
            <v>2016</v>
          </cell>
          <cell r="C13" t="str">
            <v>DIRECTION CENTRALE DE LA CHAÎNE TAMAZIGHT</v>
          </cell>
          <cell r="I13" t="str">
            <v>AOO</v>
          </cell>
          <cell r="K13">
            <v>1007888</v>
          </cell>
          <cell r="L13">
            <v>1209465.5999999999</v>
          </cell>
          <cell r="M13" t="str">
            <v>Fonctionnement</v>
          </cell>
        </row>
        <row r="14">
          <cell r="A14">
            <v>2016</v>
          </cell>
          <cell r="C14" t="str">
            <v>DIRECTION CENTRALE DE LA CHAÎNE TAMAZIGHT</v>
          </cell>
          <cell r="I14" t="str">
            <v>AOO</v>
          </cell>
          <cell r="K14">
            <v>1014238.4</v>
          </cell>
          <cell r="L14">
            <v>1217086.08</v>
          </cell>
          <cell r="M14" t="str">
            <v>Fonctionnement</v>
          </cell>
        </row>
        <row r="15">
          <cell r="A15">
            <v>2016</v>
          </cell>
          <cell r="C15" t="str">
            <v>DIRECTION CENTRALE DE LA CHAÎNE TAMAZIGHT</v>
          </cell>
          <cell r="I15" t="str">
            <v>AOO</v>
          </cell>
          <cell r="K15">
            <v>1037332.8</v>
          </cell>
          <cell r="L15">
            <v>1244799.3600000001</v>
          </cell>
          <cell r="M15" t="str">
            <v>Fonctionnement</v>
          </cell>
        </row>
        <row r="16">
          <cell r="A16">
            <v>2016</v>
          </cell>
          <cell r="C16" t="str">
            <v>DIRECTION CENTRALE DE LA CHAÎNE TAMAZIGHT</v>
          </cell>
          <cell r="I16" t="str">
            <v>AOO</v>
          </cell>
          <cell r="K16">
            <v>1030422.4</v>
          </cell>
          <cell r="L16">
            <v>1236506.8799999999</v>
          </cell>
          <cell r="M16" t="str">
            <v>Fonctionnement</v>
          </cell>
        </row>
        <row r="17">
          <cell r="A17">
            <v>2016</v>
          </cell>
          <cell r="C17" t="str">
            <v>DIRECTION CENTRALE DE LA CHAÎNE TAMAZIGHT</v>
          </cell>
          <cell r="I17" t="str">
            <v>AOO</v>
          </cell>
          <cell r="K17">
            <v>1006208</v>
          </cell>
          <cell r="L17">
            <v>1207449.5999999999</v>
          </cell>
          <cell r="M17" t="str">
            <v>Fonctionnement</v>
          </cell>
        </row>
        <row r="18">
          <cell r="A18">
            <v>2016</v>
          </cell>
          <cell r="C18" t="str">
            <v>DIRECTION CENTRALE DE LA CHAÎNE TAMAZIGHT</v>
          </cell>
          <cell r="I18" t="str">
            <v>AOO</v>
          </cell>
          <cell r="K18">
            <v>1441126.5</v>
          </cell>
          <cell r="L18">
            <v>1729351.8</v>
          </cell>
          <cell r="M18" t="str">
            <v>Fonctionnement</v>
          </cell>
        </row>
        <row r="19">
          <cell r="A19">
            <v>2016</v>
          </cell>
          <cell r="C19" t="str">
            <v>DIRECTION CENTRALE DE LA CHAÎNE TAMAZIGHT</v>
          </cell>
          <cell r="I19" t="str">
            <v>AOO</v>
          </cell>
          <cell r="K19">
            <v>1058199.9000000001</v>
          </cell>
          <cell r="L19">
            <v>1269839.8800000001</v>
          </cell>
          <cell r="M19" t="str">
            <v>Fonctionnement</v>
          </cell>
        </row>
        <row r="20">
          <cell r="A20">
            <v>2016</v>
          </cell>
          <cell r="C20" t="str">
            <v>DIRECTION CENTRALE DE LA CHAÎNE TAMAZIGHT</v>
          </cell>
          <cell r="I20" t="str">
            <v>AOO</v>
          </cell>
          <cell r="K20">
            <v>1424460.78</v>
          </cell>
          <cell r="L20">
            <v>1709352.936</v>
          </cell>
          <cell r="M20" t="str">
            <v>Fonctionnement</v>
          </cell>
        </row>
        <row r="21">
          <cell r="A21">
            <v>2016</v>
          </cell>
          <cell r="C21" t="str">
            <v>DIRECTION CENTRALE DE LA CHAÎNE TAMAZIGHT</v>
          </cell>
          <cell r="I21" t="str">
            <v>AOO</v>
          </cell>
          <cell r="K21">
            <v>735279.9</v>
          </cell>
          <cell r="L21">
            <v>882335.88</v>
          </cell>
          <cell r="M21" t="str">
            <v>Fonctionnement</v>
          </cell>
        </row>
        <row r="22">
          <cell r="A22">
            <v>2016</v>
          </cell>
          <cell r="C22" t="str">
            <v xml:space="preserve">DIRECTION CENTRALE DE LA CHAINE TV LAAYOUNE </v>
          </cell>
          <cell r="I22" t="str">
            <v>AOO</v>
          </cell>
          <cell r="K22">
            <v>1010799.9</v>
          </cell>
          <cell r="L22">
            <v>1010799.9</v>
          </cell>
          <cell r="M22" t="str">
            <v>Fonctionnement</v>
          </cell>
        </row>
        <row r="23">
          <cell r="A23">
            <v>2016</v>
          </cell>
          <cell r="C23" t="str">
            <v xml:space="preserve">DIRECTION CENTRALE DE LA CHAINE TV LAAYOUNE </v>
          </cell>
          <cell r="I23" t="str">
            <v>AOO</v>
          </cell>
          <cell r="K23">
            <v>1177008</v>
          </cell>
          <cell r="L23">
            <v>1177008</v>
          </cell>
          <cell r="M23" t="str">
            <v>Fonctionnement</v>
          </cell>
        </row>
        <row r="24">
          <cell r="A24">
            <v>2016</v>
          </cell>
          <cell r="C24" t="str">
            <v xml:space="preserve">DIRECTION CENTRALE DE LA CHAINE TV LAAYOUNE </v>
          </cell>
          <cell r="I24" t="str">
            <v>AOO</v>
          </cell>
          <cell r="K24">
            <v>3074153.6999999997</v>
          </cell>
          <cell r="L24">
            <v>3074153.6999999997</v>
          </cell>
          <cell r="M24" t="str">
            <v>Fonctionnement</v>
          </cell>
        </row>
        <row r="25">
          <cell r="A25">
            <v>2016</v>
          </cell>
          <cell r="C25" t="str">
            <v xml:space="preserve">DIRECTION CENTRALE DE LA CHAINE TV LAAYOUNE </v>
          </cell>
          <cell r="I25" t="str">
            <v>AOO</v>
          </cell>
          <cell r="K25">
            <v>3085353.5999999996</v>
          </cell>
          <cell r="L25">
            <v>3085353.5999999996</v>
          </cell>
          <cell r="M25" t="str">
            <v>Fonctionnement</v>
          </cell>
        </row>
        <row r="26">
          <cell r="A26">
            <v>2016</v>
          </cell>
          <cell r="C26" t="str">
            <v>DIRECTION CENTRALE DE LA PRODUCTION ET DE L'ANTENNE</v>
          </cell>
          <cell r="I26" t="str">
            <v>AOO</v>
          </cell>
          <cell r="K26">
            <v>1033023.04</v>
          </cell>
          <cell r="L26">
            <v>1239627.648</v>
          </cell>
          <cell r="M26" t="str">
            <v>Fonctionnement</v>
          </cell>
        </row>
        <row r="27">
          <cell r="A27">
            <v>2016</v>
          </cell>
          <cell r="C27" t="str">
            <v>DIRECTION CENTRALE DE LA PRODUCTION ET DE L'ANTENNE</v>
          </cell>
          <cell r="I27" t="str">
            <v>AOO</v>
          </cell>
          <cell r="K27">
            <v>1023064</v>
          </cell>
          <cell r="L27">
            <v>1227676.8</v>
          </cell>
          <cell r="M27" t="str">
            <v>Fonctionnement</v>
          </cell>
        </row>
        <row r="28">
          <cell r="A28">
            <v>2016</v>
          </cell>
          <cell r="C28" t="str">
            <v>DIRECTION CENTRALE DE LA PRODUCTION ET DE L'ANTENNE</v>
          </cell>
          <cell r="I28" t="str">
            <v>AOO</v>
          </cell>
          <cell r="K28">
            <v>8894166.3000000007</v>
          </cell>
          <cell r="L28">
            <v>10672999.560000001</v>
          </cell>
          <cell r="M28" t="str">
            <v>Fonctionnement</v>
          </cell>
        </row>
        <row r="29">
          <cell r="A29">
            <v>2016</v>
          </cell>
          <cell r="C29" t="str">
            <v>DIRECTION CENTRALE DE LA PRODUCTION ET DE L'ANTENNE</v>
          </cell>
          <cell r="I29" t="str">
            <v>AOO</v>
          </cell>
          <cell r="K29">
            <v>1025102.4</v>
          </cell>
          <cell r="L29">
            <v>1230122.8799999999</v>
          </cell>
          <cell r="M29" t="str">
            <v>Fonctionnement</v>
          </cell>
        </row>
        <row r="30">
          <cell r="A30">
            <v>2016</v>
          </cell>
          <cell r="C30" t="str">
            <v>DIRECTION CENTRALE DE LA PRODUCTION ET DE L'ANTENNE</v>
          </cell>
          <cell r="I30" t="str">
            <v>AOO</v>
          </cell>
          <cell r="K30">
            <v>1435862.4</v>
          </cell>
          <cell r="L30">
            <v>1723034.88</v>
          </cell>
          <cell r="M30" t="str">
            <v>Fonctionnement</v>
          </cell>
        </row>
        <row r="31">
          <cell r="A31">
            <v>2016</v>
          </cell>
          <cell r="C31" t="str">
            <v>DIRECTION CENTRALE DE LA PRODUCTION ET DE L'ANTENNE</v>
          </cell>
          <cell r="I31" t="str">
            <v>AOO</v>
          </cell>
          <cell r="K31">
            <v>1036834.4</v>
          </cell>
          <cell r="L31">
            <v>1244201.28</v>
          </cell>
          <cell r="M31" t="str">
            <v>Fonctionnement</v>
          </cell>
        </row>
        <row r="32">
          <cell r="A32">
            <v>2016</v>
          </cell>
          <cell r="C32" t="str">
            <v xml:space="preserve">DIRECTION CENTRALE DE LA CHAINE TV LAAYOUNE </v>
          </cell>
          <cell r="I32" t="str">
            <v>AOO</v>
          </cell>
          <cell r="K32">
            <v>490616</v>
          </cell>
          <cell r="L32">
            <v>490616</v>
          </cell>
          <cell r="M32" t="str">
            <v>Fonctionnement</v>
          </cell>
        </row>
        <row r="33">
          <cell r="A33">
            <v>2016</v>
          </cell>
          <cell r="C33" t="str">
            <v>DIRECTION CENTRALE DE LA CHAÎNE TAMAZIGHT</v>
          </cell>
          <cell r="I33" t="str">
            <v>AOO</v>
          </cell>
          <cell r="K33">
            <v>1189440.7</v>
          </cell>
          <cell r="L33">
            <v>1427328.8399999999</v>
          </cell>
          <cell r="M33" t="str">
            <v>Fonctionnement</v>
          </cell>
        </row>
        <row r="34">
          <cell r="A34">
            <v>2016</v>
          </cell>
          <cell r="C34" t="str">
            <v>DIRECTION CENTRALE DE LA PRODUCTION ET DE L'ANTENNE</v>
          </cell>
          <cell r="I34" t="str">
            <v>AOO</v>
          </cell>
          <cell r="K34">
            <v>6183900.7999999998</v>
          </cell>
          <cell r="L34">
            <v>7420680.96</v>
          </cell>
          <cell r="M34" t="str">
            <v>Fonctionnement</v>
          </cell>
        </row>
        <row r="35">
          <cell r="A35">
            <v>2016</v>
          </cell>
          <cell r="C35" t="str">
            <v>DIRECTION CENTRALE DE LA PRODUCTION ET DE L'ANTENNE</v>
          </cell>
          <cell r="I35" t="str">
            <v>RECONDUCTION</v>
          </cell>
          <cell r="K35">
            <v>10504285.02</v>
          </cell>
          <cell r="L35">
            <v>12605142.023999998</v>
          </cell>
          <cell r="M35" t="str">
            <v>Fonctionnement</v>
          </cell>
        </row>
        <row r="36">
          <cell r="A36">
            <v>2016</v>
          </cell>
          <cell r="C36" t="str">
            <v>DIRECTION CENTRALE DE LA PRODUCTION ET DE L'ANTENNE</v>
          </cell>
          <cell r="I36" t="str">
            <v>RECONDUCTION</v>
          </cell>
          <cell r="K36">
            <v>3995460</v>
          </cell>
          <cell r="L36">
            <v>4794552</v>
          </cell>
          <cell r="M36" t="str">
            <v>Fonctionnement</v>
          </cell>
        </row>
        <row r="37">
          <cell r="A37">
            <v>2016</v>
          </cell>
          <cell r="C37" t="str">
            <v>DIRECTION CENTRALE DE LA PRODUCTION ET DE L'ANTENNE</v>
          </cell>
          <cell r="I37" t="str">
            <v>RECONDUCTION</v>
          </cell>
          <cell r="K37">
            <v>3744000</v>
          </cell>
          <cell r="L37">
            <v>3744000</v>
          </cell>
          <cell r="M37" t="str">
            <v>Fonctionnement</v>
          </cell>
        </row>
        <row r="38">
          <cell r="A38">
            <v>2016</v>
          </cell>
          <cell r="C38" t="str">
            <v xml:space="preserve">DIRECTION CENTRALE DE LA CHAINE TV LAAYOUNE </v>
          </cell>
          <cell r="I38" t="str">
            <v>RECONDUCTION</v>
          </cell>
          <cell r="K38">
            <v>1030959.9</v>
          </cell>
          <cell r="L38">
            <v>1030959.9</v>
          </cell>
          <cell r="M38" t="str">
            <v>Fonctionnement</v>
          </cell>
        </row>
        <row r="39">
          <cell r="A39">
            <v>2016</v>
          </cell>
          <cell r="C39" t="str">
            <v xml:space="preserve">DIRECTION CENTRALE DE LA CHAINE TV LAAYOUNE </v>
          </cell>
          <cell r="I39" t="str">
            <v>RECONDUCTION</v>
          </cell>
          <cell r="K39">
            <v>875616</v>
          </cell>
          <cell r="L39">
            <v>875616</v>
          </cell>
          <cell r="M39" t="str">
            <v>Fonctionnement</v>
          </cell>
        </row>
        <row r="40">
          <cell r="A40">
            <v>2016</v>
          </cell>
          <cell r="C40" t="str">
            <v xml:space="preserve">DIRECTION CENTRALE DE LA CHAINE TV LAAYOUNE </v>
          </cell>
          <cell r="I40" t="str">
            <v>RECONDUCTION</v>
          </cell>
          <cell r="K40">
            <v>1003520.1</v>
          </cell>
          <cell r="L40">
            <v>1003520.1</v>
          </cell>
          <cell r="M40" t="str">
            <v>Fonctionnement</v>
          </cell>
        </row>
        <row r="41">
          <cell r="A41">
            <v>2016</v>
          </cell>
          <cell r="C41" t="str">
            <v xml:space="preserve">DIRECTION CENTRALE DE LA CHAINE TV LAAYOUNE </v>
          </cell>
          <cell r="I41" t="str">
            <v>RECONDUCTION</v>
          </cell>
          <cell r="K41">
            <v>857919.9</v>
          </cell>
          <cell r="L41">
            <v>857919.9</v>
          </cell>
          <cell r="M41" t="str">
            <v>Fonctionnement</v>
          </cell>
        </row>
        <row r="42">
          <cell r="A42">
            <v>2016</v>
          </cell>
          <cell r="C42" t="str">
            <v xml:space="preserve">DIRECTION CENTRALE DE LA CHAINE TV LAAYOUNE </v>
          </cell>
          <cell r="I42" t="str">
            <v>RECONDUCTION</v>
          </cell>
          <cell r="K42">
            <v>817935.9</v>
          </cell>
          <cell r="L42">
            <v>817935.9</v>
          </cell>
          <cell r="M42" t="str">
            <v>Fonctionnement</v>
          </cell>
        </row>
        <row r="43">
          <cell r="A43">
            <v>2016</v>
          </cell>
          <cell r="C43" t="str">
            <v xml:space="preserve">DIRECTION CENTRALE DE LA CHAINE TV LAAYOUNE </v>
          </cell>
          <cell r="I43" t="str">
            <v>RECONDUCTION</v>
          </cell>
          <cell r="K43">
            <v>2335872</v>
          </cell>
          <cell r="L43">
            <v>2335872</v>
          </cell>
          <cell r="M43" t="str">
            <v>Fonctionnement</v>
          </cell>
        </row>
        <row r="44">
          <cell r="A44">
            <v>2016</v>
          </cell>
          <cell r="C44" t="str">
            <v xml:space="preserve">DIRECTION CENTRALE DE LA CHAINE TV LAAYOUNE </v>
          </cell>
          <cell r="I44" t="str">
            <v>RECONDUCTION</v>
          </cell>
          <cell r="K44">
            <v>625408</v>
          </cell>
          <cell r="L44">
            <v>625408</v>
          </cell>
          <cell r="M44" t="str">
            <v>Fonctionnement</v>
          </cell>
        </row>
        <row r="45">
          <cell r="A45">
            <v>2016</v>
          </cell>
          <cell r="C45" t="str">
            <v xml:space="preserve">DIRECTION CENTRALE DE LA CHAINE TV LAAYOUNE </v>
          </cell>
          <cell r="I45" t="str">
            <v>RECONDUCTION</v>
          </cell>
          <cell r="K45">
            <v>882000</v>
          </cell>
          <cell r="L45">
            <v>882000</v>
          </cell>
          <cell r="M45" t="str">
            <v>Fonctionnement</v>
          </cell>
        </row>
        <row r="46">
          <cell r="A46">
            <v>2016</v>
          </cell>
          <cell r="C46" t="str">
            <v>DIRECTION CENTRALE DE LA CHAÎNE TAMAZIGHT</v>
          </cell>
          <cell r="I46" t="str">
            <v>RECONDUCTION</v>
          </cell>
          <cell r="K46">
            <v>3757600</v>
          </cell>
          <cell r="L46">
            <v>4509120</v>
          </cell>
          <cell r="M46" t="str">
            <v>Fonctionnement</v>
          </cell>
        </row>
        <row r="47">
          <cell r="A47">
            <v>2016</v>
          </cell>
          <cell r="C47" t="str">
            <v>DIRECTION CENTRALE DE LA CHAÎNE TAMAZIGHT</v>
          </cell>
          <cell r="I47" t="str">
            <v>RECONDUCTION</v>
          </cell>
          <cell r="K47">
            <v>3701376</v>
          </cell>
          <cell r="L47">
            <v>4441651.2000000002</v>
          </cell>
          <cell r="M47" t="str">
            <v>Fonctionnement</v>
          </cell>
        </row>
        <row r="48">
          <cell r="A48">
            <v>2016</v>
          </cell>
          <cell r="C48" t="str">
            <v>DIRECTION CENTRALE DE LA CHAÎNE TAMAZIGHT</v>
          </cell>
          <cell r="I48" t="str">
            <v>RECONDUCTION</v>
          </cell>
          <cell r="K48">
            <v>3289807.4</v>
          </cell>
          <cell r="L48">
            <v>3947768.88</v>
          </cell>
          <cell r="M48" t="str">
            <v>Fonctionnement</v>
          </cell>
        </row>
        <row r="49">
          <cell r="A49">
            <v>2016</v>
          </cell>
          <cell r="C49" t="str">
            <v>DIRECTION CENTRALE DE LA CHAÎNE TAMAZIGHT</v>
          </cell>
          <cell r="I49" t="str">
            <v>RECONDUCTION</v>
          </cell>
          <cell r="K49">
            <v>4702107.18</v>
          </cell>
          <cell r="L49">
            <v>5642528.6159999995</v>
          </cell>
          <cell r="M49" t="str">
            <v>Fonctionnement</v>
          </cell>
        </row>
        <row r="50">
          <cell r="A50">
            <v>2016</v>
          </cell>
          <cell r="C50" t="str">
            <v>DIRECTION CENTRALE DE LA CHAÎNE TAMAZIGHT</v>
          </cell>
          <cell r="I50" t="str">
            <v>RECONDUCTION</v>
          </cell>
          <cell r="K50">
            <v>2125984</v>
          </cell>
          <cell r="L50">
            <v>2551180.7999999998</v>
          </cell>
          <cell r="M50" t="str">
            <v>Fonctionnement</v>
          </cell>
        </row>
        <row r="51">
          <cell r="A51">
            <v>2016</v>
          </cell>
          <cell r="C51" t="str">
            <v>DIRECTION CENTRALE DE LA CHAÎNE TAMAZIGHT</v>
          </cell>
          <cell r="I51" t="str">
            <v>RECONDUCTION</v>
          </cell>
          <cell r="K51">
            <v>4684792</v>
          </cell>
          <cell r="L51">
            <v>5621750.3999999994</v>
          </cell>
          <cell r="M51" t="str">
            <v>Fonctionnement</v>
          </cell>
        </row>
        <row r="52">
          <cell r="A52">
            <v>2016</v>
          </cell>
          <cell r="C52" t="str">
            <v>DIRECTION CENTRALE DE LA CHAÎNE TAMAZIGHT</v>
          </cell>
          <cell r="I52" t="str">
            <v>RECONDUCTION</v>
          </cell>
          <cell r="K52">
            <v>994560</v>
          </cell>
          <cell r="L52">
            <v>1193472</v>
          </cell>
          <cell r="M52" t="str">
            <v>Fonctionnement</v>
          </cell>
        </row>
        <row r="53">
          <cell r="A53">
            <v>2016</v>
          </cell>
          <cell r="C53" t="str">
            <v>DIRECTION CENTRALE DE LA CHAÎNE TAMAZIGHT</v>
          </cell>
          <cell r="I53" t="str">
            <v>RECONDUCTION</v>
          </cell>
          <cell r="K53">
            <v>983360.1</v>
          </cell>
          <cell r="L53">
            <v>1180032.1199999999</v>
          </cell>
          <cell r="M53" t="str">
            <v>Fonctionnement</v>
          </cell>
        </row>
        <row r="54">
          <cell r="A54">
            <v>2016</v>
          </cell>
          <cell r="C54" t="str">
            <v>DIRECTION CENTRALE DE LA CHAÎNE TAMAZIGHT</v>
          </cell>
          <cell r="I54" t="str">
            <v>RECONDUCTION</v>
          </cell>
          <cell r="K54">
            <v>1061984.1000000001</v>
          </cell>
          <cell r="L54">
            <v>1274380.9200000002</v>
          </cell>
          <cell r="M54" t="str">
            <v>Fonctionnement</v>
          </cell>
        </row>
        <row r="55">
          <cell r="A55">
            <v>2016</v>
          </cell>
          <cell r="C55" t="str">
            <v>DIRECTION CENTRALE DE LA CHAÎNE TAMAZIGHT</v>
          </cell>
          <cell r="I55" t="str">
            <v>RECONDUCTION</v>
          </cell>
          <cell r="K55">
            <v>978879.9</v>
          </cell>
          <cell r="L55">
            <v>978879.9</v>
          </cell>
          <cell r="M55" t="str">
            <v>Fonctionnement</v>
          </cell>
        </row>
        <row r="56">
          <cell r="A56">
            <v>2016</v>
          </cell>
          <cell r="C56" t="str">
            <v>DIRECTION CENTRALE DE LA CHAÎNE TAMAZIGHT</v>
          </cell>
          <cell r="I56" t="str">
            <v>RECONDUCTION</v>
          </cell>
          <cell r="K56">
            <v>1333080</v>
          </cell>
          <cell r="L56">
            <v>1599696</v>
          </cell>
          <cell r="M56" t="str">
            <v>Fonctionnement</v>
          </cell>
        </row>
        <row r="57">
          <cell r="A57">
            <v>2016</v>
          </cell>
          <cell r="C57" t="str">
            <v>DIRECTION CENTRALE DE LA CHAÎNE TAMAZIGHT</v>
          </cell>
          <cell r="I57" t="str">
            <v>RECONDUCTION</v>
          </cell>
          <cell r="K57">
            <v>2105040</v>
          </cell>
          <cell r="L57">
            <v>2526048</v>
          </cell>
          <cell r="M57" t="str">
            <v>Fonctionnement</v>
          </cell>
        </row>
        <row r="58">
          <cell r="A58">
            <v>2016</v>
          </cell>
          <cell r="C58" t="str">
            <v>DIRECTION CENTRALE DE LA CHAÎNE TAMAZIGHT</v>
          </cell>
          <cell r="I58" t="str">
            <v>RECONDUCTION</v>
          </cell>
          <cell r="K58">
            <v>1025583.9</v>
          </cell>
          <cell r="L58">
            <v>1230700.68</v>
          </cell>
          <cell r="M58" t="str">
            <v>Fonctionnement</v>
          </cell>
        </row>
        <row r="59">
          <cell r="A59">
            <v>2016</v>
          </cell>
          <cell r="C59" t="str">
            <v>DIRECTION CENTRALE DE LA CHAÎNE TAMAZIGHT</v>
          </cell>
          <cell r="I59" t="str">
            <v>RECONDUCTION</v>
          </cell>
          <cell r="K59">
            <v>1384656</v>
          </cell>
          <cell r="L59">
            <v>1661587.2</v>
          </cell>
          <cell r="M59" t="str">
            <v>Fonctionnement</v>
          </cell>
        </row>
        <row r="60">
          <cell r="A60">
            <v>2016</v>
          </cell>
          <cell r="C60" t="str">
            <v>DIRECTION CENTRALE DE LA CHAÎNE TAMAZIGHT</v>
          </cell>
          <cell r="I60" t="str">
            <v>RECONDUCTION</v>
          </cell>
          <cell r="K60">
            <v>1720364.8</v>
          </cell>
          <cell r="L60">
            <v>2064437.76</v>
          </cell>
          <cell r="M60" t="str">
            <v>Fonctionnement</v>
          </cell>
        </row>
        <row r="61">
          <cell r="A61">
            <v>2016</v>
          </cell>
          <cell r="C61" t="str">
            <v>DIRECTION CENTRALE DE LA CHAÎNE TAMAZIGHT</v>
          </cell>
          <cell r="I61" t="str">
            <v>RECONDUCTION</v>
          </cell>
          <cell r="K61">
            <v>1385574.3</v>
          </cell>
          <cell r="L61">
            <v>1662689.16</v>
          </cell>
          <cell r="M61" t="str">
            <v>Fonctionnement</v>
          </cell>
        </row>
        <row r="62">
          <cell r="A62">
            <v>2016</v>
          </cell>
          <cell r="C62" t="str">
            <v>DIRECTION CENTRALE DE LA CHAÎNE TAMAZIGHT</v>
          </cell>
          <cell r="I62" t="str">
            <v>RECONDUCTION</v>
          </cell>
          <cell r="K62">
            <v>896313.6</v>
          </cell>
          <cell r="L62">
            <v>896313.6</v>
          </cell>
          <cell r="M62" t="str">
            <v>Fonctionnement</v>
          </cell>
        </row>
        <row r="63">
          <cell r="A63">
            <v>2016</v>
          </cell>
          <cell r="C63" t="str">
            <v>DIRECTION CENTRALE DE LA CHAÎNE TAMAZIGHT</v>
          </cell>
          <cell r="I63" t="str">
            <v>RECONDUCTION</v>
          </cell>
          <cell r="K63">
            <v>1687779.5</v>
          </cell>
          <cell r="L63">
            <v>2025335.4</v>
          </cell>
          <cell r="M63" t="str">
            <v>Fonctionnement</v>
          </cell>
        </row>
        <row r="64">
          <cell r="A64">
            <v>2016</v>
          </cell>
          <cell r="C64" t="str">
            <v>DIRECTION CENTRALE DE LA CHAÎNE TAMAZIGHT</v>
          </cell>
          <cell r="I64" t="str">
            <v>RECONDUCTION</v>
          </cell>
          <cell r="K64">
            <v>2174000.62</v>
          </cell>
          <cell r="L64">
            <v>2608800.7439999999</v>
          </cell>
          <cell r="M64" t="str">
            <v>Fonctionnement</v>
          </cell>
        </row>
        <row r="65">
          <cell r="A65">
            <v>2016</v>
          </cell>
          <cell r="C65" t="str">
            <v>DIRECTION CENTRALE DE LA PRODUCTION ET DE L'ANTENNE</v>
          </cell>
          <cell r="I65" t="str">
            <v>AOO</v>
          </cell>
          <cell r="K65">
            <v>1005894.4</v>
          </cell>
          <cell r="L65">
            <v>1207073.28</v>
          </cell>
          <cell r="M65" t="str">
            <v>Fonctionnement</v>
          </cell>
        </row>
        <row r="66">
          <cell r="A66">
            <v>2016</v>
          </cell>
          <cell r="C66" t="str">
            <v>DIRECTION CENTRALE DE LA PRODUCTION ET DE L'ANTENNE</v>
          </cell>
          <cell r="I66" t="str">
            <v>AOO</v>
          </cell>
          <cell r="K66">
            <v>1005502.4</v>
          </cell>
          <cell r="L66">
            <v>1206602.8799999999</v>
          </cell>
          <cell r="M66" t="str">
            <v>Fonctionnement</v>
          </cell>
        </row>
        <row r="67">
          <cell r="A67">
            <v>2016</v>
          </cell>
          <cell r="C67" t="str">
            <v>DIRECTION CENTRALE DE LA PRODUCTION ET DE L'ANTENNE</v>
          </cell>
          <cell r="I67" t="str">
            <v>AOO</v>
          </cell>
          <cell r="K67">
            <v>7801920</v>
          </cell>
          <cell r="L67">
            <v>9362304</v>
          </cell>
          <cell r="M67" t="str">
            <v>Fonctionnement</v>
          </cell>
        </row>
        <row r="68">
          <cell r="A68">
            <v>2016</v>
          </cell>
          <cell r="C68" t="str">
            <v>DIRECTION CENTRALE DE LA PRODUCTION ET DE L'ANTENNE</v>
          </cell>
          <cell r="I68" t="str">
            <v>AOO</v>
          </cell>
          <cell r="K68">
            <v>1481088</v>
          </cell>
          <cell r="L68">
            <v>1777305.5999999999</v>
          </cell>
          <cell r="M68" t="str">
            <v>Fonctionnement</v>
          </cell>
        </row>
        <row r="69">
          <cell r="A69">
            <v>2016</v>
          </cell>
          <cell r="C69" t="str">
            <v>DIRECTION CENTRALE DE LA PRODUCTION ET DE L'ANTENNE</v>
          </cell>
          <cell r="I69" t="str">
            <v>AOO</v>
          </cell>
          <cell r="K69">
            <v>1486016.1</v>
          </cell>
          <cell r="L69">
            <v>1486016.1</v>
          </cell>
          <cell r="M69" t="str">
            <v>Fonctionnement</v>
          </cell>
        </row>
        <row r="70">
          <cell r="A70">
            <v>2016</v>
          </cell>
          <cell r="C70" t="str">
            <v>DIRECTION CENTRALE DE LA PRODUCTION ET DE L'ANTENNE</v>
          </cell>
          <cell r="I70" t="str">
            <v>AOO</v>
          </cell>
          <cell r="K70">
            <v>7692608.0999999996</v>
          </cell>
          <cell r="L70">
            <v>9231129.7199999988</v>
          </cell>
          <cell r="M70" t="str">
            <v>Fonctionnement</v>
          </cell>
        </row>
        <row r="71">
          <cell r="A71">
            <v>2016</v>
          </cell>
          <cell r="C71" t="str">
            <v>DIRECTION CENTRALE DE LA PRODUCTION ET DE L'ANTENNE</v>
          </cell>
          <cell r="I71" t="str">
            <v>AOO</v>
          </cell>
          <cell r="K71">
            <v>959056</v>
          </cell>
          <cell r="L71">
            <v>1150867.2</v>
          </cell>
          <cell r="M71" t="str">
            <v>Fonctionnement</v>
          </cell>
        </row>
        <row r="72">
          <cell r="A72">
            <v>2016</v>
          </cell>
          <cell r="C72" t="str">
            <v>DIRECTION CENTRALE DE LA PRODUCTION ET DE L'ANTENNE</v>
          </cell>
          <cell r="I72" t="str">
            <v>AOO</v>
          </cell>
          <cell r="K72">
            <v>1006353.6</v>
          </cell>
          <cell r="L72">
            <v>1207624.3199999998</v>
          </cell>
          <cell r="M72" t="str">
            <v>Fonctionnement</v>
          </cell>
        </row>
        <row r="73">
          <cell r="A73">
            <v>2017</v>
          </cell>
          <cell r="C73" t="str">
            <v>DIRECTION CENTRALE DE LA CHAÎNE TAMAZIGHT</v>
          </cell>
          <cell r="I73" t="str">
            <v>AOO</v>
          </cell>
          <cell r="K73">
            <v>7393680</v>
          </cell>
          <cell r="L73">
            <v>8872416</v>
          </cell>
          <cell r="M73" t="str">
            <v>Fonctionnement</v>
          </cell>
        </row>
        <row r="74">
          <cell r="A74">
            <v>2017</v>
          </cell>
          <cell r="C74" t="str">
            <v>DIRECTION CENTRALE DE LA CHAÎNE TAMAZIGHT</v>
          </cell>
          <cell r="I74" t="str">
            <v>AOO</v>
          </cell>
          <cell r="K74">
            <v>1140272</v>
          </cell>
          <cell r="L74">
            <v>1140272</v>
          </cell>
          <cell r="M74" t="str">
            <v>Fonctionnement</v>
          </cell>
        </row>
        <row r="75">
          <cell r="A75">
            <v>2017</v>
          </cell>
          <cell r="C75" t="str">
            <v>DIRECTION CENTRALE DE LA CHAÎNE TAMAZIGHT</v>
          </cell>
          <cell r="I75" t="str">
            <v>AOO</v>
          </cell>
          <cell r="K75">
            <v>2388624</v>
          </cell>
          <cell r="L75">
            <v>2866348.8</v>
          </cell>
          <cell r="M75" t="str">
            <v>Fonctionnement</v>
          </cell>
        </row>
        <row r="76">
          <cell r="A76">
            <v>2017</v>
          </cell>
          <cell r="C76" t="str">
            <v>DIRECTION CENTRALE DE LA CHAÎNE TAMAZIGHT</v>
          </cell>
          <cell r="I76" t="str">
            <v>AOO</v>
          </cell>
          <cell r="K76">
            <v>2297007.9</v>
          </cell>
          <cell r="L76">
            <v>2756409.48</v>
          </cell>
          <cell r="M76" t="str">
            <v>Fonctionnement</v>
          </cell>
        </row>
        <row r="77">
          <cell r="A77">
            <v>2017</v>
          </cell>
          <cell r="C77" t="str">
            <v>DIRECTION CENTRALE DE LA CHAÎNE TAMAZIGHT</v>
          </cell>
          <cell r="I77" t="str">
            <v>AOO</v>
          </cell>
          <cell r="K77">
            <v>1028272</v>
          </cell>
          <cell r="L77">
            <v>1233926.3999999999</v>
          </cell>
          <cell r="M77" t="str">
            <v>Fonctionnement</v>
          </cell>
        </row>
        <row r="78">
          <cell r="A78">
            <v>2017</v>
          </cell>
          <cell r="C78" t="str">
            <v>DIRECTION CENTRALE DE LA CHAÎNE TAMAZIGHT</v>
          </cell>
          <cell r="I78" t="str">
            <v>AOO</v>
          </cell>
          <cell r="K78">
            <v>7415967.9000000004</v>
          </cell>
          <cell r="L78">
            <v>8899161.4800000004</v>
          </cell>
          <cell r="M78" t="str">
            <v>Fonctionnement</v>
          </cell>
        </row>
        <row r="79">
          <cell r="A79">
            <v>2017</v>
          </cell>
          <cell r="C79" t="str">
            <v>DIRECTION CENTRALE DE LA CHAÎNE TAMAZIGHT</v>
          </cell>
          <cell r="I79" t="str">
            <v>AOO</v>
          </cell>
          <cell r="K79">
            <v>1196384</v>
          </cell>
          <cell r="L79">
            <v>1196384</v>
          </cell>
          <cell r="M79" t="str">
            <v>Fonctionnement</v>
          </cell>
        </row>
        <row r="80">
          <cell r="A80">
            <v>2017</v>
          </cell>
          <cell r="C80" t="str">
            <v>DIRECTION CENTRALE DE LA CHAÎNE TAMAZIGHT</v>
          </cell>
          <cell r="I80" t="str">
            <v>AOO</v>
          </cell>
          <cell r="K80">
            <v>1005872</v>
          </cell>
          <cell r="L80">
            <v>1207046.3999999999</v>
          </cell>
          <cell r="M80" t="str">
            <v>Fonctionnement</v>
          </cell>
        </row>
        <row r="81">
          <cell r="A81">
            <v>2017</v>
          </cell>
          <cell r="C81" t="str">
            <v>DIRECTION CENTRALE DE LA CHAÎNE TAMAZIGHT</v>
          </cell>
          <cell r="I81" t="str">
            <v>AOO</v>
          </cell>
          <cell r="K81">
            <v>1013286.4</v>
          </cell>
          <cell r="L81">
            <v>1215943.6799999999</v>
          </cell>
          <cell r="M81" t="str">
            <v>Fonctionnement</v>
          </cell>
        </row>
        <row r="82">
          <cell r="A82">
            <v>2017</v>
          </cell>
          <cell r="C82" t="str">
            <v>DIRECTION CENTRALE DE LA CHAÎNE TAMAZIGHT</v>
          </cell>
          <cell r="I82" t="str">
            <v>AOO</v>
          </cell>
          <cell r="K82">
            <v>1007552</v>
          </cell>
          <cell r="L82">
            <v>1209062.3999999999</v>
          </cell>
          <cell r="M82" t="str">
            <v>Fonctionnement</v>
          </cell>
        </row>
        <row r="83">
          <cell r="A83">
            <v>2017</v>
          </cell>
          <cell r="C83" t="str">
            <v>DIRECTION CENTRALE DE LA CHAÎNE TAMAZIGHT</v>
          </cell>
          <cell r="I83" t="str">
            <v>AOO</v>
          </cell>
          <cell r="K83">
            <v>1160006.3999999999</v>
          </cell>
          <cell r="L83">
            <v>1160006.3999999999</v>
          </cell>
          <cell r="M83" t="str">
            <v>Fonctionnement</v>
          </cell>
        </row>
        <row r="84">
          <cell r="A84">
            <v>2017</v>
          </cell>
          <cell r="C84" t="str">
            <v>DIRECTION CENTRALE DE LA CHAÎNE TAMAZIGHT</v>
          </cell>
          <cell r="I84" t="str">
            <v>AOO</v>
          </cell>
          <cell r="K84">
            <v>1210944</v>
          </cell>
          <cell r="L84">
            <v>1453132.8</v>
          </cell>
          <cell r="M84" t="str">
            <v>Fonctionnement</v>
          </cell>
        </row>
        <row r="85">
          <cell r="A85">
            <v>2017</v>
          </cell>
          <cell r="C85" t="str">
            <v>DIRECTION CENTRALE DE LA CHAÎNE TAMAZIGHT</v>
          </cell>
          <cell r="I85" t="str">
            <v>AOO</v>
          </cell>
          <cell r="K85">
            <v>1003184</v>
          </cell>
          <cell r="L85">
            <v>1203820.8</v>
          </cell>
          <cell r="M85" t="str">
            <v>Fonctionnement</v>
          </cell>
        </row>
        <row r="86">
          <cell r="A86">
            <v>2017</v>
          </cell>
          <cell r="C86" t="str">
            <v>DIRECTION CENTRALE DE LA CHAÎNE TAMAZIGHT</v>
          </cell>
          <cell r="I86" t="str">
            <v>AOO</v>
          </cell>
          <cell r="K86">
            <v>569184</v>
          </cell>
          <cell r="L86">
            <v>683020.80000000005</v>
          </cell>
          <cell r="M86" t="str">
            <v>Fonctionnement</v>
          </cell>
        </row>
        <row r="87">
          <cell r="A87">
            <v>2017</v>
          </cell>
          <cell r="C87" t="str">
            <v xml:space="preserve">DIRECTION CENTRALE DE LA CHAINE TV LAAYOUNE </v>
          </cell>
          <cell r="I87" t="str">
            <v>AOO</v>
          </cell>
          <cell r="K87">
            <v>3003504</v>
          </cell>
          <cell r="L87">
            <v>3003504</v>
          </cell>
          <cell r="M87" t="str">
            <v>Fonctionnement</v>
          </cell>
        </row>
        <row r="88">
          <cell r="A88">
            <v>2017</v>
          </cell>
          <cell r="C88" t="str">
            <v xml:space="preserve">DIRECTION CENTRALE DE LA CHAINE TV LAAYOUNE </v>
          </cell>
          <cell r="I88" t="str">
            <v>AOO</v>
          </cell>
          <cell r="K88">
            <v>983696.1</v>
          </cell>
          <cell r="L88">
            <v>983696.1</v>
          </cell>
          <cell r="M88" t="str">
            <v>Fonctionnement</v>
          </cell>
        </row>
        <row r="89">
          <cell r="A89">
            <v>2017</v>
          </cell>
          <cell r="C89" t="str">
            <v xml:space="preserve">DIRECTION CENTRALE DE LA CHAINE TV LAAYOUNE </v>
          </cell>
          <cell r="I89" t="str">
            <v>AOO</v>
          </cell>
          <cell r="K89">
            <v>487984</v>
          </cell>
          <cell r="L89">
            <v>487984</v>
          </cell>
          <cell r="M89" t="str">
            <v>Fonctionnement</v>
          </cell>
        </row>
        <row r="90">
          <cell r="A90">
            <v>2017</v>
          </cell>
          <cell r="C90" t="str">
            <v xml:space="preserve">DIRECTION CENTRALE DE LA CHAINE TV LAAYOUNE </v>
          </cell>
          <cell r="I90" t="str">
            <v>AOO</v>
          </cell>
          <cell r="K90">
            <v>1003632</v>
          </cell>
          <cell r="L90">
            <v>1003632</v>
          </cell>
          <cell r="M90" t="str">
            <v>Fonctionnement</v>
          </cell>
        </row>
        <row r="91">
          <cell r="A91">
            <v>2017</v>
          </cell>
          <cell r="C91" t="str">
            <v xml:space="preserve">DIRECTION CENTRALE DE LA CHAINE TV LAAYOUNE </v>
          </cell>
          <cell r="I91" t="str">
            <v>AOO</v>
          </cell>
          <cell r="K91">
            <v>1188207.8999999999</v>
          </cell>
          <cell r="L91">
            <v>1188207.8999999999</v>
          </cell>
          <cell r="M91" t="str">
            <v>Fonctionnement</v>
          </cell>
        </row>
        <row r="92">
          <cell r="A92">
            <v>2017</v>
          </cell>
          <cell r="C92" t="str">
            <v xml:space="preserve">DIRECTION CENTRALE DE LA CHAINE TV LAAYOUNE </v>
          </cell>
          <cell r="I92" t="str">
            <v>AOO</v>
          </cell>
          <cell r="K92">
            <v>3144310.5</v>
          </cell>
          <cell r="L92">
            <v>3144310.5</v>
          </cell>
          <cell r="M92" t="str">
            <v>Fonctionnement</v>
          </cell>
        </row>
        <row r="93">
          <cell r="A93">
            <v>2017</v>
          </cell>
          <cell r="C93" t="str">
            <v>DIRECTION CENTRALE DE LA PRODUCTION ET DE L'ANTENNE</v>
          </cell>
          <cell r="I93" t="str">
            <v>AOO</v>
          </cell>
          <cell r="K93">
            <v>7922633.7000000002</v>
          </cell>
          <cell r="L93">
            <v>9507160.4399999995</v>
          </cell>
          <cell r="M93" t="str">
            <v>Fonctionnement</v>
          </cell>
        </row>
        <row r="94">
          <cell r="A94">
            <v>2017</v>
          </cell>
          <cell r="C94" t="str">
            <v>DIRECTION CENTRALE DE LA PRODUCTION ET DE L'ANTENNE</v>
          </cell>
          <cell r="I94" t="str">
            <v>AOO</v>
          </cell>
          <cell r="K94">
            <v>9180639</v>
          </cell>
          <cell r="L94">
            <v>11016766.800000001</v>
          </cell>
          <cell r="M94" t="str">
            <v>Fonctionnement</v>
          </cell>
        </row>
        <row r="95">
          <cell r="A95">
            <v>2017</v>
          </cell>
          <cell r="C95" t="str">
            <v>DIRECTION CENTRALE DE LA PRODUCTION ET DE L'ANTENNE</v>
          </cell>
          <cell r="I95" t="str">
            <v>AOO</v>
          </cell>
          <cell r="K95">
            <v>1016512</v>
          </cell>
          <cell r="L95">
            <v>1219814.3999999999</v>
          </cell>
          <cell r="M95" t="str">
            <v>Fonctionnement</v>
          </cell>
        </row>
        <row r="96">
          <cell r="A96">
            <v>2017</v>
          </cell>
          <cell r="C96" t="str">
            <v>DIRECTION CENTRALE DE LA PRODUCTION ET DE L'ANTENNE</v>
          </cell>
          <cell r="I96" t="str">
            <v>AOO</v>
          </cell>
          <cell r="K96">
            <v>1018707.2</v>
          </cell>
          <cell r="L96">
            <v>1222448.6399999999</v>
          </cell>
          <cell r="M96" t="str">
            <v>Fonctionnement</v>
          </cell>
        </row>
        <row r="97">
          <cell r="A97">
            <v>2017</v>
          </cell>
          <cell r="C97" t="str">
            <v>DIRECTION CENTRALE DE LA PRODUCTION ET DE L'ANTENNE</v>
          </cell>
          <cell r="I97" t="str">
            <v>AOO</v>
          </cell>
          <cell r="K97">
            <v>1014540.8</v>
          </cell>
          <cell r="L97">
            <v>1217448.96</v>
          </cell>
          <cell r="M97" t="str">
            <v>Fonctionnement</v>
          </cell>
        </row>
        <row r="98">
          <cell r="A98">
            <v>2017</v>
          </cell>
          <cell r="C98" t="str">
            <v>DIRECTION CENTRALE DE LA CHAÎNE TAMAZIGHT</v>
          </cell>
          <cell r="I98" t="str">
            <v>AOO</v>
          </cell>
          <cell r="K98">
            <v>7060592.0999999996</v>
          </cell>
          <cell r="L98">
            <v>8472710.5199999996</v>
          </cell>
          <cell r="M98" t="str">
            <v>Fonctionnement</v>
          </cell>
        </row>
        <row r="99">
          <cell r="A99">
            <v>2017</v>
          </cell>
          <cell r="C99" t="str">
            <v>DIRECTION CENTRALE DE LA PRODUCTION ET DE L'ANTENNE</v>
          </cell>
          <cell r="I99" t="str">
            <v>AOO</v>
          </cell>
          <cell r="K99">
            <v>11197043.199999999</v>
          </cell>
          <cell r="L99">
            <v>13436451.839999998</v>
          </cell>
          <cell r="M99" t="str">
            <v>Fonctionnement</v>
          </cell>
        </row>
        <row r="100">
          <cell r="A100">
            <v>2017</v>
          </cell>
          <cell r="C100" t="str">
            <v>DIRECTION CENTRALE DE LA PRODUCTION ET DE L'ANTENNE</v>
          </cell>
          <cell r="I100" t="str">
            <v>AOO</v>
          </cell>
          <cell r="K100">
            <v>994134.4</v>
          </cell>
          <cell r="L100">
            <v>1192961.28</v>
          </cell>
          <cell r="M100" t="str">
            <v>Fonctionnement</v>
          </cell>
        </row>
        <row r="101">
          <cell r="A101">
            <v>2017</v>
          </cell>
          <cell r="C101" t="str">
            <v>DIRECTION CENTRALE DE LA CHAÎNE TAMAZIGHT</v>
          </cell>
          <cell r="I101" t="str">
            <v>AOO</v>
          </cell>
          <cell r="K101">
            <v>1033054.4</v>
          </cell>
          <cell r="L101">
            <v>1239665.28</v>
          </cell>
          <cell r="M101" t="str">
            <v>Fonctionnement</v>
          </cell>
        </row>
        <row r="102">
          <cell r="A102">
            <v>2017</v>
          </cell>
          <cell r="C102" t="str">
            <v>DIRECTION CENTRALE DE LA PRODUCTION ET DE L'ANTENNE</v>
          </cell>
          <cell r="I102" t="str">
            <v>AOO</v>
          </cell>
          <cell r="K102">
            <v>900000</v>
          </cell>
          <cell r="L102">
            <v>1080000</v>
          </cell>
          <cell r="M102" t="str">
            <v>Fonctionnement</v>
          </cell>
        </row>
        <row r="103">
          <cell r="A103">
            <v>2017</v>
          </cell>
          <cell r="C103" t="str">
            <v>DIRECTION CENTRALE DE LA PRODUCTION ET DE L'ANTENNE</v>
          </cell>
          <cell r="I103" t="str">
            <v>AOO</v>
          </cell>
          <cell r="K103">
            <v>1000000</v>
          </cell>
          <cell r="L103">
            <v>1200000</v>
          </cell>
          <cell r="M103" t="str">
            <v>Fonctionnement</v>
          </cell>
        </row>
        <row r="104">
          <cell r="A104">
            <v>2017</v>
          </cell>
          <cell r="C104" t="str">
            <v>DIRECTION CENTRALE DE LA PRODUCTION ET DE L'ANTENNE</v>
          </cell>
          <cell r="I104" t="str">
            <v>AOO</v>
          </cell>
          <cell r="K104">
            <v>850000</v>
          </cell>
          <cell r="L104">
            <v>850000</v>
          </cell>
          <cell r="M104" t="str">
            <v>Fonctionnement</v>
          </cell>
        </row>
        <row r="105">
          <cell r="A105">
            <v>2017</v>
          </cell>
          <cell r="C105" t="str">
            <v>DIRECTION CENTRALE DE LA PRODUCTION ET DE L'ANTENNE</v>
          </cell>
          <cell r="I105" t="str">
            <v>AOO</v>
          </cell>
          <cell r="K105">
            <v>950000</v>
          </cell>
          <cell r="L105">
            <v>950000</v>
          </cell>
          <cell r="M105" t="str">
            <v>Fonctionnement</v>
          </cell>
        </row>
        <row r="106">
          <cell r="A106">
            <v>2017</v>
          </cell>
          <cell r="C106" t="str">
            <v>DIRECTION CENTRALE DE LA PRODUCTION ET DE L'ANTENNE</v>
          </cell>
          <cell r="I106" t="str">
            <v>AOO</v>
          </cell>
          <cell r="K106">
            <v>200000</v>
          </cell>
          <cell r="L106">
            <v>240000</v>
          </cell>
          <cell r="M106" t="str">
            <v>Fonctionnement</v>
          </cell>
        </row>
        <row r="107">
          <cell r="A107">
            <v>2017</v>
          </cell>
          <cell r="C107" t="str">
            <v>DIRECTION CENTRALE DE LA PRODUCTION ET DE L'ANTENNE</v>
          </cell>
          <cell r="I107" t="str">
            <v>AOO</v>
          </cell>
          <cell r="K107">
            <v>800000</v>
          </cell>
          <cell r="L107">
            <v>800000</v>
          </cell>
          <cell r="M107" t="str">
            <v>Fonctionnement</v>
          </cell>
        </row>
        <row r="108">
          <cell r="A108">
            <v>2017</v>
          </cell>
          <cell r="C108" t="str">
            <v>DIRECTION CENTRALE DE LA PRODUCTION ET DE L'ANTENNE</v>
          </cell>
          <cell r="I108" t="str">
            <v>AOO</v>
          </cell>
          <cell r="K108">
            <v>200000</v>
          </cell>
          <cell r="L108">
            <v>200000</v>
          </cell>
          <cell r="M108" t="str">
            <v>Fonctionnement</v>
          </cell>
        </row>
        <row r="109">
          <cell r="A109">
            <v>2017</v>
          </cell>
          <cell r="C109" t="str">
            <v>DIRECTION CENTRALE DE LA CHAÎNE TAMAZIGHT</v>
          </cell>
          <cell r="I109" t="str">
            <v>AOO</v>
          </cell>
          <cell r="K109">
            <v>900000</v>
          </cell>
          <cell r="L109">
            <v>900000</v>
          </cell>
          <cell r="M109" t="str">
            <v>Fonctionnement</v>
          </cell>
        </row>
        <row r="110">
          <cell r="A110">
            <v>2017</v>
          </cell>
          <cell r="C110" t="str">
            <v>DIRECTION CENTRALE DE LA PRODUCTION ET DE L'ANTENNE</v>
          </cell>
          <cell r="I110" t="str">
            <v>AOO</v>
          </cell>
          <cell r="K110">
            <v>200000</v>
          </cell>
          <cell r="L110">
            <v>240000</v>
          </cell>
          <cell r="M110" t="str">
            <v>Fonctionnement</v>
          </cell>
        </row>
        <row r="111">
          <cell r="A111">
            <v>2017</v>
          </cell>
          <cell r="C111" t="str">
            <v>DIRECTION CENTRALE DE LA CHAÎNE TAMAZIGHT</v>
          </cell>
          <cell r="I111" t="str">
            <v>AOO</v>
          </cell>
          <cell r="K111">
            <v>1352534.4</v>
          </cell>
          <cell r="L111">
            <v>1623041.28</v>
          </cell>
          <cell r="M111" t="str">
            <v>Fonctionnement</v>
          </cell>
        </row>
        <row r="112">
          <cell r="A112">
            <v>2017</v>
          </cell>
          <cell r="C112" t="str">
            <v>DIRECTION CENTRALE DE LA PRODUCTION ET DE L'ANTENNE</v>
          </cell>
          <cell r="I112" t="str">
            <v>AOO</v>
          </cell>
          <cell r="K112">
            <v>913897.5</v>
          </cell>
          <cell r="L112">
            <v>1096677</v>
          </cell>
          <cell r="M112" t="str">
            <v>Fonctionnement</v>
          </cell>
        </row>
        <row r="113">
          <cell r="A113">
            <v>2017</v>
          </cell>
          <cell r="C113" t="str">
            <v>DIRECTION CENTRALE DE LA PRODUCTION ET DE L'ANTENNE</v>
          </cell>
          <cell r="I113" t="str">
            <v>AOO</v>
          </cell>
          <cell r="K113">
            <v>1499400</v>
          </cell>
          <cell r="L113">
            <v>1799280</v>
          </cell>
          <cell r="M113" t="str">
            <v>Fonctionnement</v>
          </cell>
        </row>
        <row r="114">
          <cell r="A114">
            <v>2017</v>
          </cell>
          <cell r="C114" t="str">
            <v>DIRECTION CENTRALE DE LA PRODUCTION ET DE L'ANTENNE</v>
          </cell>
          <cell r="I114" t="str">
            <v>AOO</v>
          </cell>
          <cell r="K114">
            <v>3628688.1</v>
          </cell>
          <cell r="L114">
            <v>4354425.72</v>
          </cell>
          <cell r="M114" t="str">
            <v>Fonctionnement</v>
          </cell>
        </row>
        <row r="115">
          <cell r="A115">
            <v>2017</v>
          </cell>
          <cell r="C115" t="str">
            <v>DIRECTION CENTRALE DE LA PRODUCTION ET DE L'ANTENNE</v>
          </cell>
          <cell r="I115" t="str">
            <v>AOO</v>
          </cell>
          <cell r="K115">
            <v>1427171.2</v>
          </cell>
          <cell r="L115">
            <v>1712605.44</v>
          </cell>
          <cell r="M115" t="str">
            <v>Fonctionnement</v>
          </cell>
        </row>
        <row r="116">
          <cell r="A116">
            <v>2017</v>
          </cell>
          <cell r="C116" t="str">
            <v>DIRECTION CENTRALE DE LA PRODUCTION ET DE L'ANTENNE</v>
          </cell>
          <cell r="I116" t="str">
            <v>AOO</v>
          </cell>
          <cell r="K116">
            <v>8868384</v>
          </cell>
          <cell r="L116">
            <v>10642060.800000001</v>
          </cell>
          <cell r="M116" t="str">
            <v>Fonctionnement</v>
          </cell>
        </row>
        <row r="117">
          <cell r="A117">
            <v>2017</v>
          </cell>
          <cell r="C117" t="str">
            <v>DIRECTION CENTRALE DE LA PRODUCTION ET DE L'ANTENNE</v>
          </cell>
          <cell r="I117" t="str">
            <v>RECONDUCTION</v>
          </cell>
          <cell r="K117">
            <v>10504285.02</v>
          </cell>
          <cell r="L117">
            <v>12605142.029999999</v>
          </cell>
          <cell r="M117" t="str">
            <v>Fonctionnement</v>
          </cell>
        </row>
        <row r="118">
          <cell r="A118">
            <v>2017</v>
          </cell>
          <cell r="C118" t="str">
            <v>DIRECTION CENTRALE DE LA PRODUCTION ET DE L'ANTENNE</v>
          </cell>
          <cell r="I118" t="str">
            <v>RECONDUCTION</v>
          </cell>
          <cell r="K118">
            <v>3901912.01</v>
          </cell>
          <cell r="L118">
            <v>4682294.42</v>
          </cell>
          <cell r="M118" t="str">
            <v>Fonctionnement</v>
          </cell>
        </row>
        <row r="119">
          <cell r="A119">
            <v>2017</v>
          </cell>
          <cell r="C119" t="str">
            <v>DIRECTION CENTRALE DE LA PRODUCTION ET DE L'ANTENNE</v>
          </cell>
          <cell r="I119" t="str">
            <v>AOO</v>
          </cell>
          <cell r="K119">
            <v>900000</v>
          </cell>
          <cell r="L119">
            <v>900000</v>
          </cell>
          <cell r="M119" t="str">
            <v>Fonctionnement</v>
          </cell>
        </row>
        <row r="120">
          <cell r="A120">
            <v>2017</v>
          </cell>
          <cell r="C120" t="str">
            <v>DIRECTION CENTRALE DE LA PRODUCTION ET DE L'ANTENNE</v>
          </cell>
          <cell r="I120" t="str">
            <v>AOO</v>
          </cell>
          <cell r="K120">
            <v>1000000</v>
          </cell>
          <cell r="L120">
            <v>1200000</v>
          </cell>
          <cell r="M120" t="str">
            <v>Fonctionnement</v>
          </cell>
        </row>
        <row r="121">
          <cell r="A121">
            <v>2017</v>
          </cell>
          <cell r="C121" t="str">
            <v>DIRECTION CENTRALE DE LA PRODUCTION ET DE L'ANTENNE</v>
          </cell>
          <cell r="I121" t="str">
            <v>AOO</v>
          </cell>
          <cell r="K121">
            <v>900000</v>
          </cell>
          <cell r="L121">
            <v>1080000</v>
          </cell>
          <cell r="M121" t="str">
            <v>Fonctionnement</v>
          </cell>
        </row>
        <row r="122">
          <cell r="A122">
            <v>2017</v>
          </cell>
          <cell r="C122" t="str">
            <v>DIRECTION CENTRALE DE LA PRODUCTION ET DE L'ANTENNE</v>
          </cell>
          <cell r="I122" t="str">
            <v>AOO</v>
          </cell>
          <cell r="K122">
            <v>260000</v>
          </cell>
          <cell r="L122">
            <v>312000</v>
          </cell>
          <cell r="M122" t="str">
            <v>Fonctionnement</v>
          </cell>
        </row>
        <row r="123">
          <cell r="A123">
            <v>2017</v>
          </cell>
          <cell r="C123" t="str">
            <v>DIRECTION CENTRALE DE LA PRODUCTION ET DE L'ANTENNE</v>
          </cell>
          <cell r="I123" t="str">
            <v>AOO</v>
          </cell>
          <cell r="K123">
            <v>300000</v>
          </cell>
          <cell r="L123">
            <v>360000</v>
          </cell>
          <cell r="M123" t="str">
            <v>Fonctionnement</v>
          </cell>
        </row>
        <row r="124">
          <cell r="A124">
            <v>2017</v>
          </cell>
          <cell r="C124" t="str">
            <v>DIRECTION CENTRALE DE LA PRODUCTION ET DE L'ANTENNE</v>
          </cell>
          <cell r="I124" t="str">
            <v>AOO</v>
          </cell>
          <cell r="K124">
            <v>1000000</v>
          </cell>
          <cell r="L124">
            <v>1000000</v>
          </cell>
          <cell r="M124" t="str">
            <v>Fonctionnement</v>
          </cell>
        </row>
        <row r="125">
          <cell r="A125">
            <v>2017</v>
          </cell>
          <cell r="C125" t="str">
            <v>DIRECTION CENTRALE DE LA PRODUCTION ET DE L'ANTENNE</v>
          </cell>
          <cell r="I125" t="str">
            <v>AOO</v>
          </cell>
          <cell r="K125">
            <v>1000000</v>
          </cell>
          <cell r="L125">
            <v>1200000</v>
          </cell>
          <cell r="M125" t="str">
            <v>Fonctionnement</v>
          </cell>
        </row>
        <row r="126">
          <cell r="A126">
            <v>2017</v>
          </cell>
          <cell r="C126" t="str">
            <v>DIRECTION CENTRALE DE LA CHAÎNE TAMAZIGHT</v>
          </cell>
          <cell r="I126" t="str">
            <v>RECONDUCTION</v>
          </cell>
          <cell r="K126">
            <v>2105040</v>
          </cell>
          <cell r="L126">
            <v>2526048</v>
          </cell>
          <cell r="M126" t="str">
            <v>Fonctionnement</v>
          </cell>
        </row>
        <row r="127">
          <cell r="A127">
            <v>2017</v>
          </cell>
          <cell r="C127" t="str">
            <v>DIRECTION CENTRALE DE LA CHAÎNE TAMAZIGHT</v>
          </cell>
          <cell r="I127" t="str">
            <v>RECONDUCTION</v>
          </cell>
          <cell r="K127">
            <v>1333080</v>
          </cell>
          <cell r="L127">
            <v>1599696</v>
          </cell>
          <cell r="M127" t="str">
            <v>Fonctionnement</v>
          </cell>
        </row>
        <row r="128">
          <cell r="A128">
            <v>2017</v>
          </cell>
          <cell r="C128" t="str">
            <v>DIRECTION CENTRALE DE LA CHAÎNE TAMAZIGHT</v>
          </cell>
          <cell r="I128" t="str">
            <v>RECONDUCTION</v>
          </cell>
          <cell r="K128">
            <v>1061984.1000000001</v>
          </cell>
          <cell r="L128">
            <v>1274380.9200000002</v>
          </cell>
          <cell r="M128" t="str">
            <v>Fonctionnement</v>
          </cell>
        </row>
        <row r="129">
          <cell r="A129">
            <v>2017</v>
          </cell>
          <cell r="C129" t="str">
            <v>DIRECTION CENTRALE DE LA CHAÎNE TAMAZIGHT</v>
          </cell>
          <cell r="I129" t="str">
            <v>RECONDUCTION</v>
          </cell>
          <cell r="K129">
            <v>983360.1</v>
          </cell>
          <cell r="L129">
            <v>1180032.1199999999</v>
          </cell>
          <cell r="M129" t="str">
            <v>Fonctionnement</v>
          </cell>
        </row>
        <row r="130">
          <cell r="A130">
            <v>2017</v>
          </cell>
          <cell r="C130" t="str">
            <v>DIRECTION CENTRALE DE LA CHAÎNE TAMAZIGHT</v>
          </cell>
          <cell r="I130" t="str">
            <v>RECONDUCTION</v>
          </cell>
          <cell r="K130">
            <v>994560</v>
          </cell>
          <cell r="L130">
            <v>1193472</v>
          </cell>
          <cell r="M130" t="str">
            <v>Fonctionnement</v>
          </cell>
        </row>
        <row r="131">
          <cell r="A131">
            <v>2017</v>
          </cell>
          <cell r="C131" t="str">
            <v>DIRECTION CENTRALE DE LA CHAÎNE TAMAZIGHT</v>
          </cell>
          <cell r="I131" t="str">
            <v>RECONDUCTION</v>
          </cell>
          <cell r="K131">
            <v>1384656</v>
          </cell>
          <cell r="L131">
            <v>1661587.2</v>
          </cell>
          <cell r="M131" t="str">
            <v>Fonctionnement</v>
          </cell>
        </row>
        <row r="132">
          <cell r="A132">
            <v>2017</v>
          </cell>
          <cell r="C132" t="str">
            <v>DIRECTION CENTRALE DE LA CHAÎNE TAMAZIGHT</v>
          </cell>
          <cell r="I132" t="str">
            <v>RECONDUCTION</v>
          </cell>
          <cell r="K132">
            <v>1385574.2999999998</v>
          </cell>
          <cell r="L132">
            <v>1662689.1599999997</v>
          </cell>
          <cell r="M132" t="str">
            <v>Fonctionnement</v>
          </cell>
        </row>
        <row r="133">
          <cell r="A133">
            <v>2017</v>
          </cell>
          <cell r="C133" t="str">
            <v>DIRECTION CENTRALE DE LA CHAÎNE TAMAZIGHT</v>
          </cell>
          <cell r="I133" t="str">
            <v>RECONDUCTION</v>
          </cell>
          <cell r="K133">
            <v>978879.9</v>
          </cell>
          <cell r="L133">
            <v>978879.9</v>
          </cell>
          <cell r="M133" t="str">
            <v>Fonctionnement</v>
          </cell>
        </row>
        <row r="134">
          <cell r="A134">
            <v>2017</v>
          </cell>
          <cell r="C134" t="str">
            <v xml:space="preserve">DIRECTION CENTRALE DE LA CHAINE TV LAAYOUNE </v>
          </cell>
          <cell r="I134" t="str">
            <v>RECONDUCTION</v>
          </cell>
          <cell r="K134">
            <v>1003520.1</v>
          </cell>
          <cell r="L134">
            <v>1003520.1</v>
          </cell>
          <cell r="M134" t="str">
            <v>Fonctionnement</v>
          </cell>
        </row>
        <row r="135">
          <cell r="A135">
            <v>2017</v>
          </cell>
          <cell r="C135" t="str">
            <v xml:space="preserve">DIRECTION CENTRALE DE LA CHAINE TV LAAYOUNE </v>
          </cell>
          <cell r="I135" t="str">
            <v>RECONDUCTION</v>
          </cell>
          <cell r="K135">
            <v>857919.9</v>
          </cell>
          <cell r="L135">
            <v>857919.9</v>
          </cell>
          <cell r="M135" t="str">
            <v>Fonctionnement</v>
          </cell>
        </row>
        <row r="136">
          <cell r="A136">
            <v>2017</v>
          </cell>
          <cell r="C136" t="str">
            <v xml:space="preserve">DIRECTION CENTRALE DE LA CHAINE TV LAAYOUNE </v>
          </cell>
          <cell r="I136" t="str">
            <v>RECONDUCTION</v>
          </cell>
          <cell r="K136">
            <v>817935.9</v>
          </cell>
          <cell r="L136">
            <v>817935.9</v>
          </cell>
          <cell r="M136" t="str">
            <v>Fonctionnement</v>
          </cell>
        </row>
        <row r="137">
          <cell r="A137">
            <v>2017</v>
          </cell>
          <cell r="C137" t="str">
            <v xml:space="preserve">DIRECTION CENTRALE DE LA CHAINE TV LAAYOUNE </v>
          </cell>
          <cell r="I137" t="str">
            <v>RECONDUCTION</v>
          </cell>
          <cell r="K137">
            <v>2335872</v>
          </cell>
          <cell r="L137">
            <v>2335872</v>
          </cell>
          <cell r="M137" t="str">
            <v>Fonctionnement</v>
          </cell>
        </row>
        <row r="138">
          <cell r="A138">
            <v>2017</v>
          </cell>
          <cell r="C138" t="str">
            <v xml:space="preserve">DIRECTION CENTRALE DE LA CHAINE TV LAAYOUNE </v>
          </cell>
          <cell r="I138" t="str">
            <v>RECONDUCTION</v>
          </cell>
          <cell r="K138">
            <v>875616</v>
          </cell>
          <cell r="L138">
            <v>875616</v>
          </cell>
          <cell r="M138" t="str">
            <v>Fonctionnement</v>
          </cell>
        </row>
        <row r="139">
          <cell r="A139">
            <v>2017</v>
          </cell>
          <cell r="C139" t="str">
            <v xml:space="preserve">DIRECTION CENTRALE DE LA CHAINE TV LAAYOUNE </v>
          </cell>
          <cell r="I139" t="str">
            <v>RECONDUCTION</v>
          </cell>
          <cell r="K139">
            <v>882000</v>
          </cell>
          <cell r="L139">
            <v>882000</v>
          </cell>
          <cell r="M139" t="str">
            <v>Fonctionnement</v>
          </cell>
        </row>
        <row r="140">
          <cell r="A140">
            <v>2017</v>
          </cell>
          <cell r="C140" t="str">
            <v xml:space="preserve">DIRECTION CENTRALE DE LA CHAINE TV LAAYOUNE </v>
          </cell>
          <cell r="I140" t="str">
            <v>RECONDUCTION</v>
          </cell>
          <cell r="K140">
            <v>625408</v>
          </cell>
          <cell r="L140">
            <v>625408</v>
          </cell>
          <cell r="M140" t="str">
            <v>Fonctionnement</v>
          </cell>
        </row>
        <row r="141">
          <cell r="A141">
            <v>2017</v>
          </cell>
          <cell r="C141" t="str">
            <v xml:space="preserve">DIRECTION CENTRALE DE LA CHAINE TV LAAYOUNE </v>
          </cell>
          <cell r="I141" t="str">
            <v>RECONDUCTION</v>
          </cell>
          <cell r="K141">
            <v>1030959.9</v>
          </cell>
          <cell r="L141">
            <v>1030959.9</v>
          </cell>
          <cell r="M141" t="str">
            <v>Fonctionnement</v>
          </cell>
        </row>
        <row r="142">
          <cell r="A142">
            <v>2017</v>
          </cell>
          <cell r="C142" t="str">
            <v>DIRECTION CENTRALE DE LA CHAÎNE TAMAZIGHT</v>
          </cell>
          <cell r="I142" t="str">
            <v>RECONDUCTION</v>
          </cell>
          <cell r="K142">
            <v>711200.1</v>
          </cell>
          <cell r="L142">
            <v>853440.12</v>
          </cell>
          <cell r="M142" t="str">
            <v>Fonctionnement</v>
          </cell>
        </row>
        <row r="143">
          <cell r="A143">
            <v>2017</v>
          </cell>
          <cell r="C143" t="str">
            <v>DIRECTION CENTRALE DE LA CHAÎNE TAMAZIGHT</v>
          </cell>
          <cell r="I143" t="str">
            <v>RECONDUCTION</v>
          </cell>
          <cell r="K143">
            <v>1309100.76</v>
          </cell>
          <cell r="L143">
            <v>1570920.15</v>
          </cell>
          <cell r="M143" t="str">
            <v>Fonctionnement</v>
          </cell>
        </row>
        <row r="144">
          <cell r="A144">
            <v>2017</v>
          </cell>
          <cell r="C144" t="str">
            <v>DIRECTION CENTRALE DE LA CHAÎNE TAMAZIGHT</v>
          </cell>
          <cell r="I144" t="str">
            <v>RECONDUCTION</v>
          </cell>
          <cell r="K144">
            <v>896313.6</v>
          </cell>
          <cell r="L144">
            <v>896313.6</v>
          </cell>
          <cell r="M144" t="str">
            <v>Fonctionnement</v>
          </cell>
        </row>
        <row r="145">
          <cell r="A145">
            <v>2017</v>
          </cell>
          <cell r="C145" t="str">
            <v>DIRECTION CENTRALE DE LA CHAÎNE TAMAZIGHT</v>
          </cell>
          <cell r="I145" t="str">
            <v>RECONDUCTION</v>
          </cell>
          <cell r="K145">
            <v>1720364.8</v>
          </cell>
          <cell r="L145">
            <v>2064437.76</v>
          </cell>
          <cell r="M145" t="str">
            <v>Fonctionnement</v>
          </cell>
        </row>
        <row r="146">
          <cell r="A146">
            <v>2017</v>
          </cell>
          <cell r="C146" t="str">
            <v>DIRECTION CENTRALE DE LA CHAÎNE TAMAZIGHT</v>
          </cell>
          <cell r="I146" t="str">
            <v>RECONDUCTION</v>
          </cell>
          <cell r="K146">
            <v>3289807.4</v>
          </cell>
          <cell r="L146">
            <v>3947768.88</v>
          </cell>
          <cell r="M146" t="str">
            <v>Fonctionnement</v>
          </cell>
        </row>
        <row r="147">
          <cell r="A147">
            <v>2017</v>
          </cell>
          <cell r="C147" t="str">
            <v>DIRECTION CENTRALE DE LA CHAÎNE TAMAZIGHT</v>
          </cell>
          <cell r="I147" t="str">
            <v>RECONDUCTION</v>
          </cell>
          <cell r="K147">
            <v>4684792</v>
          </cell>
          <cell r="L147">
            <v>5621750.4000000004</v>
          </cell>
          <cell r="M147" t="str">
            <v>Fonctionnement</v>
          </cell>
        </row>
        <row r="148">
          <cell r="A148">
            <v>2017</v>
          </cell>
          <cell r="C148" t="str">
            <v>DIRECTION CENTRALE DE LA CHAÎNE TAMAZIGHT</v>
          </cell>
          <cell r="I148" t="str">
            <v>RECONDUCTION</v>
          </cell>
          <cell r="K148">
            <v>2125984</v>
          </cell>
          <cell r="L148">
            <v>2551180.7999999998</v>
          </cell>
          <cell r="M148" t="str">
            <v>Fonctionnement</v>
          </cell>
        </row>
        <row r="149">
          <cell r="A149">
            <v>2017</v>
          </cell>
          <cell r="C149" t="str">
            <v>DIRECTION CENTRALE DE LA CHAÎNE TAMAZIGHT</v>
          </cell>
          <cell r="I149" t="str">
            <v>RECONDUCTION</v>
          </cell>
          <cell r="K149">
            <v>4702107.18</v>
          </cell>
          <cell r="L149">
            <v>5642528.6159999995</v>
          </cell>
          <cell r="M149" t="str">
            <v>Fonctionnement</v>
          </cell>
        </row>
        <row r="150">
          <cell r="A150">
            <v>2017</v>
          </cell>
          <cell r="C150" t="str">
            <v>DIRECTION CENTRALE DE LA CHAÎNE TAMAZIGHT</v>
          </cell>
          <cell r="I150" t="str">
            <v>RECONDUCTION</v>
          </cell>
          <cell r="K150">
            <v>3757600</v>
          </cell>
          <cell r="L150">
            <v>4509120</v>
          </cell>
          <cell r="M150" t="str">
            <v>Fonctionnement</v>
          </cell>
        </row>
        <row r="151">
          <cell r="A151">
            <v>2017</v>
          </cell>
          <cell r="C151" t="str">
            <v>DIRECTION CENTRALE DE LA CHAÎNE TAMAZIGHT</v>
          </cell>
          <cell r="I151" t="str">
            <v>RECONDUCTION</v>
          </cell>
          <cell r="K151">
            <v>3701376</v>
          </cell>
          <cell r="L151">
            <v>4441651.2000000002</v>
          </cell>
          <cell r="M151" t="str">
            <v>Fonctionnement</v>
          </cell>
        </row>
        <row r="152">
          <cell r="A152">
            <v>2017</v>
          </cell>
          <cell r="C152" t="str">
            <v>DIRECTION CENTRALE DE LA PRODUCTION ET DE L'ANTENNE</v>
          </cell>
          <cell r="I152" t="str">
            <v>RECONDUCTION</v>
          </cell>
          <cell r="K152">
            <v>3995460</v>
          </cell>
          <cell r="L152">
            <v>4794552</v>
          </cell>
          <cell r="M152" t="str">
            <v>Fonctionnement</v>
          </cell>
        </row>
        <row r="153">
          <cell r="A153">
            <v>2017</v>
          </cell>
          <cell r="C153" t="str">
            <v>DIRECTION CENTRALE DE LA CHAÎNE TAMAZIGHT</v>
          </cell>
          <cell r="I153" t="str">
            <v>RECONDUCTION</v>
          </cell>
          <cell r="K153">
            <v>2174000.62</v>
          </cell>
          <cell r="L153">
            <v>2608800.7439999999</v>
          </cell>
          <cell r="M153" t="str">
            <v>Fonctionnement</v>
          </cell>
        </row>
        <row r="154">
          <cell r="A154">
            <v>2017</v>
          </cell>
          <cell r="C154" t="str">
            <v>DIRECTION CENTRALE DE LA CHAÎNE TAMAZIGHT</v>
          </cell>
          <cell r="I154" t="str">
            <v>RECONDUCTION</v>
          </cell>
          <cell r="K154">
            <v>1687779.5</v>
          </cell>
          <cell r="L154">
            <v>2025335.4</v>
          </cell>
          <cell r="M154" t="str">
            <v>Fonctionnement</v>
          </cell>
        </row>
        <row r="155">
          <cell r="A155">
            <v>2017</v>
          </cell>
          <cell r="C155" t="str">
            <v>DIRECTION CENTRALE DE LA PRODUCTION ET DE L'ANTENNE</v>
          </cell>
          <cell r="I155" t="str">
            <v>RECONDUCTION</v>
          </cell>
          <cell r="K155">
            <v>4082624</v>
          </cell>
          <cell r="L155">
            <v>4082624</v>
          </cell>
          <cell r="M155" t="str">
            <v>Fonctionnement</v>
          </cell>
        </row>
        <row r="156">
          <cell r="A156">
            <v>2017</v>
          </cell>
          <cell r="C156" t="str">
            <v>DIRECTION CENTRALE DE LA PRODUCTION ET DE L'ANTENNE</v>
          </cell>
          <cell r="I156" t="str">
            <v>AOO</v>
          </cell>
          <cell r="K156">
            <v>9101232</v>
          </cell>
          <cell r="L156">
            <v>10921478.4</v>
          </cell>
          <cell r="M156" t="str">
            <v>Fonctionnement</v>
          </cell>
        </row>
        <row r="157">
          <cell r="A157">
            <v>2017</v>
          </cell>
          <cell r="C157" t="str">
            <v>DIRECTION CENTRALE DE LA PRODUCTION ET DE L'ANTENNE</v>
          </cell>
          <cell r="I157" t="str">
            <v>AOO</v>
          </cell>
          <cell r="K157">
            <v>8961792</v>
          </cell>
          <cell r="L157">
            <v>10754150.4</v>
          </cell>
          <cell r="M157" t="str">
            <v>Fonctionnement</v>
          </cell>
        </row>
        <row r="158">
          <cell r="A158">
            <v>2017</v>
          </cell>
          <cell r="C158" t="str">
            <v>DIRECTION CENTRALE DE LA PRODUCTION ET DE L'ANTENNE</v>
          </cell>
          <cell r="I158" t="str">
            <v>AOO</v>
          </cell>
          <cell r="K158">
            <v>1496432</v>
          </cell>
          <cell r="L158">
            <v>1795718.4</v>
          </cell>
          <cell r="M158" t="str">
            <v>Fonctionnement</v>
          </cell>
        </row>
        <row r="159">
          <cell r="A159">
            <v>2017</v>
          </cell>
          <cell r="C159" t="str">
            <v>DIRECTION CENTRALE DE LA CHAÎNE TAMAZIGHT</v>
          </cell>
          <cell r="I159" t="str">
            <v>AOO</v>
          </cell>
          <cell r="K159">
            <v>1198736</v>
          </cell>
          <cell r="L159">
            <v>1198736</v>
          </cell>
          <cell r="M159" t="str">
            <v>Fonctionnement</v>
          </cell>
        </row>
        <row r="160">
          <cell r="A160">
            <v>2017</v>
          </cell>
          <cell r="C160" t="str">
            <v>DIRECTION CENTRALE DE LA CHAÎNE TAMAZIGHT</v>
          </cell>
          <cell r="I160" t="str">
            <v>AOO</v>
          </cell>
          <cell r="K160">
            <v>1031296</v>
          </cell>
          <cell r="L160">
            <v>1237555.2</v>
          </cell>
          <cell r="M160" t="str">
            <v>Fonctionnement</v>
          </cell>
        </row>
        <row r="161">
          <cell r="A161">
            <v>2017</v>
          </cell>
          <cell r="C161" t="str">
            <v>DIRECTION CENTRALE DE LA CHAÎNE TAMAZIGHT</v>
          </cell>
          <cell r="I161" t="str">
            <v>AOO</v>
          </cell>
          <cell r="K161">
            <v>497560</v>
          </cell>
          <cell r="L161">
            <v>597072</v>
          </cell>
          <cell r="M161" t="str">
            <v>Fonctionnement</v>
          </cell>
        </row>
        <row r="162">
          <cell r="A162">
            <v>2017</v>
          </cell>
          <cell r="C162" t="str">
            <v>DIRECTION CENTRALE DE LA CHAÎNE TAMAZIGHT</v>
          </cell>
          <cell r="I162" t="str">
            <v>AOO</v>
          </cell>
          <cell r="K162">
            <v>734227.2</v>
          </cell>
          <cell r="L162">
            <v>881072.64000000001</v>
          </cell>
          <cell r="M162" t="str">
            <v>Fonctionnement</v>
          </cell>
        </row>
        <row r="163">
          <cell r="A163">
            <v>2017</v>
          </cell>
          <cell r="C163" t="str">
            <v>DIRECTION CENTRALE DE LA CHAÎNE TAMAZIGHT</v>
          </cell>
          <cell r="I163" t="str">
            <v>AOO</v>
          </cell>
          <cell r="K163">
            <v>1216409.7</v>
          </cell>
          <cell r="L163">
            <v>1459691.64</v>
          </cell>
          <cell r="M163" t="str">
            <v>Fonctionnement</v>
          </cell>
        </row>
        <row r="164">
          <cell r="A164">
            <v>2017</v>
          </cell>
          <cell r="C164" t="str">
            <v>DIRECTION CENTRALE DE LA CHAÎNE TAMAZIGHT</v>
          </cell>
          <cell r="I164" t="str">
            <v>AOO</v>
          </cell>
          <cell r="K164">
            <v>996396.8</v>
          </cell>
          <cell r="L164">
            <v>1195676.1599999999</v>
          </cell>
          <cell r="M164" t="str">
            <v>Fonctionnement</v>
          </cell>
        </row>
        <row r="165">
          <cell r="A165">
            <v>2017</v>
          </cell>
          <cell r="C165" t="str">
            <v>DIRECTION CENTRALE DE LA CHAÎNE TAMAZIGHT</v>
          </cell>
          <cell r="I165" t="str">
            <v>AOO</v>
          </cell>
          <cell r="K165">
            <v>7569296.0999999996</v>
          </cell>
          <cell r="L165">
            <v>9083155.3200000003</v>
          </cell>
          <cell r="M165" t="str">
            <v>Fonctionnement</v>
          </cell>
        </row>
        <row r="166">
          <cell r="A166">
            <v>2017</v>
          </cell>
          <cell r="C166" t="str">
            <v>DIRECTION CENTRALE DE LA CHAÎNE TAMAZIGHT</v>
          </cell>
          <cell r="I166" t="str">
            <v>AOO</v>
          </cell>
          <cell r="K166">
            <v>7722063.9000000004</v>
          </cell>
          <cell r="L166">
            <v>9266476.6799999997</v>
          </cell>
          <cell r="M166" t="str">
            <v>Fonctionnement</v>
          </cell>
        </row>
        <row r="167">
          <cell r="A167">
            <v>2017</v>
          </cell>
          <cell r="C167" t="str">
            <v>DIRECTION CENTRALE DE LA CHAÎNE TAMAZIGHT</v>
          </cell>
          <cell r="I167" t="str">
            <v>AOO</v>
          </cell>
          <cell r="K167">
            <v>1094161.5</v>
          </cell>
          <cell r="L167">
            <v>1312993.8</v>
          </cell>
          <cell r="M167" t="str">
            <v>Fonctionnement</v>
          </cell>
        </row>
        <row r="168">
          <cell r="A168">
            <v>2017</v>
          </cell>
          <cell r="C168" t="str">
            <v>DIRECTION CENTRALE DE LA CHAÎNE TAMAZIGHT</v>
          </cell>
          <cell r="I168" t="str">
            <v>AOO</v>
          </cell>
          <cell r="K168">
            <v>1007328</v>
          </cell>
          <cell r="L168">
            <v>1208793.6000000001</v>
          </cell>
          <cell r="M168" t="str">
            <v>Fonctionnement</v>
          </cell>
        </row>
        <row r="169">
          <cell r="A169">
            <v>2017</v>
          </cell>
          <cell r="C169" t="str">
            <v>DIRECTION CENTRALE DE LA CHAÎNE TAMAZIGHT</v>
          </cell>
          <cell r="I169" t="str">
            <v>AOO</v>
          </cell>
          <cell r="K169">
            <v>861728.1</v>
          </cell>
          <cell r="L169">
            <v>1034073.72</v>
          </cell>
          <cell r="M169" t="str">
            <v>Fonctionnement</v>
          </cell>
        </row>
        <row r="170">
          <cell r="A170">
            <v>2017</v>
          </cell>
          <cell r="C170" t="str">
            <v xml:space="preserve">DIRECTION CENTRALE DE LA CHAINE TV LAAYOUNE </v>
          </cell>
          <cell r="I170" t="str">
            <v>AOO</v>
          </cell>
          <cell r="K170">
            <v>3303529.5</v>
          </cell>
          <cell r="L170">
            <v>3303529.5</v>
          </cell>
          <cell r="M170" t="str">
            <v>Fonctionnement</v>
          </cell>
        </row>
        <row r="171">
          <cell r="A171">
            <v>2017</v>
          </cell>
          <cell r="C171" t="str">
            <v xml:space="preserve">DIRECTION CENTRALE DE LA CHAINE TV LAAYOUNE </v>
          </cell>
          <cell r="I171" t="str">
            <v>AOO</v>
          </cell>
          <cell r="K171">
            <v>487984</v>
          </cell>
          <cell r="L171">
            <v>487984</v>
          </cell>
          <cell r="M171" t="str">
            <v>Fonctionnement</v>
          </cell>
        </row>
        <row r="172">
          <cell r="A172">
            <v>2017</v>
          </cell>
          <cell r="C172" t="str">
            <v xml:space="preserve">DIRECTION CENTRALE DE LA CHAINE TV LAAYOUNE </v>
          </cell>
          <cell r="I172" t="str">
            <v>AOO</v>
          </cell>
          <cell r="K172">
            <v>1799504.1</v>
          </cell>
          <cell r="L172">
            <v>1799504.1</v>
          </cell>
          <cell r="M172" t="str">
            <v>Fonctionnement</v>
          </cell>
        </row>
        <row r="173">
          <cell r="A173">
            <v>2017</v>
          </cell>
          <cell r="C173" t="str">
            <v xml:space="preserve">DIRECTION CENTRALE DE LA CHAINE TV LAAYOUNE </v>
          </cell>
          <cell r="I173" t="str">
            <v>AOO</v>
          </cell>
          <cell r="K173">
            <v>715411.2</v>
          </cell>
          <cell r="L173">
            <v>715411.2</v>
          </cell>
          <cell r="M173" t="str">
            <v>Fonctionnement</v>
          </cell>
        </row>
        <row r="174">
          <cell r="A174">
            <v>2017</v>
          </cell>
          <cell r="C174" t="str">
            <v>DIRECTION CENTRALE DE LA CHAÎNE TAMAZIGHT</v>
          </cell>
          <cell r="I174" t="str">
            <v>AOO</v>
          </cell>
          <cell r="K174">
            <v>1192464</v>
          </cell>
          <cell r="L174">
            <v>1430956.8</v>
          </cell>
          <cell r="M174" t="str">
            <v>Fonctionnement</v>
          </cell>
        </row>
        <row r="175">
          <cell r="A175">
            <v>2017</v>
          </cell>
          <cell r="C175" t="str">
            <v>DIRECTION CENTRALE DE LA CHAÎNE TAMAZIGHT</v>
          </cell>
          <cell r="I175" t="str">
            <v>AOO</v>
          </cell>
          <cell r="K175">
            <v>2347856.1</v>
          </cell>
          <cell r="L175">
            <v>2817427.32</v>
          </cell>
          <cell r="M175" t="str">
            <v>Fonctionnement</v>
          </cell>
        </row>
        <row r="176">
          <cell r="A176">
            <v>2017</v>
          </cell>
          <cell r="C176" t="str">
            <v>DIRECTION CENTRALE DE LA CHAÎNE TAMAZIGHT</v>
          </cell>
          <cell r="I176" t="str">
            <v>AOO</v>
          </cell>
          <cell r="K176">
            <v>1195264</v>
          </cell>
          <cell r="L176">
            <v>1195264</v>
          </cell>
          <cell r="M176" t="str">
            <v>Fonctionnement</v>
          </cell>
        </row>
        <row r="177">
          <cell r="A177">
            <v>2017</v>
          </cell>
          <cell r="C177" t="str">
            <v>DIRECTION CENTRALE DE LA CHAÎNE TAMAZIGHT</v>
          </cell>
          <cell r="I177" t="str">
            <v>AOO</v>
          </cell>
          <cell r="K177">
            <v>1007720</v>
          </cell>
          <cell r="L177">
            <v>1209264</v>
          </cell>
          <cell r="M177" t="str">
            <v>Fonctionnement</v>
          </cell>
        </row>
        <row r="178">
          <cell r="A178">
            <v>2017</v>
          </cell>
          <cell r="C178" t="str">
            <v>DIRECTION CENTRALE DE LA CHAÎNE TAMAZIGHT</v>
          </cell>
          <cell r="I178" t="str">
            <v>AOO</v>
          </cell>
          <cell r="K178">
            <v>592143.9</v>
          </cell>
          <cell r="L178">
            <v>710572.68</v>
          </cell>
          <cell r="M178" t="str">
            <v>Fonctionnement</v>
          </cell>
        </row>
        <row r="179">
          <cell r="A179">
            <v>2017</v>
          </cell>
          <cell r="C179" t="str">
            <v>DIRECTION CENTRALE DE LA CHAÎNE TAMAZIGHT</v>
          </cell>
          <cell r="I179" t="str">
            <v>AOO</v>
          </cell>
          <cell r="K179">
            <v>1244656.8999999999</v>
          </cell>
          <cell r="L179">
            <v>1244656.8999999999</v>
          </cell>
          <cell r="M179" t="str">
            <v>Fonctionnement</v>
          </cell>
        </row>
        <row r="180">
          <cell r="A180">
            <v>2017</v>
          </cell>
          <cell r="C180" t="str">
            <v>DIRECTION CENTRALE DE LA CHAÎNE TAMAZIGHT</v>
          </cell>
          <cell r="I180" t="str">
            <v>AOO</v>
          </cell>
          <cell r="K180">
            <v>1008448</v>
          </cell>
          <cell r="L180">
            <v>1210137.6000000001</v>
          </cell>
          <cell r="M180" t="str">
            <v>Fonctionnement</v>
          </cell>
        </row>
        <row r="181">
          <cell r="A181">
            <v>2017</v>
          </cell>
          <cell r="C181" t="str">
            <v>DIRECTION CENTRALE DE LA CHAÎNE TAMAZIGHT</v>
          </cell>
          <cell r="I181" t="str">
            <v>AOO</v>
          </cell>
          <cell r="K181">
            <v>2107952.1</v>
          </cell>
          <cell r="L181">
            <v>2529542.52</v>
          </cell>
          <cell r="M181" t="str">
            <v>Fonctionnement</v>
          </cell>
        </row>
        <row r="182">
          <cell r="A182">
            <v>2017</v>
          </cell>
          <cell r="C182" t="str">
            <v>DIRECTION CENTRALE DE LA CHAÎNE TAMAZIGHT</v>
          </cell>
          <cell r="I182" t="str">
            <v>AOO</v>
          </cell>
          <cell r="K182">
            <v>1526280</v>
          </cell>
          <cell r="L182">
            <v>1831536</v>
          </cell>
          <cell r="M182" t="str">
            <v>Fonctionnement</v>
          </cell>
        </row>
        <row r="183">
          <cell r="A183">
            <v>2017</v>
          </cell>
          <cell r="C183" t="str">
            <v>DIRECTION CENTRALE DE LA CHAÎNE TAMAZIGHT</v>
          </cell>
          <cell r="I183" t="str">
            <v>AOO</v>
          </cell>
          <cell r="K183">
            <v>7590128.0999999996</v>
          </cell>
          <cell r="L183">
            <v>9108153.7200000007</v>
          </cell>
          <cell r="M183" t="str">
            <v>Fonctionnement</v>
          </cell>
        </row>
        <row r="184">
          <cell r="A184">
            <v>2017</v>
          </cell>
          <cell r="C184" t="str">
            <v>DIRECTION CENTRALE DE LA CHAÎNE TAMAZIGHT</v>
          </cell>
          <cell r="I184" t="str">
            <v>AOO</v>
          </cell>
          <cell r="K184">
            <v>1031990.4</v>
          </cell>
          <cell r="L184">
            <v>1238388.48</v>
          </cell>
          <cell r="M184" t="str">
            <v>Fonctionnement</v>
          </cell>
        </row>
        <row r="185">
          <cell r="A185">
            <v>2017</v>
          </cell>
          <cell r="C185" t="str">
            <v>DIRECTION CENTRALE DE LA CHAÎNE TAMAZIGHT</v>
          </cell>
          <cell r="I185" t="str">
            <v>AOO</v>
          </cell>
          <cell r="K185">
            <v>1043616</v>
          </cell>
          <cell r="L185">
            <v>1252339.2</v>
          </cell>
          <cell r="M185" t="str">
            <v>Fonctionnement</v>
          </cell>
        </row>
        <row r="186">
          <cell r="A186">
            <v>2017</v>
          </cell>
          <cell r="C186" t="str">
            <v>DIRECTION CENTRALE DE LA PRODUCTION ET DE L'ANTENNE</v>
          </cell>
          <cell r="I186" t="str">
            <v>AOO</v>
          </cell>
          <cell r="K186">
            <v>913315.2</v>
          </cell>
          <cell r="L186">
            <v>1095978.24</v>
          </cell>
          <cell r="M186" t="str">
            <v>Fonctionnement</v>
          </cell>
        </row>
        <row r="187">
          <cell r="A187">
            <v>2017</v>
          </cell>
          <cell r="C187" t="str">
            <v>DIRECTION CENTRALE DE LA PRODUCTION ET DE L'ANTENNE</v>
          </cell>
          <cell r="I187" t="str">
            <v>AOO</v>
          </cell>
          <cell r="K187">
            <v>7893759.9000000004</v>
          </cell>
          <cell r="L187">
            <v>9472511.8800000008</v>
          </cell>
          <cell r="M187" t="str">
            <v>Fonctionnement</v>
          </cell>
        </row>
        <row r="188">
          <cell r="A188">
            <v>2017</v>
          </cell>
          <cell r="C188" t="str">
            <v>DIRECTION CENTRALE DE LA PRODUCTION ET DE L'ANTENNE</v>
          </cell>
          <cell r="I188" t="str">
            <v>AOO</v>
          </cell>
          <cell r="K188">
            <v>1007563.2</v>
          </cell>
          <cell r="L188">
            <v>1209075.8400000001</v>
          </cell>
          <cell r="M188" t="str">
            <v>Fonctionnement</v>
          </cell>
        </row>
        <row r="189">
          <cell r="A189">
            <v>2017</v>
          </cell>
          <cell r="C189" t="str">
            <v>DIRECTION CENTRALE DE LA PRODUCTION ET DE L'ANTENNE</v>
          </cell>
          <cell r="I189" t="str">
            <v>AOO</v>
          </cell>
          <cell r="K189">
            <v>1557236.7</v>
          </cell>
          <cell r="L189">
            <v>1868684.04</v>
          </cell>
          <cell r="M189" t="str">
            <v>Fonctionnement</v>
          </cell>
        </row>
        <row r="190">
          <cell r="A190">
            <v>2017</v>
          </cell>
          <cell r="C190" t="str">
            <v>DIRECTION CENTRALE DE LA PRODUCTION ET DE L'ANTENNE</v>
          </cell>
          <cell r="I190" t="str">
            <v>AOO</v>
          </cell>
          <cell r="K190">
            <v>11192607.9</v>
          </cell>
          <cell r="L190">
            <v>13431129.48</v>
          </cell>
          <cell r="M190" t="str">
            <v>Fonctionnement</v>
          </cell>
        </row>
        <row r="191">
          <cell r="A191">
            <v>2017</v>
          </cell>
          <cell r="C191" t="str">
            <v>DIRECTION CENTRALE DE LA PRODUCTION ET DE L'ANTENNE</v>
          </cell>
          <cell r="I191" t="str">
            <v>AOO</v>
          </cell>
          <cell r="K191">
            <v>1003968</v>
          </cell>
          <cell r="L191">
            <v>1003968</v>
          </cell>
          <cell r="M191" t="str">
            <v>Fonctionnement</v>
          </cell>
        </row>
        <row r="192">
          <cell r="A192">
            <v>2017</v>
          </cell>
          <cell r="C192" t="str">
            <v>DIRECTION CENTRALE DE LA PRODUCTION ET DE L'ANTENNE</v>
          </cell>
          <cell r="I192" t="str">
            <v>AOO</v>
          </cell>
          <cell r="K192">
            <v>1018270.4</v>
          </cell>
          <cell r="L192">
            <v>1221924.48</v>
          </cell>
          <cell r="M192" t="str">
            <v>Fonctionnement</v>
          </cell>
        </row>
        <row r="193">
          <cell r="A193">
            <v>2017</v>
          </cell>
          <cell r="C193" t="str">
            <v>DIRECTION CENTRALE DE LA PRODUCTION ET DE L'ANTENNE</v>
          </cell>
          <cell r="I193" t="str">
            <v>AOO</v>
          </cell>
          <cell r="K193">
            <v>1036470.4</v>
          </cell>
          <cell r="L193">
            <v>1243764.48</v>
          </cell>
          <cell r="M193" t="str">
            <v>Fonctionnement</v>
          </cell>
        </row>
        <row r="194">
          <cell r="A194">
            <v>2017</v>
          </cell>
          <cell r="C194" t="str">
            <v>DIRECTION CENTRALE DE LA PRODUCTION ET DE L'ANTENNE</v>
          </cell>
          <cell r="I194" t="str">
            <v>AOO</v>
          </cell>
          <cell r="K194">
            <v>3528728.1</v>
          </cell>
          <cell r="L194">
            <v>4234473.72</v>
          </cell>
          <cell r="M194" t="str">
            <v>Fonctionnement</v>
          </cell>
        </row>
        <row r="195">
          <cell r="A195">
            <v>2017</v>
          </cell>
          <cell r="C195" t="str">
            <v>DIRECTION CENTRALE DE LA CHAÎNE TAMAZIGHT</v>
          </cell>
          <cell r="I195" t="str">
            <v>AOO</v>
          </cell>
          <cell r="K195">
            <v>1785392.1</v>
          </cell>
          <cell r="L195">
            <v>2142470.52</v>
          </cell>
          <cell r="M195" t="str">
            <v>Fonctionnement</v>
          </cell>
        </row>
        <row r="196">
          <cell r="A196">
            <v>2019</v>
          </cell>
          <cell r="C196" t="str">
            <v>DIRECTION CENTRALE DE LA PRODUCTION ET DE L'ANTENNE</v>
          </cell>
          <cell r="I196" t="str">
            <v>RECONDUCTION</v>
          </cell>
          <cell r="K196">
            <v>6183900.7999999998</v>
          </cell>
          <cell r="L196">
            <v>7420680.96</v>
          </cell>
          <cell r="M196" t="str">
            <v>Fonctionnement</v>
          </cell>
        </row>
        <row r="197">
          <cell r="A197">
            <v>2019</v>
          </cell>
          <cell r="C197" t="str">
            <v>DIRECTION CENTRALE DE LA PRODUCTION ET DE L'ANTENNE</v>
          </cell>
          <cell r="I197" t="str">
            <v>RECONDUCTION</v>
          </cell>
          <cell r="K197">
            <v>3581536</v>
          </cell>
          <cell r="L197">
            <v>3581536</v>
          </cell>
          <cell r="M197" t="str">
            <v>Fonctionnement</v>
          </cell>
        </row>
        <row r="198">
          <cell r="A198">
            <v>2019</v>
          </cell>
          <cell r="C198" t="str">
            <v>DIRECTION CENTRALE DE LA PRODUCTION ET DE L'ANTENNE</v>
          </cell>
          <cell r="I198" t="str">
            <v>RECONDUCTION</v>
          </cell>
          <cell r="K198">
            <v>4082624.04</v>
          </cell>
          <cell r="L198">
            <v>4082624.04</v>
          </cell>
          <cell r="M198" t="str">
            <v>Fonctionnement</v>
          </cell>
        </row>
        <row r="199">
          <cell r="A199">
            <v>2019</v>
          </cell>
          <cell r="C199" t="str">
            <v>DIRECTION CENTRALE DE LA PRODUCTION ET DE L'ANTENNE</v>
          </cell>
          <cell r="I199" t="str">
            <v>RECONDUCTION</v>
          </cell>
          <cell r="K199">
            <v>3901912.01</v>
          </cell>
          <cell r="L199">
            <v>4682294.41</v>
          </cell>
          <cell r="M199" t="str">
            <v>Fonctionnement</v>
          </cell>
        </row>
        <row r="200">
          <cell r="A200">
            <v>2019</v>
          </cell>
          <cell r="C200" t="str">
            <v>DIRECTION CENTRALE DE LA PRODUCTION ET DE L'ANTENNE</v>
          </cell>
          <cell r="I200" t="str">
            <v>RECONDUCTION</v>
          </cell>
          <cell r="K200">
            <v>10504285.02</v>
          </cell>
          <cell r="L200">
            <v>12605142.023999998</v>
          </cell>
          <cell r="M200" t="str">
            <v>Fonctionnement</v>
          </cell>
        </row>
        <row r="201">
          <cell r="A201">
            <v>2019</v>
          </cell>
          <cell r="C201" t="str">
            <v>DIRECTION CENTRALE DE LA CHAÎNE TAMAZIGHT</v>
          </cell>
          <cell r="I201" t="str">
            <v>RECONDUCTION</v>
          </cell>
          <cell r="K201">
            <v>1142736</v>
          </cell>
          <cell r="L201">
            <v>1142736</v>
          </cell>
          <cell r="M201" t="str">
            <v>Fonctionnement</v>
          </cell>
        </row>
        <row r="202">
          <cell r="A202">
            <v>2019</v>
          </cell>
          <cell r="C202" t="str">
            <v>DIRECTION CENTRALE DE LA CHAÎNE TAMAZIGHT</v>
          </cell>
          <cell r="I202" t="str">
            <v>RECONDUCTION</v>
          </cell>
          <cell r="K202">
            <v>570303.9</v>
          </cell>
          <cell r="L202">
            <v>684364.68</v>
          </cell>
          <cell r="M202" t="str">
            <v>Fonctionnement</v>
          </cell>
        </row>
        <row r="203">
          <cell r="A203">
            <v>2019</v>
          </cell>
          <cell r="C203" t="str">
            <v>DIRECTION CENTRALE DE LA CHAÎNE TAMAZIGHT</v>
          </cell>
          <cell r="I203" t="str">
            <v>RECONDUCTION</v>
          </cell>
          <cell r="K203">
            <v>1417080</v>
          </cell>
          <cell r="L203">
            <v>1700496</v>
          </cell>
          <cell r="M203" t="str">
            <v>Fonctionnement</v>
          </cell>
        </row>
        <row r="204">
          <cell r="A204">
            <v>2019</v>
          </cell>
          <cell r="C204" t="str">
            <v>DIRECTION CENTRALE DE LA CHAÎNE TAMAZIGHT</v>
          </cell>
          <cell r="I204" t="str">
            <v>RECONDUCTION</v>
          </cell>
          <cell r="K204">
            <v>1760192.1</v>
          </cell>
          <cell r="L204">
            <v>2112230.52</v>
          </cell>
          <cell r="M204" t="str">
            <v>Fonctionnement</v>
          </cell>
        </row>
        <row r="205">
          <cell r="A205">
            <v>2019</v>
          </cell>
          <cell r="C205" t="str">
            <v>DIRECTION CENTRALE DE LA CHAÎNE TAMAZIGHT</v>
          </cell>
          <cell r="I205" t="str">
            <v>RECONDUCTION</v>
          </cell>
          <cell r="K205">
            <v>205777.6</v>
          </cell>
          <cell r="L205">
            <v>246933.12</v>
          </cell>
          <cell r="M205" t="str">
            <v>Fonctionnement</v>
          </cell>
        </row>
        <row r="206">
          <cell r="A206">
            <v>2019</v>
          </cell>
          <cell r="C206" t="str">
            <v>DIRECTION CENTRALE DE LA CHAÎNE TAMAZIGHT</v>
          </cell>
          <cell r="I206" t="str">
            <v>RECONDUCTION</v>
          </cell>
          <cell r="K206">
            <v>1142624</v>
          </cell>
          <cell r="L206">
            <v>1142624</v>
          </cell>
          <cell r="M206" t="str">
            <v>Fonctionnement</v>
          </cell>
        </row>
        <row r="207">
          <cell r="A207">
            <v>2019</v>
          </cell>
          <cell r="C207" t="str">
            <v>DIRECTION CENTRALE DE LA CHAÎNE TAMAZIGHT</v>
          </cell>
          <cell r="I207" t="str">
            <v>RECONDUCTION</v>
          </cell>
          <cell r="K207">
            <v>985376.1</v>
          </cell>
          <cell r="L207">
            <v>1182451.32</v>
          </cell>
          <cell r="M207" t="str">
            <v>Fonctionnement</v>
          </cell>
        </row>
        <row r="208">
          <cell r="A208">
            <v>2019</v>
          </cell>
          <cell r="C208" t="str">
            <v>DIRECTION CENTRALE DE LA CHAÎNE TAMAZIGHT</v>
          </cell>
          <cell r="I208" t="str">
            <v>RECONDUCTION</v>
          </cell>
          <cell r="K208">
            <v>706787.1</v>
          </cell>
          <cell r="L208">
            <v>848144.52</v>
          </cell>
          <cell r="M208" t="str">
            <v>Fonctionnement</v>
          </cell>
        </row>
        <row r="209">
          <cell r="A209">
            <v>2019</v>
          </cell>
          <cell r="C209" t="str">
            <v>DIRECTION CENTRALE DE LA CHAÎNE TAMAZIGHT</v>
          </cell>
          <cell r="I209" t="str">
            <v>RECONDUCTION</v>
          </cell>
          <cell r="K209">
            <v>484680</v>
          </cell>
          <cell r="L209">
            <v>581616</v>
          </cell>
          <cell r="M209" t="str">
            <v>Fonctionnement</v>
          </cell>
        </row>
        <row r="210">
          <cell r="A210">
            <v>2019</v>
          </cell>
          <cell r="C210" t="str">
            <v>DIRECTION CENTRALE DE LA CHAÎNE TAMAZIGHT</v>
          </cell>
          <cell r="I210" t="str">
            <v>RECONDUCTION</v>
          </cell>
          <cell r="K210">
            <v>847728</v>
          </cell>
          <cell r="L210">
            <v>1017273.6</v>
          </cell>
          <cell r="M210" t="str">
            <v>Fonctionnement</v>
          </cell>
        </row>
        <row r="211">
          <cell r="A211">
            <v>2019</v>
          </cell>
          <cell r="C211" t="str">
            <v>DIRECTION CENTRALE DE LA CHAÎNE TAMAZIGHT</v>
          </cell>
          <cell r="I211" t="str">
            <v>RECONDUCTION</v>
          </cell>
          <cell r="K211">
            <v>1172864.1000000001</v>
          </cell>
          <cell r="L211">
            <v>1407436.92</v>
          </cell>
          <cell r="M211" t="str">
            <v>Fonctionnement</v>
          </cell>
        </row>
        <row r="212">
          <cell r="A212">
            <v>2019</v>
          </cell>
          <cell r="C212" t="str">
            <v>DIRECTION CENTRALE DE LA CHAÎNE TAMAZIGHT</v>
          </cell>
          <cell r="I212" t="str">
            <v>RECONDUCTION</v>
          </cell>
          <cell r="K212">
            <v>2057552.1</v>
          </cell>
          <cell r="L212">
            <v>2469062.52</v>
          </cell>
          <cell r="M212" t="str">
            <v>Fonctionnement</v>
          </cell>
        </row>
        <row r="213">
          <cell r="A213">
            <v>2019</v>
          </cell>
          <cell r="C213" t="str">
            <v xml:space="preserve">DIRECTION CENTRALE DE LA CHAINE TV LAAYOUNE </v>
          </cell>
          <cell r="I213" t="str">
            <v>RECONDUCTION</v>
          </cell>
          <cell r="K213">
            <v>817935.9</v>
          </cell>
          <cell r="L213">
            <v>817935.9</v>
          </cell>
          <cell r="M213" t="str">
            <v>Fonctionnement</v>
          </cell>
        </row>
        <row r="214">
          <cell r="A214">
            <v>2019</v>
          </cell>
          <cell r="C214" t="str">
            <v xml:space="preserve">DIRECTION CENTRALE DE LA CHAINE TV LAAYOUNE </v>
          </cell>
          <cell r="I214" t="str">
            <v>RECONDUCTION</v>
          </cell>
          <cell r="K214">
            <v>882000</v>
          </cell>
          <cell r="L214">
            <v>882000</v>
          </cell>
          <cell r="M214" t="str">
            <v>Fonctionnement</v>
          </cell>
        </row>
        <row r="215">
          <cell r="A215">
            <v>2019</v>
          </cell>
          <cell r="C215" t="str">
            <v xml:space="preserve">DIRECTION CENTRALE DE LA CHAINE TV LAAYOUNE </v>
          </cell>
          <cell r="I215" t="str">
            <v>RECONDUCTION</v>
          </cell>
          <cell r="K215">
            <v>1687503.9</v>
          </cell>
          <cell r="L215">
            <v>1687503.9</v>
          </cell>
          <cell r="M215" t="str">
            <v>Fonctionnement</v>
          </cell>
        </row>
        <row r="216">
          <cell r="A216">
            <v>2019</v>
          </cell>
          <cell r="C216" t="str">
            <v xml:space="preserve">DIRECTION CENTRALE DE LA CHAINE TV LAAYOUNE </v>
          </cell>
          <cell r="I216" t="str">
            <v>RECONDUCTION</v>
          </cell>
          <cell r="K216">
            <v>933296.1</v>
          </cell>
          <cell r="L216">
            <v>933296.1</v>
          </cell>
          <cell r="M216" t="str">
            <v>Fonctionnement</v>
          </cell>
        </row>
        <row r="217">
          <cell r="A217">
            <v>2019</v>
          </cell>
          <cell r="C217" t="str">
            <v xml:space="preserve">DIRECTION CENTRALE DE LA CHAINE TV LAAYOUNE </v>
          </cell>
          <cell r="I217" t="str">
            <v>RECONDUCTION</v>
          </cell>
          <cell r="K217">
            <v>1030959.9</v>
          </cell>
          <cell r="L217">
            <v>1030959.9</v>
          </cell>
          <cell r="M217" t="str">
            <v>Fonctionnement</v>
          </cell>
        </row>
        <row r="218">
          <cell r="A218">
            <v>2019</v>
          </cell>
          <cell r="C218" t="str">
            <v xml:space="preserve">DIRECTION CENTRALE DE LA CHAINE TV LAAYOUNE </v>
          </cell>
          <cell r="I218" t="str">
            <v>RECONDUCTION</v>
          </cell>
          <cell r="K218">
            <v>625408</v>
          </cell>
          <cell r="L218">
            <v>625408</v>
          </cell>
          <cell r="M218" t="str">
            <v>Fonctionnement</v>
          </cell>
        </row>
        <row r="219">
          <cell r="A219">
            <v>2019</v>
          </cell>
          <cell r="C219" t="str">
            <v xml:space="preserve">DIRECTION CENTRALE DE LA CHAINE TV LAAYOUNE </v>
          </cell>
          <cell r="I219" t="str">
            <v>RECONDUCTION</v>
          </cell>
          <cell r="K219">
            <v>2335872</v>
          </cell>
          <cell r="L219">
            <v>2335872</v>
          </cell>
          <cell r="M219" t="str">
            <v>Fonctionnement</v>
          </cell>
        </row>
        <row r="220">
          <cell r="A220">
            <v>2019</v>
          </cell>
          <cell r="C220" t="str">
            <v xml:space="preserve">DIRECTION CENTRALE DE LA CHAINE TV LAAYOUNE </v>
          </cell>
          <cell r="I220" t="str">
            <v>RECONDUCTION</v>
          </cell>
          <cell r="K220">
            <v>875616</v>
          </cell>
          <cell r="L220">
            <v>875616</v>
          </cell>
          <cell r="M220" t="str">
            <v>Fonctionnement</v>
          </cell>
        </row>
        <row r="221">
          <cell r="A221">
            <v>2019</v>
          </cell>
          <cell r="C221" t="str">
            <v xml:space="preserve">DIRECTION CENTRALE DE LA CHAINE TV LAAYOUNE </v>
          </cell>
          <cell r="I221" t="str">
            <v>RECONDUCTION</v>
          </cell>
          <cell r="K221">
            <v>1003520.1</v>
          </cell>
          <cell r="L221">
            <v>1003520.1</v>
          </cell>
          <cell r="M221" t="str">
            <v>Fonctionnement</v>
          </cell>
        </row>
        <row r="222">
          <cell r="A222">
            <v>2019</v>
          </cell>
          <cell r="C222" t="str">
            <v xml:space="preserve">DIRECTION CENTRALE DE LA CHAINE TV LAAYOUNE </v>
          </cell>
          <cell r="I222" t="str">
            <v>RECONDUCTION</v>
          </cell>
          <cell r="K222">
            <v>991872</v>
          </cell>
          <cell r="L222">
            <v>991872</v>
          </cell>
          <cell r="M222" t="str">
            <v>Fonctionnement</v>
          </cell>
        </row>
        <row r="223">
          <cell r="A223">
            <v>2019</v>
          </cell>
          <cell r="C223" t="str">
            <v xml:space="preserve">DIRECTION CENTRALE DE LA CHAINE TV LAAYOUNE </v>
          </cell>
          <cell r="I223" t="str">
            <v>RECONDUCTION</v>
          </cell>
          <cell r="K223">
            <v>857919.9</v>
          </cell>
          <cell r="L223">
            <v>857919.9</v>
          </cell>
          <cell r="M223" t="str">
            <v>Fonctionnement</v>
          </cell>
        </row>
        <row r="224">
          <cell r="A224">
            <v>2019</v>
          </cell>
          <cell r="C224" t="str">
            <v>DIRECTION CENTRALE DE LA CHAÎNE TAMAZIGHT</v>
          </cell>
          <cell r="I224" t="str">
            <v>RECONDUCTION</v>
          </cell>
          <cell r="K224">
            <v>2174000.62</v>
          </cell>
          <cell r="L224">
            <v>2608800.7439999999</v>
          </cell>
          <cell r="M224" t="str">
            <v>Fonctionnement</v>
          </cell>
        </row>
        <row r="225">
          <cell r="A225">
            <v>2019</v>
          </cell>
          <cell r="C225" t="str">
            <v>DIRECTION CENTRALE DE LA CHAÎNE TAMAZIGHT</v>
          </cell>
          <cell r="I225" t="str">
            <v>RECONDUCTION</v>
          </cell>
          <cell r="K225">
            <v>3289807.4</v>
          </cell>
          <cell r="L225">
            <v>3947768.88</v>
          </cell>
          <cell r="M225" t="str">
            <v>Fonctionnement</v>
          </cell>
        </row>
        <row r="226">
          <cell r="A226">
            <v>2019</v>
          </cell>
          <cell r="C226" t="str">
            <v>DIRECTION CENTRALE DE LA CHAÎNE TAMAZIGHT</v>
          </cell>
          <cell r="I226" t="str">
            <v>RECONDUCTION</v>
          </cell>
          <cell r="K226">
            <v>3701376</v>
          </cell>
          <cell r="L226">
            <v>4441651.2000000002</v>
          </cell>
          <cell r="M226" t="str">
            <v>Fonctionnement</v>
          </cell>
        </row>
        <row r="227">
          <cell r="A227">
            <v>2019</v>
          </cell>
          <cell r="C227" t="str">
            <v>DIRECTION CENTRALE DE LA CHAÎNE TAMAZIGHT</v>
          </cell>
          <cell r="I227" t="str">
            <v>RECONDUCTION</v>
          </cell>
          <cell r="K227">
            <v>1720364.8</v>
          </cell>
          <cell r="L227">
            <v>2064437.76</v>
          </cell>
          <cell r="M227" t="str">
            <v>Fonctionnement</v>
          </cell>
        </row>
        <row r="228">
          <cell r="A228">
            <v>2019</v>
          </cell>
          <cell r="C228" t="str">
            <v>DIRECTION CENTRALE DE LA CHAÎNE TAMAZIGHT</v>
          </cell>
          <cell r="I228" t="str">
            <v>RECONDUCTION</v>
          </cell>
          <cell r="K228">
            <v>4684792</v>
          </cell>
          <cell r="L228">
            <v>5621750.3999999994</v>
          </cell>
          <cell r="M228" t="str">
            <v>Fonctionnement</v>
          </cell>
        </row>
        <row r="229">
          <cell r="A229">
            <v>2019</v>
          </cell>
          <cell r="C229" t="str">
            <v>DIRECTION CENTRALE DE LA CHAÎNE TAMAZIGHT</v>
          </cell>
          <cell r="I229" t="str">
            <v>RECONDUCTION</v>
          </cell>
          <cell r="K229">
            <v>3757600</v>
          </cell>
          <cell r="L229">
            <v>4509120</v>
          </cell>
          <cell r="M229" t="str">
            <v>Fonctionnement</v>
          </cell>
        </row>
        <row r="230">
          <cell r="A230">
            <v>2019</v>
          </cell>
          <cell r="C230" t="str">
            <v>DIRECTION CENTRALE DE LA CHAÎNE TAMAZIGHT</v>
          </cell>
          <cell r="I230" t="str">
            <v>RECONDUCTION</v>
          </cell>
          <cell r="K230">
            <v>4702107.18</v>
          </cell>
          <cell r="L230">
            <v>5642528.6159999995</v>
          </cell>
          <cell r="M230" t="str">
            <v>Fonctionnement</v>
          </cell>
        </row>
        <row r="231">
          <cell r="A231">
            <v>2019</v>
          </cell>
          <cell r="C231" t="str">
            <v>DIRECTION CENTRALE DE LA CHAÎNE TAMAZIGHT</v>
          </cell>
          <cell r="I231" t="str">
            <v>RECONDUCTION</v>
          </cell>
          <cell r="K231">
            <v>2125984</v>
          </cell>
          <cell r="L231">
            <v>2551180.7999999998</v>
          </cell>
          <cell r="M231" t="str">
            <v>Fonctionnement</v>
          </cell>
        </row>
        <row r="232">
          <cell r="A232">
            <v>2019</v>
          </cell>
          <cell r="C232" t="str">
            <v>DIRECTION CENTRALE DE LA PRODUCTION ET DE L'ANTENNE</v>
          </cell>
          <cell r="I232" t="str">
            <v>AOO</v>
          </cell>
          <cell r="K232">
            <v>800000</v>
          </cell>
          <cell r="L232">
            <v>960000</v>
          </cell>
          <cell r="M232" t="str">
            <v>Fonctionnement</v>
          </cell>
        </row>
        <row r="233">
          <cell r="A233">
            <v>2019</v>
          </cell>
          <cell r="C233" t="str">
            <v>DIRECTION CENTRALE DE LA PRODUCTION ET DE L'ANTENNE</v>
          </cell>
          <cell r="I233" t="str">
            <v>AOO</v>
          </cell>
          <cell r="K233">
            <v>900000</v>
          </cell>
          <cell r="L233">
            <v>1080000</v>
          </cell>
          <cell r="M233" t="str">
            <v>Fonctionnement</v>
          </cell>
        </row>
        <row r="234">
          <cell r="A234">
            <v>2019</v>
          </cell>
          <cell r="C234" t="str">
            <v>DIRECTION CENTRALE DE LA PRODUCTION ET DE L'ANTENNE</v>
          </cell>
          <cell r="I234" t="str">
            <v>AOO</v>
          </cell>
          <cell r="K234">
            <v>830000</v>
          </cell>
          <cell r="L234">
            <v>996000</v>
          </cell>
          <cell r="M234" t="str">
            <v>Fonctionnement</v>
          </cell>
        </row>
        <row r="235">
          <cell r="A235">
            <v>2019</v>
          </cell>
          <cell r="C235" t="str">
            <v>DIRECTION CENTRALE DE LA PRODUCTION ET DE L'ANTENNE</v>
          </cell>
          <cell r="I235" t="str">
            <v>AOO</v>
          </cell>
          <cell r="K235">
            <v>950000</v>
          </cell>
          <cell r="L235">
            <v>1140000</v>
          </cell>
          <cell r="M235" t="str">
            <v>Fonctionnement</v>
          </cell>
        </row>
        <row r="236">
          <cell r="A236">
            <v>2019</v>
          </cell>
          <cell r="C236" t="str">
            <v>DIRECTION CENTRALE DE LA PRODUCTION ET DE L'ANTENNE</v>
          </cell>
          <cell r="I236" t="str">
            <v>AOO</v>
          </cell>
          <cell r="K236">
            <v>250000</v>
          </cell>
          <cell r="L236">
            <v>300000</v>
          </cell>
          <cell r="M236" t="str">
            <v>Fonctionnement</v>
          </cell>
        </row>
        <row r="237">
          <cell r="A237">
            <v>2019</v>
          </cell>
          <cell r="C237" t="str">
            <v>DIRECTION CENTRALE DE LA PRODUCTION ET DE L'ANTENNE</v>
          </cell>
          <cell r="I237" t="str">
            <v>AOO</v>
          </cell>
          <cell r="K237">
            <v>870000</v>
          </cell>
          <cell r="L237">
            <v>1044000</v>
          </cell>
          <cell r="M237" t="str">
            <v>Fonctionnement</v>
          </cell>
        </row>
        <row r="238">
          <cell r="A238">
            <v>2019</v>
          </cell>
          <cell r="C238" t="str">
            <v>DIRECTION CENTRALE DE LA PRODUCTION ET DE L'ANTENNE</v>
          </cell>
          <cell r="I238" t="str">
            <v>AOO</v>
          </cell>
          <cell r="K238">
            <v>950000</v>
          </cell>
          <cell r="L238">
            <v>1140000</v>
          </cell>
          <cell r="M238" t="str">
            <v>Fonctionnement</v>
          </cell>
        </row>
        <row r="239">
          <cell r="A239">
            <v>2019</v>
          </cell>
          <cell r="C239" t="str">
            <v>DIRECTION CENTRALE DE LA PRODUCTION ET DE L'ANTENNE</v>
          </cell>
          <cell r="I239" t="str">
            <v>AOO</v>
          </cell>
          <cell r="K239">
            <v>250000</v>
          </cell>
          <cell r="L239">
            <v>300000</v>
          </cell>
          <cell r="M239" t="str">
            <v>Fonctionnement</v>
          </cell>
        </row>
        <row r="240">
          <cell r="A240">
            <v>2019</v>
          </cell>
          <cell r="C240" t="str">
            <v>DIRECTION CENTRALE DE LA PRODUCTION ET DE L'ANTENNE</v>
          </cell>
          <cell r="I240" t="str">
            <v>AOO</v>
          </cell>
          <cell r="K240">
            <v>250000</v>
          </cell>
          <cell r="L240">
            <v>300000</v>
          </cell>
          <cell r="M240" t="str">
            <v>Fonctionnement</v>
          </cell>
        </row>
        <row r="241">
          <cell r="A241">
            <v>2019</v>
          </cell>
          <cell r="C241" t="str">
            <v>DIRECTION CENTRALE DE LA PRODUCTION ET DE L'ANTENNE</v>
          </cell>
          <cell r="I241" t="str">
            <v>AOO</v>
          </cell>
          <cell r="K241">
            <v>200000</v>
          </cell>
          <cell r="L241">
            <v>240000</v>
          </cell>
          <cell r="M241" t="str">
            <v>Fonctionnement</v>
          </cell>
        </row>
        <row r="242">
          <cell r="A242">
            <v>2019</v>
          </cell>
          <cell r="C242" t="str">
            <v>DIRECTION CENTRALE DE LA PRODUCTION ET DE L'ANTENNE</v>
          </cell>
          <cell r="I242" t="str">
            <v>AOO</v>
          </cell>
          <cell r="K242">
            <v>1561817.7</v>
          </cell>
          <cell r="L242">
            <v>1874181.24</v>
          </cell>
          <cell r="M242" t="str">
            <v>Fonctionnement</v>
          </cell>
        </row>
        <row r="243">
          <cell r="A243">
            <v>2019</v>
          </cell>
          <cell r="C243" t="str">
            <v>DIRECTION CENTRALE DE LA CHAÎNE TAMAZIGHT</v>
          </cell>
          <cell r="I243" t="str">
            <v>AOO</v>
          </cell>
          <cell r="K243">
            <v>1139991.9000000001</v>
          </cell>
          <cell r="L243">
            <v>1367990.28</v>
          </cell>
          <cell r="M243" t="str">
            <v>Fonctionnement</v>
          </cell>
        </row>
        <row r="244">
          <cell r="A244">
            <v>2019</v>
          </cell>
          <cell r="C244" t="str">
            <v>DIRECTION CENTRALE DE LA PRODUCTION ET DE L'ANTENNE</v>
          </cell>
          <cell r="I244" t="str">
            <v>AOO</v>
          </cell>
          <cell r="K244">
            <v>907020.9</v>
          </cell>
          <cell r="L244">
            <v>1088425.08</v>
          </cell>
          <cell r="M244" t="str">
            <v>Fonctionnement</v>
          </cell>
        </row>
        <row r="245">
          <cell r="A245">
            <v>2019</v>
          </cell>
          <cell r="C245" t="str">
            <v>DIRECTION CENTRALE DE LA PRODUCTION ET DE L'ANTENNE</v>
          </cell>
          <cell r="I245" t="str">
            <v>AOO</v>
          </cell>
          <cell r="K245">
            <v>2097088</v>
          </cell>
          <cell r="L245">
            <v>2516505.6000000001</v>
          </cell>
          <cell r="M245" t="str">
            <v>Fonctionnement</v>
          </cell>
        </row>
        <row r="246">
          <cell r="A246">
            <v>2019</v>
          </cell>
          <cell r="C246" t="str">
            <v>DIRECTION CENTRALE DE LA PRODUCTION ET DE L'ANTENNE</v>
          </cell>
          <cell r="I246" t="str">
            <v>AOO</v>
          </cell>
          <cell r="K246">
            <v>8043728.0999999996</v>
          </cell>
          <cell r="L246">
            <v>9652473.7200000007</v>
          </cell>
          <cell r="M246" t="str">
            <v>Fonctionnement</v>
          </cell>
        </row>
        <row r="247">
          <cell r="A247">
            <v>2019</v>
          </cell>
          <cell r="C247" t="str">
            <v>DIRECTION CENTRALE DE LA PRODUCTION ET DE L'ANTENNE</v>
          </cell>
          <cell r="I247" t="str">
            <v>AOO</v>
          </cell>
          <cell r="K247">
            <v>4602864</v>
          </cell>
          <cell r="L247">
            <v>5523436.7999999998</v>
          </cell>
          <cell r="M247" t="str">
            <v>Fonctionnement</v>
          </cell>
        </row>
        <row r="248">
          <cell r="A248">
            <v>2019</v>
          </cell>
          <cell r="C248" t="str">
            <v>DIRECTION CENTRALE DE LA PRODUCTION ET DE L'ANTENNE</v>
          </cell>
          <cell r="I248" t="str">
            <v>AOO</v>
          </cell>
          <cell r="K248">
            <v>5071359.92</v>
          </cell>
          <cell r="L248">
            <v>6085631.9000000004</v>
          </cell>
          <cell r="M248" t="str">
            <v>Fonctionnement</v>
          </cell>
        </row>
        <row r="249">
          <cell r="A249">
            <v>2019</v>
          </cell>
          <cell r="C249" t="str">
            <v>DIRECTION CENTRALE DE LA PRODUCTION ET DE L'ANTENNE</v>
          </cell>
          <cell r="I249" t="str">
            <v>AOO</v>
          </cell>
          <cell r="K249">
            <v>4124288</v>
          </cell>
          <cell r="L249">
            <v>4124288</v>
          </cell>
          <cell r="M249" t="str">
            <v>Fonctionnement</v>
          </cell>
        </row>
        <row r="250">
          <cell r="A250">
            <v>2019</v>
          </cell>
          <cell r="C250" t="str">
            <v>DIRECTION CENTRALE DE LA PRODUCTION ET DE L'ANTENNE</v>
          </cell>
          <cell r="I250" t="str">
            <v>AOO</v>
          </cell>
          <cell r="K250">
            <v>2950572.84</v>
          </cell>
          <cell r="L250">
            <v>3540687.41</v>
          </cell>
          <cell r="M250" t="str">
            <v>Fonctionnement</v>
          </cell>
        </row>
        <row r="251">
          <cell r="A251">
            <v>2019</v>
          </cell>
          <cell r="C251" t="str">
            <v>DIRECTION CENTRALE DE LA PRODUCTION ET DE L'ANTENNE</v>
          </cell>
          <cell r="I251" t="str">
            <v>AOO</v>
          </cell>
          <cell r="K251">
            <v>4163040</v>
          </cell>
          <cell r="L251">
            <v>4995648</v>
          </cell>
          <cell r="M251" t="str">
            <v>Fonctionnement</v>
          </cell>
        </row>
        <row r="252">
          <cell r="A252">
            <v>2019</v>
          </cell>
          <cell r="C252" t="str">
            <v>DIRECTION CENTRALE DE LA PRODUCTION ET DE L'ANTENNE</v>
          </cell>
          <cell r="I252" t="str">
            <v>AOO</v>
          </cell>
          <cell r="K252">
            <v>4144896</v>
          </cell>
          <cell r="L252">
            <v>4144896</v>
          </cell>
          <cell r="M252" t="str">
            <v>Fonctionnement</v>
          </cell>
        </row>
        <row r="253">
          <cell r="A253">
            <v>2019</v>
          </cell>
          <cell r="C253" t="str">
            <v>DIRECTION CENTRALE DE LA PRODUCTION ET DE L'ANTENNE</v>
          </cell>
          <cell r="I253" t="str">
            <v>AOO</v>
          </cell>
          <cell r="K253">
            <v>4125766.4</v>
          </cell>
          <cell r="L253">
            <v>4125766.4</v>
          </cell>
          <cell r="M253" t="str">
            <v>Fonctionnement</v>
          </cell>
        </row>
        <row r="254">
          <cell r="A254">
            <v>2019</v>
          </cell>
          <cell r="C254" t="str">
            <v>DIRECTION CENTRALE DE LA PRODUCTION ET DE L'ANTENNE</v>
          </cell>
          <cell r="I254" t="str">
            <v>RECONDUCTION</v>
          </cell>
          <cell r="K254">
            <v>6183900.7999999998</v>
          </cell>
          <cell r="L254">
            <v>7420680.96</v>
          </cell>
          <cell r="M254" t="str">
            <v>Fonctionnement</v>
          </cell>
        </row>
        <row r="255">
          <cell r="A255">
            <v>2019</v>
          </cell>
          <cell r="C255" t="str">
            <v>DIRECTION CENTRALE DE LA PRODUCTION ET DE L'ANTENNE</v>
          </cell>
          <cell r="I255" t="str">
            <v>RECONDUCTION</v>
          </cell>
          <cell r="K255">
            <v>3901912</v>
          </cell>
          <cell r="L255">
            <v>4682294.41</v>
          </cell>
          <cell r="M255" t="str">
            <v>Fonctionnement</v>
          </cell>
        </row>
        <row r="256">
          <cell r="A256">
            <v>2019</v>
          </cell>
          <cell r="C256" t="str">
            <v>DIRECTION CENTRALE DE LA PRODUCTION ET DE L'ANTENNE</v>
          </cell>
          <cell r="I256" t="str">
            <v>RECONDUCTION</v>
          </cell>
          <cell r="K256">
            <v>10504285.02</v>
          </cell>
          <cell r="L256">
            <v>12605142.02</v>
          </cell>
          <cell r="M256" t="str">
            <v>Fonctionnement</v>
          </cell>
        </row>
        <row r="257">
          <cell r="A257">
            <v>2019</v>
          </cell>
          <cell r="C257" t="str">
            <v>DIRECTION CENTRALE DE LA PRODUCTION ET DE L'ANTENNE</v>
          </cell>
          <cell r="I257" t="str">
            <v>RECONDUCTION</v>
          </cell>
          <cell r="K257">
            <v>3581536</v>
          </cell>
          <cell r="L257">
            <v>3581536</v>
          </cell>
          <cell r="M257" t="str">
            <v>Fonctionnement</v>
          </cell>
        </row>
        <row r="258">
          <cell r="A258">
            <v>2020</v>
          </cell>
          <cell r="C258" t="str">
            <v>DIRECTION CENTRALE DE LA PRODUCTION ET DE L'ANTENNE</v>
          </cell>
          <cell r="I258" t="str">
            <v>AOO</v>
          </cell>
          <cell r="K258">
            <v>1005468.8</v>
          </cell>
          <cell r="L258">
            <v>1206562.56</v>
          </cell>
          <cell r="M258" t="str">
            <v>Fonctionnement</v>
          </cell>
        </row>
        <row r="259">
          <cell r="A259">
            <v>2020</v>
          </cell>
          <cell r="C259" t="str">
            <v>DIRECTION CENTRALE DE LA PRODUCTION ET DE L'ANTENNE</v>
          </cell>
          <cell r="I259" t="str">
            <v>AOO</v>
          </cell>
          <cell r="K259">
            <v>1004203.2</v>
          </cell>
          <cell r="L259">
            <v>1205043.8400000001</v>
          </cell>
          <cell r="M259" t="str">
            <v>Fonctionnement</v>
          </cell>
        </row>
        <row r="260">
          <cell r="A260">
            <v>2020</v>
          </cell>
          <cell r="C260" t="str">
            <v>DIRECTION CENTRALE DE LA PRODUCTION ET DE L'ANTENNE</v>
          </cell>
          <cell r="I260" t="str">
            <v>AOO</v>
          </cell>
          <cell r="K260">
            <v>1003710.4</v>
          </cell>
          <cell r="L260">
            <v>1204452.48</v>
          </cell>
          <cell r="M260" t="str">
            <v>Fonctionnement</v>
          </cell>
        </row>
        <row r="261">
          <cell r="A261">
            <v>2020</v>
          </cell>
          <cell r="C261" t="str">
            <v>DIRECTION CENTRALE DE LA PRODUCTION ET DE L'ANTENNE</v>
          </cell>
          <cell r="I261" t="str">
            <v>AOO</v>
          </cell>
          <cell r="K261">
            <v>1009232</v>
          </cell>
          <cell r="L261">
            <v>1211078.3999999999</v>
          </cell>
          <cell r="M261" t="str">
            <v>Fonctionnement</v>
          </cell>
        </row>
        <row r="262">
          <cell r="A262">
            <v>2020</v>
          </cell>
          <cell r="C262" t="str">
            <v>DIRECTION CENTRALE DE LA PRODUCTION ET DE L'ANTENNE</v>
          </cell>
          <cell r="I262" t="str">
            <v>AOO</v>
          </cell>
          <cell r="K262">
            <v>1031374.4</v>
          </cell>
          <cell r="L262">
            <v>1237649.28</v>
          </cell>
          <cell r="M262" t="str">
            <v>Fonctionnement</v>
          </cell>
        </row>
        <row r="263">
          <cell r="A263">
            <v>2020</v>
          </cell>
          <cell r="C263" t="str">
            <v>DIRECTION CENTRALE DE LA PRODUCTION ET DE L'ANTENNE</v>
          </cell>
          <cell r="I263" t="str">
            <v>AOO</v>
          </cell>
          <cell r="K263">
            <v>1005110.4</v>
          </cell>
          <cell r="L263">
            <v>1206132.48</v>
          </cell>
          <cell r="M263" t="str">
            <v>Fonctionnement</v>
          </cell>
        </row>
        <row r="264">
          <cell r="A264">
            <v>2020</v>
          </cell>
          <cell r="C264" t="str">
            <v>DIRECTION CENTRALE DE LA PRODUCTION ET DE L'ANTENNE</v>
          </cell>
          <cell r="I264" t="str">
            <v>AOO</v>
          </cell>
          <cell r="K264">
            <v>4120816</v>
          </cell>
          <cell r="L264">
            <v>4944979.2</v>
          </cell>
          <cell r="M264" t="str">
            <v>Fonctionnement</v>
          </cell>
        </row>
        <row r="265">
          <cell r="A265">
            <v>2020</v>
          </cell>
          <cell r="C265" t="str">
            <v>DIRECTION CENTRALE DE LA PRODUCTION ET DE L'ANTENNE</v>
          </cell>
          <cell r="I265" t="str">
            <v>AOO</v>
          </cell>
          <cell r="K265">
            <v>910750.4</v>
          </cell>
          <cell r="L265">
            <v>1092900.48</v>
          </cell>
          <cell r="M265" t="str">
            <v>Fonctionnement</v>
          </cell>
        </row>
        <row r="266">
          <cell r="A266">
            <v>2020</v>
          </cell>
          <cell r="C266" t="str">
            <v>DIRECTION CENTRALE DE LA PRODUCTION ET DE L'ANTENNE</v>
          </cell>
          <cell r="I266" t="str">
            <v>AOO</v>
          </cell>
          <cell r="K266">
            <v>9134160</v>
          </cell>
          <cell r="L266">
            <v>10960992</v>
          </cell>
          <cell r="M266" t="str">
            <v>Fonctionnement</v>
          </cell>
        </row>
        <row r="267">
          <cell r="A267">
            <v>2020</v>
          </cell>
          <cell r="C267" t="str">
            <v>DIRECTION CENTRALE DE LA PRODUCTION ET DE L'ANTENNE</v>
          </cell>
          <cell r="I267" t="str">
            <v>AOO</v>
          </cell>
          <cell r="K267">
            <v>9256441.5999999996</v>
          </cell>
          <cell r="L267">
            <v>11107729.92</v>
          </cell>
          <cell r="M267" t="str">
            <v>Fonctionnement</v>
          </cell>
        </row>
        <row r="268">
          <cell r="A268">
            <v>2020</v>
          </cell>
          <cell r="C268" t="str">
            <v>DIRECTION CENTRALE DE LA PRODUCTION ET DE L'ANTENNE</v>
          </cell>
          <cell r="I268" t="str">
            <v>AOO</v>
          </cell>
          <cell r="K268">
            <v>8917081.5999999996</v>
          </cell>
          <cell r="L268">
            <v>10700497.92</v>
          </cell>
          <cell r="M268" t="str">
            <v>Fonctionnement</v>
          </cell>
        </row>
        <row r="269">
          <cell r="A269">
            <v>2020</v>
          </cell>
          <cell r="C269" t="str">
            <v>DIRECTION CENTRALE DE LA PRODUCTION ET DE L'ANTENNE</v>
          </cell>
          <cell r="I269" t="str">
            <v>AOO</v>
          </cell>
          <cell r="K269">
            <v>1035350.4</v>
          </cell>
          <cell r="L269">
            <v>1242420.48</v>
          </cell>
          <cell r="M269" t="str">
            <v>Fonctionnement</v>
          </cell>
        </row>
        <row r="270">
          <cell r="A270">
            <v>2020</v>
          </cell>
          <cell r="C270" t="str">
            <v>DIRECTION CENTRALE DE LA CHAÎNE TAMAZIGHT</v>
          </cell>
          <cell r="I270" t="str">
            <v>AOO</v>
          </cell>
          <cell r="K270">
            <v>1004528</v>
          </cell>
          <cell r="L270">
            <v>1205433.6000000001</v>
          </cell>
          <cell r="M270" t="str">
            <v>Fonctionnement</v>
          </cell>
        </row>
        <row r="271">
          <cell r="A271">
            <v>2020</v>
          </cell>
          <cell r="C271" t="str">
            <v>DIRECTION CENTRALE DE LA CHAÎNE TAMAZIGHT</v>
          </cell>
          <cell r="I271" t="str">
            <v>AOO</v>
          </cell>
          <cell r="K271">
            <v>994056</v>
          </cell>
          <cell r="L271">
            <v>1192867.2</v>
          </cell>
          <cell r="M271" t="str">
            <v>Fonctionnement</v>
          </cell>
        </row>
        <row r="272">
          <cell r="A272">
            <v>2020</v>
          </cell>
          <cell r="C272" t="str">
            <v>DIRECTION CENTRALE DE LA CHAÎNE TAMAZIGHT</v>
          </cell>
          <cell r="I272" t="str">
            <v>AOO</v>
          </cell>
          <cell r="K272">
            <v>2354799.9</v>
          </cell>
          <cell r="L272">
            <v>2825759.88</v>
          </cell>
          <cell r="M272" t="str">
            <v>Fonctionnement</v>
          </cell>
        </row>
        <row r="273">
          <cell r="A273">
            <v>2020</v>
          </cell>
          <cell r="C273" t="str">
            <v>DIRECTION CENTRALE DE LA CHAÎNE TAMAZIGHT</v>
          </cell>
          <cell r="I273" t="str">
            <v>AOO</v>
          </cell>
          <cell r="K273">
            <v>3486000</v>
          </cell>
          <cell r="L273">
            <v>4183200</v>
          </cell>
          <cell r="M273" t="str">
            <v>Fonctionnement</v>
          </cell>
        </row>
        <row r="274">
          <cell r="A274">
            <v>2020</v>
          </cell>
          <cell r="C274" t="str">
            <v>DIRECTION CENTRALE DE LA CHAÎNE TAMAZIGHT</v>
          </cell>
          <cell r="I274" t="str">
            <v>AOO</v>
          </cell>
          <cell r="K274">
            <v>1138659.3</v>
          </cell>
          <cell r="L274">
            <v>1366391.16</v>
          </cell>
          <cell r="M274" t="str">
            <v>Fonctionnement</v>
          </cell>
        </row>
        <row r="275">
          <cell r="A275">
            <v>2020</v>
          </cell>
          <cell r="C275" t="str">
            <v>DIRECTION CENTRALE DE LA CHAÎNE TAMAZIGHT</v>
          </cell>
          <cell r="I275" t="str">
            <v>AOO</v>
          </cell>
          <cell r="K275">
            <v>1365705.6</v>
          </cell>
          <cell r="L275">
            <v>1638846.72</v>
          </cell>
          <cell r="M275" t="str">
            <v>Fonctionnement</v>
          </cell>
        </row>
        <row r="276">
          <cell r="A276">
            <v>2020</v>
          </cell>
          <cell r="C276" t="str">
            <v>DIRECTION CENTRALE DE LA CHAÎNE TAMAZIGHT</v>
          </cell>
          <cell r="I276" t="str">
            <v>AOO</v>
          </cell>
          <cell r="K276">
            <v>740655.9</v>
          </cell>
          <cell r="L276">
            <v>888787.08</v>
          </cell>
          <cell r="M276" t="str">
            <v>Fonctionnement</v>
          </cell>
        </row>
        <row r="277">
          <cell r="A277">
            <v>2020</v>
          </cell>
          <cell r="C277" t="str">
            <v>DIRECTION CENTRALE DE LA CHAÎNE TAMAZIGHT</v>
          </cell>
          <cell r="I277" t="str">
            <v>AOO</v>
          </cell>
          <cell r="K277">
            <v>580272</v>
          </cell>
          <cell r="L277">
            <v>696326.4</v>
          </cell>
          <cell r="M277" t="str">
            <v>Fonctionnement</v>
          </cell>
        </row>
        <row r="278">
          <cell r="A278">
            <v>2020</v>
          </cell>
          <cell r="C278" t="str">
            <v>DIRECTION CENTRALE DE LA CHAÎNE TAMAZIGHT</v>
          </cell>
          <cell r="I278" t="str">
            <v>AOO</v>
          </cell>
          <cell r="K278">
            <v>995848</v>
          </cell>
          <cell r="L278">
            <v>1195017.6000000001</v>
          </cell>
          <cell r="M278" t="str">
            <v>Fonctionnement</v>
          </cell>
        </row>
        <row r="279">
          <cell r="A279">
            <v>2020</v>
          </cell>
          <cell r="C279" t="str">
            <v>DIRECTION CENTRALE DE LA CHAÎNE TAMAZIGHT</v>
          </cell>
          <cell r="I279" t="str">
            <v>AOO</v>
          </cell>
          <cell r="K279">
            <v>1183660.8</v>
          </cell>
          <cell r="L279">
            <v>1420392.96</v>
          </cell>
          <cell r="M279" t="str">
            <v>Fonctionnement</v>
          </cell>
        </row>
        <row r="280">
          <cell r="A280">
            <v>2020</v>
          </cell>
          <cell r="C280" t="str">
            <v>DIRECTION CENTRALE DE LA CHAÎNE TAMAZIGHT</v>
          </cell>
          <cell r="I280" t="str">
            <v>AOO</v>
          </cell>
          <cell r="K280">
            <v>1397681.6</v>
          </cell>
          <cell r="L280">
            <v>1677217.92</v>
          </cell>
          <cell r="M280" t="str">
            <v>Fonctionnement</v>
          </cell>
        </row>
        <row r="281">
          <cell r="A281">
            <v>2020</v>
          </cell>
          <cell r="C281" t="str">
            <v>DIRECTION CENTRALE DE LA CHAÎNE TAMAZIGHT</v>
          </cell>
          <cell r="I281" t="str">
            <v>AOO</v>
          </cell>
          <cell r="K281">
            <v>1336832.1000000001</v>
          </cell>
          <cell r="L281">
            <v>1604198.52</v>
          </cell>
          <cell r="M281" t="str">
            <v>Fonctionnement</v>
          </cell>
        </row>
        <row r="282">
          <cell r="A282">
            <v>2020</v>
          </cell>
          <cell r="C282" t="str">
            <v>DIRECTION CENTRALE DE LA CHAÎNE TAMAZIGHT</v>
          </cell>
          <cell r="I282" t="str">
            <v>AOO</v>
          </cell>
          <cell r="K282">
            <v>7789263.9000000004</v>
          </cell>
          <cell r="L282">
            <v>9347116.6799999997</v>
          </cell>
          <cell r="M282" t="str">
            <v>Fonctionnement</v>
          </cell>
        </row>
        <row r="283">
          <cell r="A283">
            <v>2020</v>
          </cell>
          <cell r="C283" t="str">
            <v>DIRECTION CENTRALE DE LA CHAÎNE TAMAZIGHT</v>
          </cell>
          <cell r="I283" t="str">
            <v>AOO</v>
          </cell>
          <cell r="K283">
            <v>7539056.0999999996</v>
          </cell>
          <cell r="L283">
            <v>9046867.3200000003</v>
          </cell>
          <cell r="M283" t="str">
            <v>Fonctionnement</v>
          </cell>
        </row>
        <row r="284">
          <cell r="A284">
            <v>2020</v>
          </cell>
          <cell r="C284" t="str">
            <v>DIRECTION CENTRALE DE LA CHAÎNE TAMAZIGHT</v>
          </cell>
          <cell r="I284" t="str">
            <v>AOO</v>
          </cell>
          <cell r="K284">
            <v>1225907.1000000001</v>
          </cell>
          <cell r="L284">
            <v>1471088.52</v>
          </cell>
          <cell r="M284" t="str">
            <v>Fonctionnement</v>
          </cell>
        </row>
        <row r="285">
          <cell r="A285">
            <v>2020</v>
          </cell>
          <cell r="C285" t="str">
            <v>DIRECTION CENTRALE DE LA CHAÎNE TAMAZIGHT</v>
          </cell>
          <cell r="I285" t="str">
            <v>AOO</v>
          </cell>
          <cell r="K285">
            <v>1186169.6000000001</v>
          </cell>
          <cell r="L285">
            <v>1186169.6000000001</v>
          </cell>
          <cell r="M285" t="str">
            <v>Fonctionnement</v>
          </cell>
        </row>
        <row r="286">
          <cell r="A286">
            <v>2020</v>
          </cell>
          <cell r="C286" t="str">
            <v>DIRECTION CENTRALE DE LA CHAÎNE TAMAZIGHT</v>
          </cell>
          <cell r="I286" t="str">
            <v>AOO</v>
          </cell>
          <cell r="K286">
            <v>607376.1</v>
          </cell>
          <cell r="L286">
            <v>607376.1</v>
          </cell>
          <cell r="M286" t="str">
            <v>Fonctionnement</v>
          </cell>
        </row>
        <row r="287">
          <cell r="A287">
            <v>2020</v>
          </cell>
          <cell r="C287" t="str">
            <v>DIRECTION CENTRALE DE LA CHAÎNE TAMAZIGHT</v>
          </cell>
          <cell r="I287" t="str">
            <v>AOO</v>
          </cell>
          <cell r="K287">
            <v>1371081.6</v>
          </cell>
          <cell r="L287">
            <v>1645297.92</v>
          </cell>
          <cell r="M287" t="str">
            <v>Fonctionnement</v>
          </cell>
        </row>
        <row r="288">
          <cell r="A288">
            <v>2020</v>
          </cell>
          <cell r="C288" t="str">
            <v>DIRECTION CENTRALE DE LA CHAÎNE TAMAZIGHT</v>
          </cell>
          <cell r="I288" t="str">
            <v>AOO</v>
          </cell>
          <cell r="K288">
            <v>7565364.9000000004</v>
          </cell>
          <cell r="L288">
            <v>9078437.8800000008</v>
          </cell>
          <cell r="M288" t="str">
            <v>Fonctionnement</v>
          </cell>
        </row>
        <row r="289">
          <cell r="A289">
            <v>2020</v>
          </cell>
          <cell r="C289" t="str">
            <v>DIRECTION CENTRALE DE LA CHAÎNE TAMAZIGHT</v>
          </cell>
          <cell r="I289" t="str">
            <v>AOO</v>
          </cell>
          <cell r="K289">
            <v>1137113.7</v>
          </cell>
          <cell r="L289">
            <v>1364536.44</v>
          </cell>
          <cell r="M289" t="str">
            <v>Fonctionnement</v>
          </cell>
        </row>
        <row r="290">
          <cell r="A290">
            <v>2020</v>
          </cell>
          <cell r="C290" t="str">
            <v>DIRECTION CENTRALE DE LA CHAÎNE TAMAZIGHT</v>
          </cell>
          <cell r="I290" t="str">
            <v>AOO</v>
          </cell>
          <cell r="K290">
            <v>1029067.2</v>
          </cell>
          <cell r="L290">
            <v>1234880.6399999999</v>
          </cell>
          <cell r="M290" t="str">
            <v>Fonctionnement</v>
          </cell>
        </row>
        <row r="291">
          <cell r="A291">
            <v>2020</v>
          </cell>
          <cell r="C291" t="str">
            <v>DIRECTION CENTRALE DE LA CHAÎNE TAMAZIGHT</v>
          </cell>
          <cell r="I291" t="str">
            <v>AOO</v>
          </cell>
          <cell r="K291">
            <v>1023680</v>
          </cell>
          <cell r="L291">
            <v>1228416</v>
          </cell>
          <cell r="M291" t="str">
            <v>Fonctionnement</v>
          </cell>
        </row>
        <row r="292">
          <cell r="A292">
            <v>2020</v>
          </cell>
          <cell r="C292" t="str">
            <v>DIRECTION CENTRALE DE LA CHAÎNE TAMAZIGHT</v>
          </cell>
          <cell r="I292" t="str">
            <v>AOO</v>
          </cell>
          <cell r="K292">
            <v>1000473.6</v>
          </cell>
          <cell r="L292">
            <v>1200568.3200000001</v>
          </cell>
          <cell r="M292" t="str">
            <v>Fonctionnement</v>
          </cell>
        </row>
        <row r="293">
          <cell r="A293">
            <v>2020</v>
          </cell>
          <cell r="C293" t="str">
            <v>DIRECTION CENTRALE DE LA CHAÎNE TAMAZIGHT</v>
          </cell>
          <cell r="I293" t="str">
            <v>AOO</v>
          </cell>
          <cell r="K293">
            <v>1033625.6</v>
          </cell>
          <cell r="L293">
            <v>1033625.6</v>
          </cell>
          <cell r="M293" t="str">
            <v>Fonctionnement</v>
          </cell>
        </row>
        <row r="294">
          <cell r="A294">
            <v>2020</v>
          </cell>
          <cell r="C294" t="str">
            <v xml:space="preserve">DIRECTION CENTRALE DE LA CHAINE TV LAAYOUNE </v>
          </cell>
          <cell r="I294" t="str">
            <v>AOO</v>
          </cell>
          <cell r="K294">
            <v>3387260.7</v>
          </cell>
          <cell r="L294">
            <v>3387260.7</v>
          </cell>
          <cell r="M294" t="str">
            <v>Fonctionnement</v>
          </cell>
        </row>
        <row r="295">
          <cell r="A295">
            <v>2020</v>
          </cell>
          <cell r="C295" t="str">
            <v xml:space="preserve">DIRECTION CENTRALE DE LA CHAINE TV LAAYOUNE </v>
          </cell>
          <cell r="I295" t="str">
            <v>AOO</v>
          </cell>
          <cell r="K295">
            <v>491736</v>
          </cell>
          <cell r="L295">
            <v>491736</v>
          </cell>
          <cell r="M295" t="str">
            <v>Fonctionnement</v>
          </cell>
        </row>
        <row r="296">
          <cell r="A296">
            <v>2020</v>
          </cell>
          <cell r="C296" t="str">
            <v>DIRECTION CENTRALE DE LA PRODUCTION ET DE L'ANTENNE</v>
          </cell>
          <cell r="I296" t="str">
            <v>AOO</v>
          </cell>
          <cell r="K296">
            <v>8116696</v>
          </cell>
          <cell r="L296">
            <v>9740035.1999999993</v>
          </cell>
          <cell r="M296" t="str">
            <v>Fonctionnement</v>
          </cell>
        </row>
        <row r="297">
          <cell r="A297">
            <v>2020</v>
          </cell>
          <cell r="C297" t="str">
            <v>DIRECTION CENTRALE DE LA PRODUCTION ET DE L'ANTENNE</v>
          </cell>
          <cell r="I297" t="str">
            <v>AOO</v>
          </cell>
          <cell r="K297">
            <v>1498022.4</v>
          </cell>
          <cell r="L297">
            <v>1797626.8799999999</v>
          </cell>
          <cell r="M297" t="str">
            <v>Fonctionnement</v>
          </cell>
        </row>
        <row r="298">
          <cell r="A298">
            <v>2020</v>
          </cell>
          <cell r="C298" t="str">
            <v>DIRECTION CENTRALE DE LA PRODUCTION ET DE L'ANTENNE</v>
          </cell>
          <cell r="I298" t="str">
            <v>AOO</v>
          </cell>
          <cell r="K298">
            <v>3907232</v>
          </cell>
          <cell r="L298">
            <v>3907232</v>
          </cell>
          <cell r="M298" t="str">
            <v>Fonctionnement</v>
          </cell>
        </row>
        <row r="299">
          <cell r="A299">
            <v>2020</v>
          </cell>
          <cell r="C299" t="str">
            <v>DIRECTION CENTRALE DE LA PRODUCTION ET DE L'ANTENNE</v>
          </cell>
          <cell r="I299" t="str">
            <v>AOO</v>
          </cell>
          <cell r="K299">
            <v>4182360</v>
          </cell>
          <cell r="L299">
            <v>4182360</v>
          </cell>
          <cell r="M299" t="str">
            <v>Fonctionnement</v>
          </cell>
        </row>
        <row r="300">
          <cell r="A300">
            <v>2020</v>
          </cell>
          <cell r="C300" t="str">
            <v>DIRECTION CENTRALE DE LA PRODUCTION ET DE L'ANTENNE</v>
          </cell>
          <cell r="I300" t="str">
            <v>AOO</v>
          </cell>
          <cell r="K300">
            <v>1499478.4</v>
          </cell>
          <cell r="L300">
            <v>1799374.08</v>
          </cell>
          <cell r="M300" t="str">
            <v>Fonctionnement</v>
          </cell>
        </row>
        <row r="301">
          <cell r="A301">
            <v>2020</v>
          </cell>
          <cell r="C301" t="str">
            <v>DIRECTION CENTRALE DE LA PRODUCTION ET DE L'ANTENNE</v>
          </cell>
          <cell r="I301" t="str">
            <v>AOO</v>
          </cell>
          <cell r="K301">
            <v>1335241.6000000001</v>
          </cell>
          <cell r="L301">
            <v>1602289.92</v>
          </cell>
          <cell r="M301" t="str">
            <v>Fonctionnement</v>
          </cell>
        </row>
        <row r="302">
          <cell r="A302">
            <v>2020</v>
          </cell>
          <cell r="C302" t="str">
            <v>DIRECTION CENTRALE DE LA PRODUCTION ET DE L'ANTENNE</v>
          </cell>
          <cell r="I302" t="str">
            <v>AOO</v>
          </cell>
          <cell r="K302">
            <v>3613232.1</v>
          </cell>
          <cell r="L302">
            <v>4335878.5199999996</v>
          </cell>
          <cell r="M302" t="str">
            <v>Fonctionnement</v>
          </cell>
        </row>
        <row r="303">
          <cell r="A303">
            <v>2020</v>
          </cell>
          <cell r="C303" t="str">
            <v>DIRECTION CENTRALE DE LA PRODUCTION ET DE L'ANTENNE</v>
          </cell>
          <cell r="I303" t="str">
            <v>AOO</v>
          </cell>
          <cell r="K303">
            <v>11160128.1</v>
          </cell>
          <cell r="L303">
            <v>13392153.720000001</v>
          </cell>
          <cell r="M303" t="str">
            <v>Fonctionnement</v>
          </cell>
        </row>
        <row r="304">
          <cell r="A304">
            <v>2020</v>
          </cell>
          <cell r="C304" t="str">
            <v xml:space="preserve">DIRECTION CENTRALE DE LA CHAINE TV LAAYOUNE </v>
          </cell>
          <cell r="I304" t="str">
            <v>RECONDUCTION</v>
          </cell>
          <cell r="K304">
            <v>817935.9</v>
          </cell>
          <cell r="L304">
            <v>817935.9</v>
          </cell>
          <cell r="M304" t="str">
            <v>Fonctionnement</v>
          </cell>
        </row>
        <row r="305">
          <cell r="A305">
            <v>2020</v>
          </cell>
          <cell r="C305" t="str">
            <v xml:space="preserve">DIRECTION CENTRALE DE LA CHAINE TV LAAYOUNE </v>
          </cell>
          <cell r="I305" t="str">
            <v>RECONDUCTION</v>
          </cell>
          <cell r="K305">
            <v>882000</v>
          </cell>
          <cell r="L305">
            <v>882000</v>
          </cell>
          <cell r="M305" t="str">
            <v>Fonctionnement</v>
          </cell>
        </row>
        <row r="306">
          <cell r="A306">
            <v>2020</v>
          </cell>
          <cell r="C306" t="str">
            <v xml:space="preserve">DIRECTION CENTRALE DE LA CHAINE TV LAAYOUNE </v>
          </cell>
          <cell r="I306" t="str">
            <v>RECONDUCTION</v>
          </cell>
          <cell r="K306">
            <v>625408</v>
          </cell>
          <cell r="L306">
            <v>625408</v>
          </cell>
          <cell r="M306" t="str">
            <v>Fonctionnement</v>
          </cell>
        </row>
        <row r="307">
          <cell r="A307">
            <v>2020</v>
          </cell>
          <cell r="C307" t="str">
            <v xml:space="preserve">DIRECTION CENTRALE DE LA CHAINE TV LAAYOUNE </v>
          </cell>
          <cell r="I307" t="str">
            <v>RECONDUCTION</v>
          </cell>
          <cell r="K307">
            <v>875616</v>
          </cell>
          <cell r="L307">
            <v>875616</v>
          </cell>
          <cell r="M307" t="str">
            <v>Fonctionnement</v>
          </cell>
        </row>
        <row r="308">
          <cell r="A308">
            <v>2020</v>
          </cell>
          <cell r="C308" t="str">
            <v xml:space="preserve">DIRECTION CENTRALE DE LA CHAINE TV LAAYOUNE </v>
          </cell>
          <cell r="I308" t="str">
            <v>RECONDUCTION</v>
          </cell>
          <cell r="K308">
            <v>991872</v>
          </cell>
          <cell r="L308">
            <v>991872</v>
          </cell>
          <cell r="M308" t="str">
            <v>Fonctionnement</v>
          </cell>
        </row>
        <row r="309">
          <cell r="A309">
            <v>2020</v>
          </cell>
          <cell r="C309" t="str">
            <v>DIRECTION CENTRALE DE LA CHAÎNE TAMAZIGHT</v>
          </cell>
          <cell r="I309" t="str">
            <v>RECONDUCTION</v>
          </cell>
          <cell r="K309">
            <v>4684792</v>
          </cell>
          <cell r="L309">
            <v>5621750.4000000004</v>
          </cell>
          <cell r="M309" t="str">
            <v>Fonctionnement</v>
          </cell>
        </row>
        <row r="310">
          <cell r="A310">
            <v>2020</v>
          </cell>
          <cell r="C310" t="str">
            <v>DIRECTION CENTRALE DE LA CHAÎNE TAMAZIGHT</v>
          </cell>
          <cell r="I310" t="str">
            <v>RECONDUCTION</v>
          </cell>
          <cell r="K310">
            <v>4702107.18</v>
          </cell>
          <cell r="L310">
            <v>5642528.6160000004</v>
          </cell>
          <cell r="M310" t="str">
            <v>Fonctionnement</v>
          </cell>
        </row>
        <row r="311">
          <cell r="A311">
            <v>2020</v>
          </cell>
          <cell r="C311" t="str">
            <v>DIRECTION CENTRALE DE LA CHAÎNE TAMAZIGHT</v>
          </cell>
          <cell r="I311" t="str">
            <v>RECONDUCTION</v>
          </cell>
          <cell r="K311">
            <v>3757600</v>
          </cell>
          <cell r="L311">
            <v>4509120</v>
          </cell>
          <cell r="M311" t="str">
            <v>Fonctionnement</v>
          </cell>
        </row>
        <row r="312">
          <cell r="A312">
            <v>2020</v>
          </cell>
          <cell r="C312" t="str">
            <v>DIRECTION CENTRALE DE LA CHAÎNE TAMAZIGHT</v>
          </cell>
          <cell r="I312" t="str">
            <v>RECONDUCTION</v>
          </cell>
          <cell r="K312">
            <v>1720364.8</v>
          </cell>
          <cell r="L312">
            <v>2064437.76</v>
          </cell>
          <cell r="M312" t="str">
            <v>Fonctionnement</v>
          </cell>
        </row>
        <row r="313">
          <cell r="A313">
            <v>2020</v>
          </cell>
          <cell r="C313" t="str">
            <v>DIRECTION CENTRALE DE LA CHAÎNE TAMAZIGHT</v>
          </cell>
          <cell r="I313" t="str">
            <v>RECONDUCTION</v>
          </cell>
          <cell r="K313">
            <v>3701376</v>
          </cell>
          <cell r="L313">
            <v>4441651.2000000002</v>
          </cell>
          <cell r="M313" t="str">
            <v>Fonctionnement</v>
          </cell>
        </row>
        <row r="314">
          <cell r="A314">
            <v>2020</v>
          </cell>
          <cell r="C314" t="str">
            <v>DIRECTION CENTRALE DE LA CHAÎNE TAMAZIGHT</v>
          </cell>
          <cell r="I314" t="str">
            <v>RECONDUCTION</v>
          </cell>
          <cell r="K314">
            <v>2125984</v>
          </cell>
          <cell r="L314">
            <v>2551180.7999999998</v>
          </cell>
          <cell r="M314" t="str">
            <v>Fonctionnement</v>
          </cell>
        </row>
        <row r="315">
          <cell r="A315">
            <v>2020</v>
          </cell>
          <cell r="C315" t="str">
            <v>DIRECTION CENTRALE DE LA CHAÎNE TAMAZIGHT</v>
          </cell>
          <cell r="I315" t="str">
            <v>RECONDUCTION</v>
          </cell>
          <cell r="K315">
            <v>484680</v>
          </cell>
          <cell r="L315">
            <v>581616</v>
          </cell>
          <cell r="M315" t="str">
            <v>Fonctionnement</v>
          </cell>
        </row>
        <row r="316">
          <cell r="A316">
            <v>2020</v>
          </cell>
          <cell r="C316" t="str">
            <v>DIRECTION CENTRALE DE LA CHAÎNE TAMAZIGHT</v>
          </cell>
          <cell r="I316" t="str">
            <v>RECONDUCTION</v>
          </cell>
          <cell r="K316">
            <v>1417080</v>
          </cell>
          <cell r="L316">
            <v>1700496</v>
          </cell>
          <cell r="M316" t="str">
            <v>Fonctionnement</v>
          </cell>
        </row>
        <row r="317">
          <cell r="A317">
            <v>2020</v>
          </cell>
          <cell r="C317" t="str">
            <v>DIRECTION CENTRALE DE LA CHAÎNE TAMAZIGHT</v>
          </cell>
          <cell r="I317" t="str">
            <v>RECONDUCTION</v>
          </cell>
          <cell r="K317">
            <v>1142736</v>
          </cell>
          <cell r="L317">
            <v>1142736</v>
          </cell>
          <cell r="M317" t="str">
            <v>Fonctionnement</v>
          </cell>
        </row>
        <row r="318">
          <cell r="A318">
            <v>2020</v>
          </cell>
          <cell r="C318" t="str">
            <v>DIRECTION CENTRALE DE LA CHAÎNE TAMAZIGHT</v>
          </cell>
          <cell r="I318" t="str">
            <v>RECONDUCTION</v>
          </cell>
          <cell r="K318">
            <v>847728</v>
          </cell>
          <cell r="L318">
            <v>1017273.6</v>
          </cell>
          <cell r="M318" t="str">
            <v>Fonctionnement</v>
          </cell>
        </row>
        <row r="319">
          <cell r="A319">
            <v>2020</v>
          </cell>
          <cell r="C319" t="str">
            <v>DIRECTION CENTRALE DE LA CHAÎNE TAMAZIGHT</v>
          </cell>
          <cell r="I319" t="str">
            <v>RECONDUCTION</v>
          </cell>
          <cell r="K319">
            <v>1147193.6000000001</v>
          </cell>
          <cell r="L319">
            <v>1147193.6000000001</v>
          </cell>
          <cell r="M319" t="str">
            <v>Fonctionnement</v>
          </cell>
        </row>
        <row r="320">
          <cell r="A320">
            <v>2020</v>
          </cell>
          <cell r="C320" t="str">
            <v>DIRECTION CENTRALE DE LA CHAÎNE TAMAZIGHT</v>
          </cell>
          <cell r="I320" t="str">
            <v>RECONDUCTION</v>
          </cell>
          <cell r="K320">
            <v>548352</v>
          </cell>
          <cell r="L320">
            <v>658022.40000000002</v>
          </cell>
          <cell r="M320" t="str">
            <v>Fonctionnement</v>
          </cell>
        </row>
        <row r="321">
          <cell r="A321">
            <v>2020</v>
          </cell>
          <cell r="C321" t="str">
            <v>DIRECTION CENTRALE DE LA PRODUCTION ET DE L'ANTENNE</v>
          </cell>
          <cell r="I321" t="str">
            <v>AOO</v>
          </cell>
          <cell r="K321">
            <v>250000</v>
          </cell>
          <cell r="L321">
            <v>300000</v>
          </cell>
          <cell r="M321" t="str">
            <v>Fonctionnement</v>
          </cell>
        </row>
        <row r="322">
          <cell r="A322">
            <v>2020</v>
          </cell>
          <cell r="C322" t="str">
            <v>DIRECTION CENTRALE DE LA CHAÎNE TAMAZIGHT</v>
          </cell>
          <cell r="I322" t="str">
            <v>RECONDUCTION</v>
          </cell>
          <cell r="K322">
            <v>1142624</v>
          </cell>
          <cell r="L322">
            <v>1142624</v>
          </cell>
          <cell r="M322" t="str">
            <v>Fonctionnement</v>
          </cell>
        </row>
        <row r="323">
          <cell r="A323">
            <v>2020</v>
          </cell>
          <cell r="C323" t="str">
            <v>DIRECTION CENTRALE DE LA CHAÎNE TAMAZIGHT</v>
          </cell>
          <cell r="I323" t="str">
            <v>RECONDUCTION</v>
          </cell>
          <cell r="K323">
            <v>205777.6</v>
          </cell>
          <cell r="L323">
            <v>246933.12</v>
          </cell>
          <cell r="M323" t="str">
            <v>Fonctionnement</v>
          </cell>
        </row>
        <row r="324">
          <cell r="A324">
            <v>2020</v>
          </cell>
          <cell r="C324" t="str">
            <v>DIRECTION CENTRALE DE LA PRODUCTION ET DE L'ANTENNE</v>
          </cell>
          <cell r="I324" t="str">
            <v>AOO</v>
          </cell>
          <cell r="K324">
            <v>850000</v>
          </cell>
          <cell r="L324">
            <v>1020000</v>
          </cell>
          <cell r="M324" t="str">
            <v>Fonctionnement</v>
          </cell>
        </row>
        <row r="325">
          <cell r="A325">
            <v>2020</v>
          </cell>
          <cell r="C325" t="str">
            <v>DIRECTION CENTRALE DE LA PRODUCTION ET DE L'ANTENNE</v>
          </cell>
          <cell r="I325" t="str">
            <v>AOO</v>
          </cell>
          <cell r="K325">
            <v>250000</v>
          </cell>
          <cell r="L325">
            <v>300000</v>
          </cell>
          <cell r="M325" t="str">
            <v>Fonctionnement</v>
          </cell>
        </row>
        <row r="326">
          <cell r="A326">
            <v>2020</v>
          </cell>
          <cell r="C326" t="str">
            <v>DIRECTION CENTRALE DE LA PRODUCTION ET DE L'ANTENNE</v>
          </cell>
          <cell r="I326" t="str">
            <v>AOO</v>
          </cell>
          <cell r="K326">
            <v>950000</v>
          </cell>
          <cell r="L326">
            <v>1140000</v>
          </cell>
          <cell r="M326" t="str">
            <v>Fonctionnement</v>
          </cell>
        </row>
        <row r="327">
          <cell r="A327">
            <v>2020</v>
          </cell>
          <cell r="C327" t="str">
            <v>DIRECTION CENTRALE DE LA PRODUCTION ET DE L'ANTENNE</v>
          </cell>
          <cell r="I327" t="str">
            <v>AOO</v>
          </cell>
          <cell r="K327">
            <v>250000</v>
          </cell>
          <cell r="L327">
            <v>300000</v>
          </cell>
          <cell r="M327" t="str">
            <v>Fonctionnement</v>
          </cell>
        </row>
        <row r="328">
          <cell r="A328">
            <v>2020</v>
          </cell>
          <cell r="C328" t="str">
            <v>DIRECTION CENTRALE DE LA PRODUCTION ET DE L'ANTENNE</v>
          </cell>
          <cell r="I328" t="str">
            <v>AOO</v>
          </cell>
          <cell r="K328">
            <v>250000</v>
          </cell>
          <cell r="L328">
            <v>300000</v>
          </cell>
          <cell r="M328" t="str">
            <v>Fonctionnement</v>
          </cell>
        </row>
        <row r="329">
          <cell r="A329">
            <v>2020</v>
          </cell>
          <cell r="C329" t="str">
            <v>DIRECTION CENTRALE DE LA PRODUCTION ET DE L'ANTENNE</v>
          </cell>
          <cell r="I329" t="str">
            <v>AOO</v>
          </cell>
          <cell r="K329">
            <v>250000</v>
          </cell>
          <cell r="L329">
            <v>300000</v>
          </cell>
          <cell r="M329" t="str">
            <v>Fonctionnement</v>
          </cell>
        </row>
        <row r="330">
          <cell r="A330">
            <v>2020</v>
          </cell>
          <cell r="C330" t="str">
            <v>DIRECTION CENTRALE DE LA PRODUCTION ET DE L'ANTENNE</v>
          </cell>
          <cell r="I330" t="str">
            <v>AOO</v>
          </cell>
          <cell r="K330">
            <v>900000</v>
          </cell>
          <cell r="L330">
            <v>1080000</v>
          </cell>
          <cell r="M330" t="str">
            <v>Fonctionnement</v>
          </cell>
        </row>
        <row r="331">
          <cell r="A331">
            <v>2020</v>
          </cell>
          <cell r="C331" t="str">
            <v>DIRECTION CENTRALE DE LA PRODUCTION ET DE L'ANTENNE</v>
          </cell>
          <cell r="I331" t="str">
            <v>AOO</v>
          </cell>
          <cell r="K331">
            <v>850000</v>
          </cell>
          <cell r="L331">
            <v>1020000</v>
          </cell>
          <cell r="M331" t="str">
            <v>Fonctionnement</v>
          </cell>
        </row>
        <row r="332">
          <cell r="A332">
            <v>2020</v>
          </cell>
          <cell r="C332" t="str">
            <v>DIRECTION CENTRALE DE LA PRODUCTION ET DE L'ANTENNE</v>
          </cell>
          <cell r="I332" t="str">
            <v>AOO</v>
          </cell>
          <cell r="K332">
            <v>950000</v>
          </cell>
          <cell r="L332">
            <v>1140000</v>
          </cell>
          <cell r="M332" t="str">
            <v>Fonctionnement</v>
          </cell>
        </row>
        <row r="333">
          <cell r="A333">
            <v>2020</v>
          </cell>
          <cell r="C333" t="str">
            <v>DIRECTION CENTRALE DE LA PRODUCTION ET DE L'ANTENNE</v>
          </cell>
          <cell r="I333" t="str">
            <v>AOO</v>
          </cell>
          <cell r="K333">
            <v>300000</v>
          </cell>
          <cell r="L333">
            <v>360000</v>
          </cell>
          <cell r="M333" t="str">
            <v>Fonctionnement</v>
          </cell>
        </row>
        <row r="334">
          <cell r="A334">
            <v>2020</v>
          </cell>
          <cell r="C334" t="str">
            <v xml:space="preserve">DIRECTION CENTRALE DE LA CHAINE TV LAAYOUNE </v>
          </cell>
          <cell r="I334" t="str">
            <v>RECONDUCTION</v>
          </cell>
          <cell r="K334">
            <v>1687503.9</v>
          </cell>
          <cell r="L334">
            <v>1687503.9</v>
          </cell>
          <cell r="M334" t="str">
            <v>Fonctionnement</v>
          </cell>
        </row>
        <row r="335">
          <cell r="A335">
            <v>2020</v>
          </cell>
          <cell r="C335" t="str">
            <v xml:space="preserve">DIRECTION CENTRALE DE LA CHAINE TV LAAYOUNE </v>
          </cell>
          <cell r="I335" t="str">
            <v>RECONDUCTION</v>
          </cell>
          <cell r="K335">
            <v>933296.1</v>
          </cell>
          <cell r="L335">
            <v>933296.1</v>
          </cell>
          <cell r="M335" t="str">
            <v>Fonctionnement</v>
          </cell>
        </row>
        <row r="336">
          <cell r="A336">
            <v>2020</v>
          </cell>
          <cell r="C336" t="str">
            <v xml:space="preserve">DIRECTION CENTRALE DE LA CHAINE TV LAAYOUNE </v>
          </cell>
          <cell r="I336" t="str">
            <v>RECONDUCTION</v>
          </cell>
          <cell r="K336">
            <v>1030959.9</v>
          </cell>
          <cell r="L336">
            <v>1030959.9</v>
          </cell>
          <cell r="M336" t="str">
            <v>Fonctionnement</v>
          </cell>
        </row>
        <row r="337">
          <cell r="A337">
            <v>2020</v>
          </cell>
          <cell r="C337" t="str">
            <v xml:space="preserve">DIRECTION CENTRALE DE LA CHAINE TV LAAYOUNE </v>
          </cell>
          <cell r="I337" t="str">
            <v>RECONDUCTION</v>
          </cell>
          <cell r="K337">
            <v>2335872</v>
          </cell>
          <cell r="L337">
            <v>2335872</v>
          </cell>
          <cell r="M337" t="str">
            <v>Fonctionnement</v>
          </cell>
        </row>
        <row r="338">
          <cell r="A338">
            <v>2020</v>
          </cell>
          <cell r="C338" t="str">
            <v xml:space="preserve">DIRECTION CENTRALE DE LA CHAINE TV LAAYOUNE </v>
          </cell>
          <cell r="I338" t="str">
            <v>RECONDUCTION</v>
          </cell>
          <cell r="K338">
            <v>696639.96</v>
          </cell>
          <cell r="L338">
            <v>696639.96</v>
          </cell>
          <cell r="M338" t="str">
            <v>Fonctionnement</v>
          </cell>
        </row>
        <row r="339">
          <cell r="A339">
            <v>2020</v>
          </cell>
          <cell r="C339" t="str">
            <v xml:space="preserve">DIRECTION CENTRALE DE LA CHAINE TV LAAYOUNE </v>
          </cell>
          <cell r="I339" t="str">
            <v>RECONDUCTION</v>
          </cell>
          <cell r="K339">
            <v>1003520.1</v>
          </cell>
          <cell r="L339">
            <v>1003520.1</v>
          </cell>
          <cell r="M339" t="str">
            <v>Fonctionnement</v>
          </cell>
        </row>
        <row r="340">
          <cell r="A340">
            <v>2020</v>
          </cell>
          <cell r="C340" t="str">
            <v xml:space="preserve">DIRECTION CENTRALE DE LA CHAINE TV LAAYOUNE </v>
          </cell>
          <cell r="I340" t="str">
            <v>RECONDUCTION</v>
          </cell>
          <cell r="K340">
            <v>857919.9</v>
          </cell>
          <cell r="L340">
            <v>857919.9</v>
          </cell>
          <cell r="M340" t="str">
            <v>Fonctionnement</v>
          </cell>
        </row>
        <row r="341">
          <cell r="A341">
            <v>2020</v>
          </cell>
          <cell r="C341" t="str">
            <v>DIRECTION CENTRALE DE LA CHAÎNE TAMAZIGHT</v>
          </cell>
          <cell r="I341" t="str">
            <v>RECONDUCTION</v>
          </cell>
          <cell r="K341">
            <v>570303.9</v>
          </cell>
          <cell r="L341">
            <v>684364.68</v>
          </cell>
          <cell r="M341" t="str">
            <v>Fonctionnement</v>
          </cell>
        </row>
        <row r="342">
          <cell r="A342">
            <v>2020</v>
          </cell>
          <cell r="C342" t="str">
            <v>DIRECTION CENTRALE DE LA CHAÎNE TAMAZIGHT</v>
          </cell>
          <cell r="I342" t="str">
            <v>RECONDUCTION</v>
          </cell>
          <cell r="K342">
            <v>985376.1</v>
          </cell>
          <cell r="L342">
            <v>1182451.32</v>
          </cell>
          <cell r="M342" t="str">
            <v>Fonctionnement</v>
          </cell>
        </row>
        <row r="343">
          <cell r="A343">
            <v>2020</v>
          </cell>
          <cell r="C343" t="str">
            <v>DIRECTION CENTRALE DE LA CHAÎNE TAMAZIGHT</v>
          </cell>
          <cell r="I343" t="str">
            <v>RECONDUCTION</v>
          </cell>
          <cell r="K343">
            <v>1760192.1</v>
          </cell>
          <cell r="L343">
            <v>2112230.52</v>
          </cell>
          <cell r="M343" t="str">
            <v>Fonctionnement</v>
          </cell>
        </row>
        <row r="344">
          <cell r="A344">
            <v>2020</v>
          </cell>
          <cell r="C344" t="str">
            <v>DIRECTION CENTRALE DE LA CHAÎNE TAMAZIGHT</v>
          </cell>
          <cell r="I344" t="str">
            <v>RECONDUCTION</v>
          </cell>
          <cell r="K344">
            <v>706787.1</v>
          </cell>
          <cell r="L344">
            <v>848144.52</v>
          </cell>
          <cell r="M344" t="str">
            <v>Fonctionnement</v>
          </cell>
        </row>
        <row r="345">
          <cell r="A345">
            <v>2020</v>
          </cell>
          <cell r="C345" t="str">
            <v>DIRECTION CENTRALE DE LA CHAÎNE TAMAZIGHT</v>
          </cell>
          <cell r="I345" t="str">
            <v>RECONDUCTION</v>
          </cell>
          <cell r="K345">
            <v>2057552.1</v>
          </cell>
          <cell r="L345">
            <v>2469062.52</v>
          </cell>
          <cell r="M345" t="str">
            <v>Fonctionnement</v>
          </cell>
        </row>
        <row r="346">
          <cell r="A346">
            <v>2020</v>
          </cell>
          <cell r="C346" t="str">
            <v>DIRECTION CENTRALE DE LA CHAÎNE TAMAZIGHT</v>
          </cell>
          <cell r="I346" t="str">
            <v>RECONDUCTION</v>
          </cell>
          <cell r="K346">
            <v>2335088.1</v>
          </cell>
          <cell r="L346">
            <v>2802105.72</v>
          </cell>
          <cell r="M346" t="str">
            <v>Fonctionnement</v>
          </cell>
        </row>
        <row r="347">
          <cell r="A347">
            <v>2020</v>
          </cell>
          <cell r="C347" t="str">
            <v>DIRECTION CENTRALE DE LA CHAÎNE TAMAZIGHT</v>
          </cell>
          <cell r="I347" t="str">
            <v>RECONDUCTION</v>
          </cell>
          <cell r="K347">
            <v>1159468.8</v>
          </cell>
          <cell r="L347">
            <v>1159468.8</v>
          </cell>
          <cell r="M347" t="str">
            <v>Fonctionnement</v>
          </cell>
        </row>
        <row r="348">
          <cell r="A348">
            <v>2020</v>
          </cell>
          <cell r="C348" t="str">
            <v>DIRECTION CENTRALE DE LA CHAÎNE TAMAZIGHT</v>
          </cell>
          <cell r="I348" t="str">
            <v>RECONDUCTION</v>
          </cell>
          <cell r="K348">
            <v>3289797.28</v>
          </cell>
          <cell r="L348">
            <v>3947756.736</v>
          </cell>
          <cell r="M348" t="str">
            <v>Fonctionnement</v>
          </cell>
        </row>
        <row r="349">
          <cell r="A349">
            <v>2020</v>
          </cell>
          <cell r="C349" t="str">
            <v>DIRECTION CENTRALE DE LA CHAÎNE TAMAZIGHT</v>
          </cell>
          <cell r="I349" t="str">
            <v>RECONDUCTION</v>
          </cell>
          <cell r="K349">
            <v>2174000.62</v>
          </cell>
          <cell r="L349">
            <v>2608800.7439999999</v>
          </cell>
          <cell r="M349" t="str">
            <v>Fonctionnement</v>
          </cell>
        </row>
        <row r="350">
          <cell r="A350">
            <v>2020</v>
          </cell>
          <cell r="C350" t="str">
            <v>DIRECTION CENTRALE DE LA PRODUCTION ET DE L'ANTENNE</v>
          </cell>
          <cell r="I350" t="str">
            <v>AOO</v>
          </cell>
          <cell r="K350">
            <v>1453368</v>
          </cell>
          <cell r="L350">
            <v>1744041.6</v>
          </cell>
          <cell r="M350" t="str">
            <v>Fonctionnement</v>
          </cell>
        </row>
        <row r="351">
          <cell r="A351">
            <v>2020</v>
          </cell>
          <cell r="C351" t="str">
            <v>DIRECTION CENTRALE DE LA PRODUCTION ET DE L'ANTENNE</v>
          </cell>
          <cell r="I351" t="str">
            <v>AOO</v>
          </cell>
          <cell r="K351">
            <v>1487494.4</v>
          </cell>
          <cell r="L351">
            <v>1784993.28</v>
          </cell>
          <cell r="M351" t="str">
            <v>Fonctionnement</v>
          </cell>
        </row>
        <row r="352">
          <cell r="A352">
            <v>2020</v>
          </cell>
          <cell r="C352" t="str">
            <v>DIRECTION CENTRALE DE LA PRODUCTION ET DE L'ANTENNE</v>
          </cell>
          <cell r="I352" t="str">
            <v>AOO</v>
          </cell>
          <cell r="K352">
            <v>8906486.4000000004</v>
          </cell>
          <cell r="L352">
            <v>10687783.68</v>
          </cell>
          <cell r="M352" t="str">
            <v>Fonctionnement</v>
          </cell>
        </row>
        <row r="353">
          <cell r="A353">
            <v>2020</v>
          </cell>
          <cell r="C353" t="str">
            <v>DIRECTION CENTRALE DE LA PRODUCTION ET DE L'ANTENNE</v>
          </cell>
          <cell r="I353" t="str">
            <v>AOO</v>
          </cell>
          <cell r="K353">
            <v>9206803.1999999993</v>
          </cell>
          <cell r="L353">
            <v>11048163.84</v>
          </cell>
          <cell r="M353" t="str">
            <v>Fonctionnement</v>
          </cell>
        </row>
        <row r="354">
          <cell r="A354">
            <v>2020</v>
          </cell>
          <cell r="C354" t="str">
            <v>DIRECTION CENTRALE DE LA PRODUCTION ET DE L'ANTENNE</v>
          </cell>
          <cell r="I354" t="str">
            <v>AOO</v>
          </cell>
          <cell r="K354">
            <v>11144918.4</v>
          </cell>
          <cell r="L354">
            <v>13373902.08</v>
          </cell>
          <cell r="M354" t="str">
            <v>Fonctionnement</v>
          </cell>
        </row>
        <row r="355">
          <cell r="A355">
            <v>2020</v>
          </cell>
          <cell r="C355" t="str">
            <v>DIRECTION CENTRALE DE LA PRODUCTION ET DE L'ANTENNE</v>
          </cell>
          <cell r="I355" t="str">
            <v>AOO</v>
          </cell>
          <cell r="K355">
            <v>1009814.4</v>
          </cell>
          <cell r="L355">
            <v>1211777.28</v>
          </cell>
          <cell r="M355" t="str">
            <v>Fonctionnement</v>
          </cell>
        </row>
        <row r="356">
          <cell r="A356">
            <v>2020</v>
          </cell>
          <cell r="C356" t="str">
            <v>DIRECTION CENTRALE DE LA PRODUCTION ET DE L'ANTENNE</v>
          </cell>
          <cell r="I356" t="str">
            <v>AOO</v>
          </cell>
          <cell r="K356">
            <v>1012502.4</v>
          </cell>
          <cell r="L356">
            <v>1215002.8799999999</v>
          </cell>
          <cell r="M356" t="str">
            <v>Fonctionnement</v>
          </cell>
        </row>
        <row r="357">
          <cell r="A357">
            <v>2020</v>
          </cell>
          <cell r="C357" t="str">
            <v>DIRECTION CENTRALE DE LA PRODUCTION ET DE L'ANTENNE</v>
          </cell>
          <cell r="I357" t="str">
            <v>AOO</v>
          </cell>
          <cell r="K357">
            <v>1009635.2</v>
          </cell>
          <cell r="L357">
            <v>1211562.24</v>
          </cell>
          <cell r="M357" t="str">
            <v>Fonctionnement</v>
          </cell>
        </row>
        <row r="358">
          <cell r="A358">
            <v>2020</v>
          </cell>
          <cell r="C358" t="str">
            <v>DIRECTION CENTRALE DE LA PRODUCTION ET DE L'ANTENNE</v>
          </cell>
          <cell r="I358" t="str">
            <v>AOO</v>
          </cell>
          <cell r="K358">
            <v>983024</v>
          </cell>
          <cell r="L358">
            <v>1179628.8</v>
          </cell>
          <cell r="M358" t="str">
            <v>Fonctionnement</v>
          </cell>
        </row>
        <row r="359">
          <cell r="A359">
            <v>2020</v>
          </cell>
          <cell r="C359" t="str">
            <v>DIRECTION CENTRALE DE LA PRODUCTION ET DE L'ANTENNE</v>
          </cell>
          <cell r="I359" t="str">
            <v>AOO</v>
          </cell>
          <cell r="K359">
            <v>1537200</v>
          </cell>
          <cell r="L359">
            <v>1844640</v>
          </cell>
          <cell r="M359" t="str">
            <v>Fonctionnement</v>
          </cell>
        </row>
        <row r="360">
          <cell r="A360">
            <v>2020</v>
          </cell>
          <cell r="C360" t="str">
            <v>DIRECTION CENTRALE DE LA PRODUCTION ET DE L'ANTENNE</v>
          </cell>
          <cell r="I360" t="str">
            <v>AOO</v>
          </cell>
          <cell r="K360">
            <v>4087731.2</v>
          </cell>
          <cell r="L360">
            <v>4087731.2</v>
          </cell>
          <cell r="M360" t="str">
            <v>Fonctionnement</v>
          </cell>
        </row>
        <row r="361">
          <cell r="A361">
            <v>2020</v>
          </cell>
          <cell r="C361" t="str">
            <v>DIRECTION CENTRALE DE LA PRODUCTION ET DE L'ANTENNE</v>
          </cell>
          <cell r="I361" t="str">
            <v>AOO</v>
          </cell>
          <cell r="K361">
            <v>1006868.8</v>
          </cell>
          <cell r="L361">
            <v>1208242.56</v>
          </cell>
          <cell r="M361" t="str">
            <v>Fonctionnement</v>
          </cell>
        </row>
        <row r="362">
          <cell r="A362">
            <v>2020</v>
          </cell>
          <cell r="C362" t="str">
            <v>DIRECTION CENTRALE DE LA PRODUCTION ET DE L'ANTENNE</v>
          </cell>
          <cell r="I362" t="str">
            <v>AOO</v>
          </cell>
          <cell r="K362">
            <v>1003094.4</v>
          </cell>
          <cell r="L362">
            <v>1203713.28</v>
          </cell>
          <cell r="M362" t="str">
            <v>Fonctionnement</v>
          </cell>
        </row>
        <row r="363">
          <cell r="A363">
            <v>2020</v>
          </cell>
          <cell r="C363" t="str">
            <v>DIRECTION CENTRALE DE LA PRODUCTION ET DE L'ANTENNE</v>
          </cell>
          <cell r="I363" t="str">
            <v>AOO</v>
          </cell>
          <cell r="K363">
            <v>10928332.800000001</v>
          </cell>
          <cell r="L363">
            <v>13113999.359999999</v>
          </cell>
          <cell r="M363" t="str">
            <v>Fonctionnement</v>
          </cell>
        </row>
        <row r="364">
          <cell r="A364">
            <v>2020</v>
          </cell>
          <cell r="C364" t="str">
            <v xml:space="preserve">DIRECTION CENTRALE DE LA CHAINE TV LAAYOUNE </v>
          </cell>
          <cell r="I364" t="str">
            <v>AOO</v>
          </cell>
          <cell r="K364">
            <v>1747536</v>
          </cell>
          <cell r="L364">
            <v>1747536</v>
          </cell>
          <cell r="M364" t="str">
            <v>Fonctionnement</v>
          </cell>
        </row>
        <row r="365">
          <cell r="A365">
            <v>2020</v>
          </cell>
          <cell r="C365" t="str">
            <v xml:space="preserve">DIRECTION CENTRALE DE LA CHAINE TV LAAYOUNE </v>
          </cell>
          <cell r="I365" t="str">
            <v>AOO</v>
          </cell>
          <cell r="K365">
            <v>3301737.6</v>
          </cell>
          <cell r="L365">
            <v>3301737.6</v>
          </cell>
          <cell r="M365" t="str">
            <v>Fonctionnement</v>
          </cell>
        </row>
        <row r="366">
          <cell r="A366">
            <v>2020</v>
          </cell>
          <cell r="C366" t="str">
            <v>DIRECTION CENTRALE DE LA PRODUCTION ET DE L'ANTENNE</v>
          </cell>
          <cell r="I366" t="str">
            <v>RECONDUCTION</v>
          </cell>
          <cell r="K366">
            <v>5048959.96</v>
          </cell>
          <cell r="L366">
            <v>6058751.9500000002</v>
          </cell>
          <cell r="M366" t="str">
            <v>Fonctionnement</v>
          </cell>
        </row>
        <row r="367">
          <cell r="A367">
            <v>2020</v>
          </cell>
          <cell r="C367" t="str">
            <v>DIRECTION CENTRALE DE LA PRODUCTION ET DE L'ANTENNE</v>
          </cell>
          <cell r="I367" t="str">
            <v>RECONDUCTION</v>
          </cell>
          <cell r="K367">
            <v>3901912.01</v>
          </cell>
          <cell r="L367">
            <v>4682294.41</v>
          </cell>
          <cell r="M367" t="str">
            <v>Fonctionnement</v>
          </cell>
        </row>
        <row r="368">
          <cell r="A368">
            <v>2020</v>
          </cell>
          <cell r="C368" t="str">
            <v>DIRECTION CENTRALE DE LA PRODUCTION ET DE L'ANTENNE</v>
          </cell>
          <cell r="I368" t="str">
            <v>RECONDUCTION</v>
          </cell>
          <cell r="K368">
            <v>6183900.7999999998</v>
          </cell>
          <cell r="L368">
            <v>7420680.96</v>
          </cell>
          <cell r="M368" t="str">
            <v>Fonctionnement</v>
          </cell>
        </row>
        <row r="369">
          <cell r="A369">
            <v>2020</v>
          </cell>
          <cell r="C369" t="str">
            <v>DIRECTION CENTRALE DE LA PRODUCTION ET DE L'ANTENNE</v>
          </cell>
          <cell r="I369" t="str">
            <v>RECONDUCTION</v>
          </cell>
          <cell r="K369">
            <v>10504285.02</v>
          </cell>
          <cell r="L369">
            <v>12605142.02</v>
          </cell>
          <cell r="M369" t="str">
            <v>Fonctionnement</v>
          </cell>
        </row>
        <row r="370">
          <cell r="A370">
            <v>2020</v>
          </cell>
          <cell r="C370" t="str">
            <v>DIRECTION CENTRALE DE LA PRODUCTION ET DE L'ANTENNE</v>
          </cell>
          <cell r="I370" t="str">
            <v>RECONDUCTION</v>
          </cell>
          <cell r="K370">
            <v>4082624.04</v>
          </cell>
          <cell r="L370">
            <v>4082624.04</v>
          </cell>
          <cell r="M370" t="str">
            <v>Fonctionnement</v>
          </cell>
        </row>
        <row r="371">
          <cell r="A371">
            <v>2018</v>
          </cell>
          <cell r="C371" t="str">
            <v>DIRECTION CENTRALE DE LA PRODUCTION ET DE L'ANTENNE</v>
          </cell>
          <cell r="I371" t="str">
            <v>RECONDUCTION</v>
          </cell>
          <cell r="K371">
            <v>6183900.7999999998</v>
          </cell>
          <cell r="L371">
            <v>7420680.96</v>
          </cell>
          <cell r="M371" t="str">
            <v>Fonctionnement</v>
          </cell>
        </row>
        <row r="372">
          <cell r="A372">
            <v>2018</v>
          </cell>
          <cell r="C372" t="str">
            <v>DIRECTION CENTRALE DE LA PRODUCTION ET DE L'ANTENNE</v>
          </cell>
          <cell r="I372" t="str">
            <v>RECONDUCTION</v>
          </cell>
          <cell r="K372">
            <v>10504285.024</v>
          </cell>
          <cell r="L372">
            <v>12605142.0288</v>
          </cell>
          <cell r="M372" t="str">
            <v>Fonctionnement</v>
          </cell>
        </row>
        <row r="373">
          <cell r="A373">
            <v>2018</v>
          </cell>
          <cell r="C373" t="str">
            <v>DIRECTION CENTRALE DE LA PRODUCTION ET DE L'ANTENNE</v>
          </cell>
          <cell r="I373" t="str">
            <v>RECONDUCTION</v>
          </cell>
          <cell r="K373">
            <v>3901912.01</v>
          </cell>
          <cell r="L373">
            <v>4682294.4119999995</v>
          </cell>
          <cell r="M373" t="str">
            <v>Fonctionnement</v>
          </cell>
        </row>
        <row r="374">
          <cell r="A374">
            <v>2018</v>
          </cell>
          <cell r="C374" t="str">
            <v>DIRECTION CENTRALE DE LA PRODUCTION ET DE L'ANTENNE</v>
          </cell>
          <cell r="I374" t="str">
            <v>RECONDUCTION</v>
          </cell>
          <cell r="K374">
            <v>3581536</v>
          </cell>
          <cell r="L374">
            <v>3581536</v>
          </cell>
          <cell r="M374" t="str">
            <v>Fonctionnement</v>
          </cell>
        </row>
        <row r="375">
          <cell r="A375">
            <v>2018</v>
          </cell>
          <cell r="C375" t="str">
            <v>DIRECTION CENTRALE DE LA PRODUCTION ET DE L'ANTENNE</v>
          </cell>
          <cell r="I375" t="str">
            <v>RECONDUCTION</v>
          </cell>
          <cell r="K375">
            <v>3995460</v>
          </cell>
          <cell r="L375">
            <v>4794552</v>
          </cell>
          <cell r="M375" t="str">
            <v>Fonctionnement</v>
          </cell>
        </row>
        <row r="376">
          <cell r="A376">
            <v>2018</v>
          </cell>
          <cell r="C376" t="str">
            <v xml:space="preserve">DIRECTION CENTRALE DE LA CHAINE TV LAAYOUNE </v>
          </cell>
          <cell r="I376" t="str">
            <v>RECONDUCTION</v>
          </cell>
          <cell r="K376">
            <v>625408</v>
          </cell>
          <cell r="L376">
            <v>625408</v>
          </cell>
          <cell r="M376" t="str">
            <v>Fonctionnement</v>
          </cell>
        </row>
        <row r="377">
          <cell r="A377">
            <v>2018</v>
          </cell>
          <cell r="C377" t="str">
            <v xml:space="preserve">DIRECTION CENTRALE DE LA CHAINE TV LAAYOUNE </v>
          </cell>
          <cell r="I377" t="str">
            <v>RECONDUCTION</v>
          </cell>
          <cell r="K377">
            <v>933296.1</v>
          </cell>
          <cell r="L377">
            <v>933296.1</v>
          </cell>
          <cell r="M377" t="str">
            <v>Fonctionnement</v>
          </cell>
        </row>
        <row r="378">
          <cell r="A378">
            <v>2018</v>
          </cell>
          <cell r="C378" t="str">
            <v xml:space="preserve">DIRECTION CENTRALE DE LA CHAINE TV LAAYOUNE </v>
          </cell>
          <cell r="I378" t="str">
            <v>RECONDUCTION</v>
          </cell>
          <cell r="K378">
            <v>875616</v>
          </cell>
          <cell r="L378">
            <v>875616</v>
          </cell>
          <cell r="M378" t="str">
            <v>Fonctionnement</v>
          </cell>
        </row>
        <row r="379">
          <cell r="A379">
            <v>2018</v>
          </cell>
          <cell r="C379" t="str">
            <v xml:space="preserve">DIRECTION CENTRALE DE LA CHAINE TV LAAYOUNE </v>
          </cell>
          <cell r="I379" t="str">
            <v>RECONDUCTION</v>
          </cell>
          <cell r="K379">
            <v>882000</v>
          </cell>
          <cell r="L379">
            <v>882000</v>
          </cell>
          <cell r="M379" t="str">
            <v>Fonctionnement</v>
          </cell>
        </row>
        <row r="380">
          <cell r="A380">
            <v>2018</v>
          </cell>
          <cell r="C380" t="str">
            <v xml:space="preserve">DIRECTION CENTRALE DE LA CHAINE TV LAAYOUNE </v>
          </cell>
          <cell r="I380" t="str">
            <v>RECONDUCTION</v>
          </cell>
          <cell r="K380">
            <v>817935.9</v>
          </cell>
          <cell r="L380">
            <v>817935.9</v>
          </cell>
          <cell r="M380" t="str">
            <v>Fonctionnement</v>
          </cell>
        </row>
        <row r="381">
          <cell r="A381">
            <v>2018</v>
          </cell>
          <cell r="C381" t="str">
            <v xml:space="preserve">DIRECTION CENTRALE DE LA CHAINE TV LAAYOUNE </v>
          </cell>
          <cell r="I381" t="str">
            <v>RECONDUCTION</v>
          </cell>
          <cell r="K381">
            <v>1030959.9</v>
          </cell>
          <cell r="L381">
            <v>1030959.9</v>
          </cell>
          <cell r="M381" t="str">
            <v>Fonctionnement</v>
          </cell>
        </row>
        <row r="382">
          <cell r="A382">
            <v>2018</v>
          </cell>
          <cell r="C382" t="str">
            <v xml:space="preserve">DIRECTION CENTRALE DE LA CHAINE TV LAAYOUNE </v>
          </cell>
          <cell r="I382" t="str">
            <v>RECONDUCTION</v>
          </cell>
          <cell r="K382">
            <v>2335872</v>
          </cell>
          <cell r="L382">
            <v>2335872</v>
          </cell>
          <cell r="M382" t="str">
            <v>Fonctionnement</v>
          </cell>
        </row>
        <row r="383">
          <cell r="A383">
            <v>2018</v>
          </cell>
          <cell r="C383" t="str">
            <v xml:space="preserve">DIRECTION CENTRALE DE LA CHAINE TV LAAYOUNE </v>
          </cell>
          <cell r="I383" t="str">
            <v>RECONDUCTION</v>
          </cell>
          <cell r="K383">
            <v>1003520.1</v>
          </cell>
          <cell r="L383">
            <v>1003520.1</v>
          </cell>
          <cell r="M383" t="str">
            <v>Fonctionnement</v>
          </cell>
        </row>
        <row r="384">
          <cell r="A384">
            <v>2018</v>
          </cell>
          <cell r="C384" t="str">
            <v xml:space="preserve">DIRECTION CENTRALE DE LA CHAINE TV LAAYOUNE </v>
          </cell>
          <cell r="I384" t="str">
            <v>RECONDUCTION</v>
          </cell>
          <cell r="K384">
            <v>857919.9</v>
          </cell>
          <cell r="L384">
            <v>857919.9</v>
          </cell>
          <cell r="M384" t="str">
            <v>Fonctionnement</v>
          </cell>
        </row>
        <row r="385">
          <cell r="A385">
            <v>2018</v>
          </cell>
          <cell r="C385" t="str">
            <v xml:space="preserve">DIRECTION CENTRALE DE LA CHAINE TV LAAYOUNE </v>
          </cell>
          <cell r="I385" t="str">
            <v>RECONDUCTION</v>
          </cell>
          <cell r="K385">
            <v>991872</v>
          </cell>
          <cell r="L385">
            <v>991872</v>
          </cell>
          <cell r="M385" t="str">
            <v>Fonctionnement</v>
          </cell>
        </row>
        <row r="386">
          <cell r="A386">
            <v>2018</v>
          </cell>
          <cell r="C386" t="str">
            <v xml:space="preserve">DIRECTION CENTRALE DE LA CHAINE TV LAAYOUNE </v>
          </cell>
          <cell r="I386" t="str">
            <v>AOO</v>
          </cell>
          <cell r="K386">
            <v>3231401.6</v>
          </cell>
          <cell r="L386">
            <v>3231401.6</v>
          </cell>
          <cell r="M386" t="str">
            <v>Fonctionnement</v>
          </cell>
        </row>
        <row r="387">
          <cell r="A387">
            <v>2018</v>
          </cell>
          <cell r="C387" t="str">
            <v>DIRECTION CENTRALE DE LA CHAÎNE TAMAZIGHT</v>
          </cell>
          <cell r="I387" t="str">
            <v>AOO</v>
          </cell>
          <cell r="K387">
            <v>219777.6</v>
          </cell>
          <cell r="L387">
            <v>263733.12</v>
          </cell>
          <cell r="M387" t="str">
            <v>Fonctionnement</v>
          </cell>
        </row>
        <row r="388">
          <cell r="A388">
            <v>2018</v>
          </cell>
          <cell r="C388" t="str">
            <v>DIRECTION CENTRALE DE LA CHAÎNE TAMAZIGHT</v>
          </cell>
          <cell r="I388" t="str">
            <v>AOO</v>
          </cell>
          <cell r="K388">
            <v>1132342.3999999999</v>
          </cell>
          <cell r="L388">
            <v>1358811</v>
          </cell>
          <cell r="M388" t="str">
            <v>Fonctionnement</v>
          </cell>
        </row>
        <row r="389">
          <cell r="A389">
            <v>2018</v>
          </cell>
          <cell r="C389" t="str">
            <v>DIRECTION CENTRALE DE LA CHAÎNE TAMAZIGHT</v>
          </cell>
          <cell r="I389" t="str">
            <v>AOO</v>
          </cell>
          <cell r="K389">
            <v>1384118.4</v>
          </cell>
          <cell r="L389">
            <v>1660942.0799999998</v>
          </cell>
          <cell r="M389" t="str">
            <v>Fonctionnement</v>
          </cell>
        </row>
        <row r="390">
          <cell r="A390">
            <v>2018</v>
          </cell>
          <cell r="C390" t="str">
            <v>DIRECTION CENTRALE DE LA CHAÎNE TAMAZIGHT</v>
          </cell>
          <cell r="I390" t="str">
            <v>AOO</v>
          </cell>
          <cell r="K390">
            <v>1410886.4</v>
          </cell>
          <cell r="L390">
            <v>1693063.68</v>
          </cell>
          <cell r="M390" t="str">
            <v>Fonctionnement</v>
          </cell>
        </row>
        <row r="391">
          <cell r="A391">
            <v>2018</v>
          </cell>
          <cell r="C391" t="str">
            <v>DIRECTION CENTRALE DE LA PRODUCTION ET DE L'ANTENNE</v>
          </cell>
          <cell r="I391" t="str">
            <v>AOO</v>
          </cell>
          <cell r="K391">
            <v>920707.2</v>
          </cell>
          <cell r="L391">
            <v>1104848.6399999999</v>
          </cell>
          <cell r="M391" t="str">
            <v>Fonctionnement</v>
          </cell>
        </row>
        <row r="392">
          <cell r="A392">
            <v>2018</v>
          </cell>
          <cell r="C392" t="str">
            <v>DIRECTION CENTRALE DE LA PRODUCTION ET DE L'ANTENNE</v>
          </cell>
          <cell r="I392" t="str">
            <v>AOO</v>
          </cell>
          <cell r="K392">
            <v>1016254.4</v>
          </cell>
          <cell r="L392">
            <v>1219505.28</v>
          </cell>
          <cell r="M392" t="str">
            <v>Fonctionnement</v>
          </cell>
        </row>
        <row r="393">
          <cell r="A393">
            <v>2018</v>
          </cell>
          <cell r="C393" t="str">
            <v>DIRECTION CENTRALE DE LA PRODUCTION ET DE L'ANTENNE</v>
          </cell>
          <cell r="I393" t="str">
            <v>AOO</v>
          </cell>
          <cell r="K393">
            <v>968598.4</v>
          </cell>
          <cell r="L393">
            <v>1162318.08</v>
          </cell>
          <cell r="M393" t="str">
            <v>Fonctionnement</v>
          </cell>
        </row>
        <row r="394">
          <cell r="A394">
            <v>2018</v>
          </cell>
          <cell r="C394" t="str">
            <v>DIRECTION CENTRALE DE LA PRODUCTION ET DE L'ANTENNE</v>
          </cell>
          <cell r="I394" t="str">
            <v>AOO</v>
          </cell>
          <cell r="K394">
            <v>1005233.6</v>
          </cell>
          <cell r="L394">
            <v>1206280.3199999998</v>
          </cell>
          <cell r="M394" t="str">
            <v>Fonctionnement</v>
          </cell>
        </row>
        <row r="395">
          <cell r="A395">
            <v>2018</v>
          </cell>
          <cell r="C395" t="str">
            <v>DIRECTION CENTRALE DE LA PRODUCTION ET DE L'ANTENNE</v>
          </cell>
          <cell r="I395" t="str">
            <v>AOO</v>
          </cell>
          <cell r="K395">
            <v>9166259.0999999996</v>
          </cell>
          <cell r="L395">
            <v>10999510.92</v>
          </cell>
          <cell r="M395" t="str">
            <v>Fonctionnement</v>
          </cell>
        </row>
        <row r="396">
          <cell r="A396">
            <v>2018</v>
          </cell>
          <cell r="C396" t="str">
            <v>DIRECTION CENTRALE DE LA PRODUCTION ET DE L'ANTENNE</v>
          </cell>
          <cell r="I396" t="str">
            <v>AOO</v>
          </cell>
          <cell r="K396">
            <v>1015974.4</v>
          </cell>
          <cell r="L396">
            <v>1219169.28</v>
          </cell>
          <cell r="M396" t="str">
            <v>Fonctionnement</v>
          </cell>
        </row>
        <row r="397">
          <cell r="A397">
            <v>2018</v>
          </cell>
          <cell r="C397" t="str">
            <v>DIRECTION CENTRALE DE LA PRODUCTION ET DE L'ANTENNE</v>
          </cell>
          <cell r="I397" t="str">
            <v>AOO</v>
          </cell>
          <cell r="K397">
            <v>9210611.0999999996</v>
          </cell>
          <cell r="L397">
            <v>11052733.319999998</v>
          </cell>
          <cell r="M397" t="str">
            <v>Fonctionnement</v>
          </cell>
        </row>
        <row r="398">
          <cell r="A398">
            <v>2018</v>
          </cell>
          <cell r="C398" t="str">
            <v>DIRECTION CENTRALE DE LA PRODUCTION ET DE L'ANTENNE</v>
          </cell>
          <cell r="I398" t="str">
            <v>AOO</v>
          </cell>
          <cell r="K398">
            <v>8049932.7000000002</v>
          </cell>
          <cell r="L398">
            <v>9659919.2400000002</v>
          </cell>
          <cell r="M398" t="str">
            <v>Fonctionnement</v>
          </cell>
        </row>
        <row r="399">
          <cell r="A399">
            <v>2018</v>
          </cell>
          <cell r="C399" t="str">
            <v>DIRECTION CENTRALE DE LA PRODUCTION ET DE L'ANTENNE</v>
          </cell>
          <cell r="I399" t="str">
            <v>AOO</v>
          </cell>
          <cell r="K399">
            <v>3666700.8</v>
          </cell>
          <cell r="L399">
            <v>4400040.96</v>
          </cell>
          <cell r="M399" t="str">
            <v>Fonctionnement</v>
          </cell>
        </row>
        <row r="400">
          <cell r="A400">
            <v>2018</v>
          </cell>
          <cell r="C400" t="str">
            <v>DIRECTION CENTRALE DE LA PRODUCTION ET DE L'ANTENNE</v>
          </cell>
          <cell r="I400" t="str">
            <v>AOO</v>
          </cell>
          <cell r="K400">
            <v>7177296</v>
          </cell>
          <cell r="L400">
            <v>8612755.1999999993</v>
          </cell>
          <cell r="M400" t="str">
            <v>Fonctionnement</v>
          </cell>
        </row>
        <row r="401">
          <cell r="A401">
            <v>2018</v>
          </cell>
          <cell r="C401" t="str">
            <v>DIRECTION CENTRALE DE LA PRODUCTION ET DE L'ANTENNE</v>
          </cell>
          <cell r="I401" t="str">
            <v>AOO</v>
          </cell>
          <cell r="K401">
            <v>3675369.6</v>
          </cell>
          <cell r="L401">
            <v>3675369.6</v>
          </cell>
          <cell r="M401" t="str">
            <v>Fonctionnement</v>
          </cell>
        </row>
        <row r="402">
          <cell r="A402">
            <v>2018</v>
          </cell>
          <cell r="C402" t="str">
            <v>DIRECTION CENTRALE DE LA PRODUCTION ET DE L'ANTENNE</v>
          </cell>
          <cell r="I402" t="str">
            <v>AOO</v>
          </cell>
          <cell r="K402">
            <v>780000</v>
          </cell>
          <cell r="L402">
            <v>936000</v>
          </cell>
          <cell r="M402" t="str">
            <v>Fonctionnement</v>
          </cell>
        </row>
        <row r="403">
          <cell r="A403">
            <v>2018</v>
          </cell>
          <cell r="C403" t="str">
            <v>DIRECTION CENTRALE DE LA PRODUCTION ET DE L'ANTENNE</v>
          </cell>
          <cell r="I403" t="str">
            <v>AOO</v>
          </cell>
          <cell r="K403">
            <v>830000</v>
          </cell>
          <cell r="L403">
            <v>996000</v>
          </cell>
          <cell r="M403" t="str">
            <v>Fonctionnement</v>
          </cell>
        </row>
        <row r="404">
          <cell r="A404">
            <v>2018</v>
          </cell>
          <cell r="C404" t="str">
            <v>DIRECTION CENTRALE DE LA PRODUCTION ET DE L'ANTENNE</v>
          </cell>
          <cell r="I404" t="str">
            <v>AOO</v>
          </cell>
          <cell r="K404">
            <v>800000</v>
          </cell>
          <cell r="L404">
            <v>960000</v>
          </cell>
          <cell r="M404" t="str">
            <v>Fonctionnement</v>
          </cell>
        </row>
        <row r="405">
          <cell r="A405">
            <v>2018</v>
          </cell>
          <cell r="C405" t="str">
            <v>DIRECTION CENTRALE DE LA PRODUCTION ET DE L'ANTENNE</v>
          </cell>
          <cell r="I405" t="str">
            <v>AOO</v>
          </cell>
          <cell r="K405">
            <v>280000</v>
          </cell>
          <cell r="L405">
            <v>336000</v>
          </cell>
          <cell r="M405" t="str">
            <v>Fonctionnement</v>
          </cell>
        </row>
        <row r="406">
          <cell r="A406">
            <v>2018</v>
          </cell>
          <cell r="C406" t="str">
            <v>DIRECTION CENTRALE DE LA PRODUCTION ET DE L'ANTENNE</v>
          </cell>
          <cell r="I406" t="str">
            <v>AOO</v>
          </cell>
          <cell r="K406">
            <v>300000</v>
          </cell>
          <cell r="L406">
            <v>360000</v>
          </cell>
          <cell r="M406" t="str">
            <v>Fonctionnement</v>
          </cell>
        </row>
        <row r="407">
          <cell r="A407">
            <v>2018</v>
          </cell>
          <cell r="C407" t="str">
            <v>DIRECTION CENTRALE DE LA PRODUCTION ET DE L'ANTENNE</v>
          </cell>
          <cell r="I407" t="str">
            <v>AOO</v>
          </cell>
          <cell r="K407">
            <v>250000</v>
          </cell>
          <cell r="L407">
            <v>300000</v>
          </cell>
          <cell r="M407" t="str">
            <v>Fonctionnement</v>
          </cell>
        </row>
        <row r="408">
          <cell r="A408">
            <v>2018</v>
          </cell>
          <cell r="C408" t="str">
            <v>DIRECTION CENTRALE DE LA PRODUCTION ET DE L'ANTENNE</v>
          </cell>
          <cell r="I408" t="str">
            <v>AOO</v>
          </cell>
          <cell r="K408">
            <v>800000</v>
          </cell>
          <cell r="L408">
            <v>960000</v>
          </cell>
          <cell r="M408" t="str">
            <v>Fonctionnement</v>
          </cell>
        </row>
        <row r="409">
          <cell r="A409">
            <v>2018</v>
          </cell>
          <cell r="C409" t="str">
            <v>DIRECTION CENTRALE DE LA PRODUCTION ET DE L'ANTENNE</v>
          </cell>
          <cell r="I409" t="str">
            <v>AOO</v>
          </cell>
          <cell r="K409">
            <v>250000</v>
          </cell>
          <cell r="L409">
            <v>300000</v>
          </cell>
          <cell r="M409" t="str">
            <v>Fonctionnement</v>
          </cell>
        </row>
        <row r="410">
          <cell r="A410">
            <v>2018</v>
          </cell>
          <cell r="C410" t="str">
            <v>DIRECTION CENTRALE DE LA PRODUCTION ET DE L'ANTENNE</v>
          </cell>
          <cell r="I410" t="str">
            <v>AOO</v>
          </cell>
          <cell r="K410">
            <v>800000</v>
          </cell>
          <cell r="L410">
            <v>960000</v>
          </cell>
          <cell r="M410" t="str">
            <v>Fonctionnement</v>
          </cell>
        </row>
        <row r="411">
          <cell r="A411">
            <v>2018</v>
          </cell>
          <cell r="C411" t="str">
            <v>DIRECTION CENTRALE DE LA PRODUCTION ET DE L'ANTENNE</v>
          </cell>
          <cell r="I411" t="str">
            <v>AOO</v>
          </cell>
          <cell r="K411">
            <v>300000</v>
          </cell>
          <cell r="L411">
            <v>360000</v>
          </cell>
          <cell r="M411" t="str">
            <v>Fonctionnement</v>
          </cell>
        </row>
        <row r="412">
          <cell r="A412">
            <v>2018</v>
          </cell>
          <cell r="C412" t="str">
            <v>DIRECTION CENTRALE DE LA PRODUCTION ET DE L'ANTENNE</v>
          </cell>
          <cell r="I412" t="str">
            <v>AOO</v>
          </cell>
          <cell r="K412">
            <v>300000</v>
          </cell>
          <cell r="L412">
            <v>360000</v>
          </cell>
          <cell r="M412" t="str">
            <v>Fonctionnement</v>
          </cell>
        </row>
        <row r="413">
          <cell r="A413">
            <v>2018</v>
          </cell>
          <cell r="C413" t="str">
            <v>DIRECTION CENTRALE DE LA PRODUCTION ET DE L'ANTENNE</v>
          </cell>
          <cell r="I413" t="str">
            <v>AOO</v>
          </cell>
          <cell r="K413">
            <v>200000</v>
          </cell>
          <cell r="L413">
            <v>200000</v>
          </cell>
          <cell r="M413" t="str">
            <v>Fonctionnement</v>
          </cell>
        </row>
        <row r="414">
          <cell r="A414">
            <v>2018</v>
          </cell>
          <cell r="C414" t="str">
            <v>DIRECTION CENTRALE DE LA PRODUCTION ET DE L'ANTENNE</v>
          </cell>
          <cell r="I414" t="str">
            <v>AOO</v>
          </cell>
          <cell r="K414">
            <v>1032550.4</v>
          </cell>
          <cell r="L414">
            <v>1239060.48</v>
          </cell>
          <cell r="M414" t="str">
            <v>Fonctionnement</v>
          </cell>
        </row>
        <row r="415">
          <cell r="A415">
            <v>2018</v>
          </cell>
          <cell r="C415" t="str">
            <v>DIRECTION CENTRALE DE LA PRODUCTION ET DE L'ANTENNE</v>
          </cell>
          <cell r="I415" t="str">
            <v>AOO</v>
          </cell>
          <cell r="K415">
            <v>1005054.4</v>
          </cell>
          <cell r="L415">
            <v>1206065.28</v>
          </cell>
          <cell r="M415" t="str">
            <v>Fonctionnement</v>
          </cell>
        </row>
        <row r="416">
          <cell r="A416">
            <v>2018</v>
          </cell>
          <cell r="C416" t="str">
            <v>DIRECTION CENTRALE DE LA PRODUCTION ET DE L'ANTENNE</v>
          </cell>
          <cell r="I416" t="str">
            <v>AOO</v>
          </cell>
          <cell r="K416">
            <v>1020252.8</v>
          </cell>
          <cell r="L416">
            <v>1224303.3600000001</v>
          </cell>
          <cell r="M416" t="str">
            <v>Fonctionnement</v>
          </cell>
        </row>
        <row r="417">
          <cell r="A417">
            <v>2018</v>
          </cell>
          <cell r="C417" t="str">
            <v>DIRECTION CENTRALE DE LA PRODUCTION ET DE L'ANTENNE</v>
          </cell>
          <cell r="I417" t="str">
            <v>AOO</v>
          </cell>
          <cell r="K417">
            <v>3618798.3</v>
          </cell>
          <cell r="L417">
            <v>4342557.96</v>
          </cell>
          <cell r="M417" t="str">
            <v>Fonctionnement</v>
          </cell>
        </row>
        <row r="418">
          <cell r="A418">
            <v>2018</v>
          </cell>
          <cell r="C418" t="str">
            <v>DIRECTION CENTRALE DE LA PRODUCTION ET DE L'ANTENNE</v>
          </cell>
          <cell r="I418" t="str">
            <v>AOO</v>
          </cell>
          <cell r="K418">
            <v>1004259.2</v>
          </cell>
          <cell r="L418">
            <v>1205111.04</v>
          </cell>
          <cell r="M418" t="str">
            <v>Fonctionnement</v>
          </cell>
        </row>
        <row r="419">
          <cell r="A419">
            <v>2018</v>
          </cell>
          <cell r="C419" t="str">
            <v>DIRECTION CENTRALE DE LA PRODUCTION ET DE L'ANTENNE</v>
          </cell>
          <cell r="I419" t="str">
            <v>AOO</v>
          </cell>
          <cell r="K419">
            <v>11115462.300000001</v>
          </cell>
          <cell r="L419">
            <v>13338554.76</v>
          </cell>
          <cell r="M419" t="str">
            <v>Fonctionnement</v>
          </cell>
        </row>
        <row r="420">
          <cell r="A420">
            <v>2018</v>
          </cell>
          <cell r="C420" t="str">
            <v>DIRECTION CENTRALE DE LA PRODUCTION ET DE L'ANTENNE</v>
          </cell>
          <cell r="I420" t="str">
            <v>AOO</v>
          </cell>
          <cell r="K420">
            <v>9064070.4000000004</v>
          </cell>
          <cell r="L420">
            <v>10876884.48</v>
          </cell>
          <cell r="M420" t="str">
            <v>Fonctionnement</v>
          </cell>
        </row>
        <row r="421">
          <cell r="A421">
            <v>2018</v>
          </cell>
          <cell r="C421" t="str">
            <v>DIRECTION CENTRALE DE LA PRODUCTION ET DE L'ANTENNE</v>
          </cell>
          <cell r="I421" t="str">
            <v>AOO</v>
          </cell>
          <cell r="K421">
            <v>1009702.4</v>
          </cell>
          <cell r="L421">
            <v>1211642.8799999999</v>
          </cell>
          <cell r="M421" t="str">
            <v>Fonctionnement</v>
          </cell>
        </row>
        <row r="422">
          <cell r="A422">
            <v>2018</v>
          </cell>
          <cell r="C422" t="str">
            <v>DIRECTION CENTRALE DE LA PRODUCTION ET DE L'ANTENNE</v>
          </cell>
          <cell r="I422" t="str">
            <v>AOO</v>
          </cell>
          <cell r="K422">
            <v>1450400</v>
          </cell>
          <cell r="L422">
            <v>1450400</v>
          </cell>
          <cell r="M422" t="str">
            <v>Fonctionnement</v>
          </cell>
        </row>
        <row r="423">
          <cell r="A423">
            <v>2018</v>
          </cell>
          <cell r="C423" t="str">
            <v>DIRECTION CENTRALE DE LA PRODUCTION ET DE L'ANTENNE</v>
          </cell>
          <cell r="I423" t="str">
            <v>AOO</v>
          </cell>
          <cell r="K423">
            <v>1005670.4</v>
          </cell>
          <cell r="L423">
            <v>1206804.48</v>
          </cell>
          <cell r="M423" t="str">
            <v>Fonctionnement</v>
          </cell>
        </row>
        <row r="424">
          <cell r="A424">
            <v>2018</v>
          </cell>
          <cell r="C424" t="str">
            <v>DIRECTION CENTRALE DE LA CHAÎNE TAMAZIGHT</v>
          </cell>
          <cell r="I424" t="str">
            <v>AOO</v>
          </cell>
          <cell r="K424">
            <v>7593264</v>
          </cell>
          <cell r="L424">
            <v>9111916.7999999989</v>
          </cell>
          <cell r="M424" t="str">
            <v>Fonctionnement</v>
          </cell>
        </row>
        <row r="425">
          <cell r="A425">
            <v>2018</v>
          </cell>
          <cell r="C425" t="str">
            <v>DIRECTION CENTRALE DE LA CHAÎNE TAMAZIGHT</v>
          </cell>
          <cell r="I425" t="str">
            <v>AOO</v>
          </cell>
          <cell r="K425">
            <v>1180793.6000000001</v>
          </cell>
          <cell r="L425">
            <v>1180793.6000000001</v>
          </cell>
          <cell r="M425" t="str">
            <v>Fonctionnement</v>
          </cell>
        </row>
        <row r="426">
          <cell r="A426">
            <v>2018</v>
          </cell>
          <cell r="C426" t="str">
            <v>DIRECTION CENTRALE DE LA CHAÎNE TAMAZIGHT</v>
          </cell>
          <cell r="I426" t="str">
            <v>AOO</v>
          </cell>
          <cell r="K426">
            <v>1181868.8</v>
          </cell>
          <cell r="L426">
            <v>1181868.8</v>
          </cell>
          <cell r="M426" t="str">
            <v>Fonctionnement</v>
          </cell>
        </row>
        <row r="427">
          <cell r="A427">
            <v>2018</v>
          </cell>
          <cell r="C427" t="str">
            <v>DIRECTION CENTRALE DE LA CHAÎNE TAMAZIGHT</v>
          </cell>
          <cell r="I427" t="str">
            <v>AOO</v>
          </cell>
          <cell r="K427">
            <v>1000272</v>
          </cell>
          <cell r="L427">
            <v>1200326.3999999999</v>
          </cell>
          <cell r="M427" t="str">
            <v>Fonctionnement</v>
          </cell>
        </row>
        <row r="428">
          <cell r="A428">
            <v>2018</v>
          </cell>
          <cell r="C428" t="str">
            <v>DIRECTION CENTRALE DE LA CHAÎNE TAMAZIGHT</v>
          </cell>
          <cell r="I428" t="str">
            <v>AOO</v>
          </cell>
          <cell r="K428">
            <v>579711.9</v>
          </cell>
          <cell r="L428">
            <v>695654.28</v>
          </cell>
          <cell r="M428" t="str">
            <v>Fonctionnement</v>
          </cell>
        </row>
        <row r="429">
          <cell r="A429">
            <v>2018</v>
          </cell>
          <cell r="C429" t="str">
            <v>DIRECTION CENTRALE DE LA PRODUCTION ET DE L'ANTENNE</v>
          </cell>
          <cell r="I429" t="str">
            <v>AOO</v>
          </cell>
          <cell r="K429">
            <v>974198.4</v>
          </cell>
          <cell r="L429">
            <v>1169038.08</v>
          </cell>
          <cell r="M429" t="str">
            <v>Fonctionnement</v>
          </cell>
        </row>
        <row r="430">
          <cell r="A430">
            <v>2018</v>
          </cell>
          <cell r="C430" t="str">
            <v>DIRECTION CENTRALE DE LA PRODUCTION ET DE L'ANTENNE</v>
          </cell>
          <cell r="I430" t="str">
            <v>AOO</v>
          </cell>
          <cell r="K430">
            <v>1430688</v>
          </cell>
          <cell r="L430">
            <v>1716825.6</v>
          </cell>
          <cell r="M430" t="str">
            <v>Fonctionnement</v>
          </cell>
        </row>
        <row r="431">
          <cell r="A431">
            <v>2018</v>
          </cell>
          <cell r="C431" t="str">
            <v>DIRECTION CENTRALE DE LA PRODUCTION ET DE L'ANTENNE</v>
          </cell>
          <cell r="I431" t="str">
            <v>AOO</v>
          </cell>
          <cell r="K431">
            <v>1010542.4</v>
          </cell>
          <cell r="L431">
            <v>1212650.8799999999</v>
          </cell>
          <cell r="M431" t="str">
            <v>Fonctionnement</v>
          </cell>
        </row>
        <row r="432">
          <cell r="A432">
            <v>2018</v>
          </cell>
          <cell r="C432" t="str">
            <v>DIRECTION CENTRALE DE LA PRODUCTION ET DE L'ANTENNE</v>
          </cell>
          <cell r="I432" t="str">
            <v>AOO</v>
          </cell>
          <cell r="K432">
            <v>1459808</v>
          </cell>
          <cell r="L432">
            <v>1751769.6</v>
          </cell>
          <cell r="M432" t="str">
            <v>Fonctionnement</v>
          </cell>
        </row>
        <row r="433">
          <cell r="A433">
            <v>2018</v>
          </cell>
          <cell r="C433" t="str">
            <v>DIRECTION CENTRALE DE LA PRODUCTION ET DE L'ANTENNE</v>
          </cell>
          <cell r="I433" t="str">
            <v>AOO</v>
          </cell>
          <cell r="K433">
            <v>11100096</v>
          </cell>
          <cell r="L433">
            <v>13320115.199999999</v>
          </cell>
          <cell r="M433" t="str">
            <v>Fonctionnement</v>
          </cell>
        </row>
        <row r="434">
          <cell r="A434">
            <v>2018</v>
          </cell>
          <cell r="C434" t="str">
            <v>DIRECTION CENTRALE DE LA PRODUCTION ET DE L'ANTENNE</v>
          </cell>
          <cell r="I434" t="str">
            <v>AOO</v>
          </cell>
          <cell r="K434">
            <v>1006734.4</v>
          </cell>
          <cell r="L434">
            <v>1208081.28</v>
          </cell>
          <cell r="M434" t="str">
            <v>Fonctionnement</v>
          </cell>
        </row>
        <row r="435">
          <cell r="A435">
            <v>2018</v>
          </cell>
          <cell r="C435" t="str">
            <v>DIRECTION CENTRALE DE LA PRODUCTION ET DE L'ANTENNE</v>
          </cell>
          <cell r="I435" t="str">
            <v>AOO</v>
          </cell>
          <cell r="K435">
            <v>1459584</v>
          </cell>
          <cell r="L435">
            <v>1751500.8</v>
          </cell>
          <cell r="M435" t="str">
            <v>Fonctionnement</v>
          </cell>
        </row>
        <row r="436">
          <cell r="A436">
            <v>2018</v>
          </cell>
          <cell r="C436" t="str">
            <v>DIRECTION CENTRALE DE LA PRODUCTION ET DE L'ANTENNE</v>
          </cell>
          <cell r="I436" t="str">
            <v>AOO</v>
          </cell>
          <cell r="K436">
            <v>1004774.4</v>
          </cell>
          <cell r="L436">
            <v>1205729.28</v>
          </cell>
          <cell r="M436" t="str">
            <v>Fonctionnement</v>
          </cell>
        </row>
        <row r="437">
          <cell r="A437">
            <v>2018</v>
          </cell>
          <cell r="C437" t="str">
            <v>DIRECTION CENTRALE DE LA PRODUCTION ET DE L'ANTENNE</v>
          </cell>
          <cell r="I437" t="str">
            <v>AOO</v>
          </cell>
          <cell r="K437">
            <v>1000014.4</v>
          </cell>
          <cell r="L437">
            <v>1200017.28</v>
          </cell>
          <cell r="M437" t="str">
            <v>Fonctionnement</v>
          </cell>
        </row>
        <row r="438">
          <cell r="A438">
            <v>2018</v>
          </cell>
          <cell r="C438" t="str">
            <v>DIRECTION CENTRALE DE LA PRODUCTION ET DE L'ANTENNE</v>
          </cell>
          <cell r="I438" t="str">
            <v>AOO</v>
          </cell>
          <cell r="K438">
            <v>1034006.4</v>
          </cell>
          <cell r="L438">
            <v>1240807.68</v>
          </cell>
          <cell r="M438" t="str">
            <v>Fonctionnement</v>
          </cell>
        </row>
        <row r="439">
          <cell r="A439">
            <v>2018</v>
          </cell>
          <cell r="C439" t="str">
            <v>DIRECTION CENTRALE DE LA PRODUCTION ET DE L'ANTENNE</v>
          </cell>
          <cell r="I439" t="str">
            <v>AOO</v>
          </cell>
          <cell r="K439">
            <v>1008179.2</v>
          </cell>
          <cell r="L439">
            <v>1209815.04</v>
          </cell>
          <cell r="M439" t="str">
            <v>Fonctionnement</v>
          </cell>
        </row>
        <row r="440">
          <cell r="A440">
            <v>2018</v>
          </cell>
          <cell r="C440" t="str">
            <v>DIRECTION CENTRALE DE LA PRODUCTION ET DE L'ANTENNE</v>
          </cell>
          <cell r="I440" t="str">
            <v>AOO</v>
          </cell>
          <cell r="K440">
            <v>9027267.2999999989</v>
          </cell>
          <cell r="L440">
            <v>10832720.759999998</v>
          </cell>
          <cell r="M440" t="str">
            <v>Fonctionnement</v>
          </cell>
        </row>
        <row r="441">
          <cell r="A441">
            <v>2018</v>
          </cell>
          <cell r="C441" t="str">
            <v>DIRECTION CENTRALE DE LA PRODUCTION ET DE L'ANTENNE</v>
          </cell>
          <cell r="I441" t="str">
            <v>AOO</v>
          </cell>
          <cell r="K441">
            <v>9102576</v>
          </cell>
          <cell r="L441">
            <v>10923091.199999999</v>
          </cell>
          <cell r="M441" t="str">
            <v>Fonctionnement</v>
          </cell>
        </row>
        <row r="442">
          <cell r="A442">
            <v>2018</v>
          </cell>
          <cell r="C442" t="str">
            <v>DIRECTION CENTRALE DE LA PRODUCTION ET DE L'ANTENNE</v>
          </cell>
          <cell r="I442" t="str">
            <v>AOO</v>
          </cell>
          <cell r="K442">
            <v>11178473.699999999</v>
          </cell>
          <cell r="L442">
            <v>13414168.439999999</v>
          </cell>
          <cell r="M442" t="str">
            <v>Fonctionnement</v>
          </cell>
        </row>
        <row r="443">
          <cell r="A443">
            <v>2018</v>
          </cell>
          <cell r="C443" t="str">
            <v>DIRECTION CENTRALE DE LA PRODUCTION ET DE L'ANTENNE</v>
          </cell>
          <cell r="I443" t="str">
            <v>AOO</v>
          </cell>
          <cell r="K443">
            <v>9236079.9000000004</v>
          </cell>
          <cell r="L443">
            <v>11083295.880000001</v>
          </cell>
          <cell r="M443" t="str">
            <v>Fonctionnement</v>
          </cell>
        </row>
        <row r="444">
          <cell r="A444">
            <v>2018</v>
          </cell>
          <cell r="C444" t="str">
            <v>DIRECTION CENTRALE DE LA PRODUCTION ET DE L'ANTENNE</v>
          </cell>
          <cell r="I444" t="str">
            <v>AOO</v>
          </cell>
          <cell r="K444">
            <v>1008638.4</v>
          </cell>
          <cell r="L444">
            <v>1210366.08</v>
          </cell>
          <cell r="M444" t="str">
            <v>Fonctionnement</v>
          </cell>
        </row>
        <row r="445">
          <cell r="A445">
            <v>2018</v>
          </cell>
          <cell r="C445" t="str">
            <v>DIRECTION CENTRALE DE LA CHAÎNE TAMAZIGHT</v>
          </cell>
          <cell r="I445" t="str">
            <v>AOO</v>
          </cell>
          <cell r="K445">
            <v>1009523.2</v>
          </cell>
          <cell r="L445">
            <v>1211427.8399999999</v>
          </cell>
          <cell r="M445" t="str">
            <v>Fonctionnement</v>
          </cell>
        </row>
        <row r="446">
          <cell r="A446">
            <v>2018</v>
          </cell>
          <cell r="C446" t="str">
            <v>DIRECTION CENTRALE DE LA CHAÎNE TAMAZIGHT</v>
          </cell>
          <cell r="I446" t="str">
            <v>AOO</v>
          </cell>
          <cell r="K446">
            <v>1131715.2</v>
          </cell>
          <cell r="L446">
            <v>1358058.24</v>
          </cell>
          <cell r="M446" t="str">
            <v>Fonctionnement</v>
          </cell>
        </row>
        <row r="447">
          <cell r="A447">
            <v>2018</v>
          </cell>
          <cell r="C447" t="str">
            <v>DIRECTION CENTRALE DE LA CHAÎNE TAMAZIGHT</v>
          </cell>
          <cell r="I447" t="str">
            <v>AOO</v>
          </cell>
          <cell r="K447">
            <v>2374287.9</v>
          </cell>
          <cell r="L447">
            <v>2849145.48</v>
          </cell>
          <cell r="M447" t="str">
            <v>Fonctionnement</v>
          </cell>
        </row>
        <row r="448">
          <cell r="A448">
            <v>2018</v>
          </cell>
          <cell r="C448" t="str">
            <v>DIRECTION CENTRALE DE LA CHAÎNE TAMAZIGHT</v>
          </cell>
          <cell r="I448" t="str">
            <v>AOO</v>
          </cell>
          <cell r="K448">
            <v>1371529.6</v>
          </cell>
          <cell r="L448">
            <v>1645835.52</v>
          </cell>
          <cell r="M448" t="str">
            <v>Fonctionnement</v>
          </cell>
        </row>
        <row r="449">
          <cell r="A449">
            <v>2018</v>
          </cell>
          <cell r="C449" t="str">
            <v>DIRECTION CENTRALE DE LA CHAÎNE TAMAZIGHT</v>
          </cell>
          <cell r="I449" t="str">
            <v>AOO</v>
          </cell>
          <cell r="K449">
            <v>1021462.4</v>
          </cell>
          <cell r="L449">
            <v>1225754.8799999999</v>
          </cell>
          <cell r="M449" t="str">
            <v>Fonctionnement</v>
          </cell>
        </row>
        <row r="450">
          <cell r="A450">
            <v>2018</v>
          </cell>
          <cell r="C450" t="str">
            <v>DIRECTION CENTRALE DE LA CHAÎNE TAMAZIGHT</v>
          </cell>
          <cell r="I450" t="str">
            <v>AOO</v>
          </cell>
          <cell r="K450">
            <v>1373769.6</v>
          </cell>
          <cell r="L450">
            <v>1648523.52</v>
          </cell>
          <cell r="M450" t="str">
            <v>Fonctionnement</v>
          </cell>
        </row>
        <row r="451">
          <cell r="A451">
            <v>2018</v>
          </cell>
          <cell r="C451" t="str">
            <v>DIRECTION CENTRALE DE LA CHAÎNE TAMAZIGHT</v>
          </cell>
          <cell r="I451" t="str">
            <v>AOO</v>
          </cell>
          <cell r="K451">
            <v>1222244.7</v>
          </cell>
          <cell r="L451">
            <v>1466693.64</v>
          </cell>
          <cell r="M451" t="str">
            <v>Fonctionnement</v>
          </cell>
        </row>
        <row r="452">
          <cell r="A452">
            <v>2018</v>
          </cell>
          <cell r="C452" t="str">
            <v>DIRECTION CENTRALE DE LA CHAÎNE TAMAZIGHT</v>
          </cell>
          <cell r="I452" t="str">
            <v>AOO</v>
          </cell>
          <cell r="K452">
            <v>1031004.8</v>
          </cell>
          <cell r="L452">
            <v>1237205.76</v>
          </cell>
          <cell r="M452" t="str">
            <v>Fonctionnement</v>
          </cell>
        </row>
        <row r="453">
          <cell r="A453">
            <v>2018</v>
          </cell>
          <cell r="C453" t="str">
            <v>DIRECTION CENTRALE DE LA CHAÎNE TAMAZIGHT</v>
          </cell>
          <cell r="I453" t="str">
            <v>AOO</v>
          </cell>
          <cell r="K453">
            <v>1017878.4</v>
          </cell>
          <cell r="L453">
            <v>1221454.08</v>
          </cell>
          <cell r="M453" t="str">
            <v>Fonctionnement</v>
          </cell>
        </row>
        <row r="454">
          <cell r="A454">
            <v>2018</v>
          </cell>
          <cell r="C454" t="str">
            <v>DIRECTION CENTRALE DE LA CHAÎNE TAMAZIGHT</v>
          </cell>
          <cell r="I454" t="str">
            <v>AOO</v>
          </cell>
          <cell r="K454">
            <v>7689696</v>
          </cell>
          <cell r="L454">
            <v>9227635.1999999993</v>
          </cell>
          <cell r="M454" t="str">
            <v>Fonctionnement</v>
          </cell>
        </row>
        <row r="455">
          <cell r="A455">
            <v>2018</v>
          </cell>
          <cell r="C455" t="str">
            <v>DIRECTION CENTRALE DE LA CHAÎNE TAMAZIGHT</v>
          </cell>
          <cell r="I455" t="str">
            <v>AOO</v>
          </cell>
          <cell r="K455">
            <v>1007462.4</v>
          </cell>
          <cell r="L455">
            <v>1208954.8799999999</v>
          </cell>
          <cell r="M455" t="str">
            <v>Fonctionnement</v>
          </cell>
        </row>
        <row r="456">
          <cell r="A456">
            <v>2018</v>
          </cell>
          <cell r="C456" t="str">
            <v>DIRECTION CENTRALE DE LA CHAÎNE TAMAZIGHT</v>
          </cell>
          <cell r="I456" t="str">
            <v>AOO</v>
          </cell>
          <cell r="K456">
            <v>7566608.0999999996</v>
          </cell>
          <cell r="L456">
            <v>9079929.7199999988</v>
          </cell>
          <cell r="M456" t="str">
            <v>Fonctionnement</v>
          </cell>
        </row>
        <row r="457">
          <cell r="A457">
            <v>2018</v>
          </cell>
          <cell r="C457" t="str">
            <v xml:space="preserve">DIRECTION CENTRALE DE LA CHAINE TV LAAYOUNE </v>
          </cell>
          <cell r="I457" t="str">
            <v>AOO</v>
          </cell>
          <cell r="K457">
            <v>488656</v>
          </cell>
          <cell r="L457">
            <v>488656</v>
          </cell>
          <cell r="M457" t="str">
            <v>Fonctionnement</v>
          </cell>
        </row>
        <row r="458">
          <cell r="A458">
            <v>2018</v>
          </cell>
          <cell r="C458" t="str">
            <v xml:space="preserve">DIRECTION CENTRALE DE LA CHAINE TV LAAYOUNE </v>
          </cell>
          <cell r="I458" t="str">
            <v>AOO</v>
          </cell>
          <cell r="K458">
            <v>3218185.5</v>
          </cell>
          <cell r="L458">
            <v>3218185.5</v>
          </cell>
          <cell r="M458" t="str">
            <v>Fonctionnement</v>
          </cell>
        </row>
        <row r="459">
          <cell r="A459">
            <v>2018</v>
          </cell>
          <cell r="C459" t="str">
            <v xml:space="preserve">DIRECTION CENTRALE DE LA CHAINE TV LAAYOUNE </v>
          </cell>
          <cell r="I459" t="str">
            <v>AOO</v>
          </cell>
          <cell r="K459">
            <v>3295465.5</v>
          </cell>
          <cell r="L459">
            <v>3295465.5</v>
          </cell>
          <cell r="M459" t="str">
            <v>Fonctionnement</v>
          </cell>
        </row>
        <row r="460">
          <cell r="A460">
            <v>2018</v>
          </cell>
          <cell r="C460" t="str">
            <v xml:space="preserve">DIRECTION CENTRALE DE LA CHAINE TV LAAYOUNE </v>
          </cell>
          <cell r="I460" t="str">
            <v>AOO</v>
          </cell>
          <cell r="K460">
            <v>724640.04</v>
          </cell>
          <cell r="L460">
            <v>724640.04</v>
          </cell>
          <cell r="M460" t="str">
            <v>Fonctionnement</v>
          </cell>
        </row>
        <row r="461">
          <cell r="A461">
            <v>2018</v>
          </cell>
          <cell r="C461" t="str">
            <v xml:space="preserve">DIRECTION CENTRALE DE LA CHAINE TV LAAYOUNE </v>
          </cell>
          <cell r="I461" t="str">
            <v>AOO</v>
          </cell>
          <cell r="K461">
            <v>1767416.1</v>
          </cell>
          <cell r="L461">
            <v>1767416.1</v>
          </cell>
          <cell r="M461" t="str">
            <v>Fonctionnement</v>
          </cell>
        </row>
        <row r="462">
          <cell r="A462">
            <v>2018</v>
          </cell>
          <cell r="C462" t="str">
            <v>DIRECTION CENTRALE DE LA PRODUCTION ET DE L'ANTENNE</v>
          </cell>
          <cell r="I462" t="str">
            <v>AOO</v>
          </cell>
          <cell r="K462">
            <v>2186217.6</v>
          </cell>
          <cell r="L462">
            <v>2623461.12</v>
          </cell>
          <cell r="M462" t="str">
            <v>Fonctionnement</v>
          </cell>
        </row>
        <row r="463">
          <cell r="A463">
            <v>2018</v>
          </cell>
          <cell r="C463" t="str">
            <v>DIRECTION CENTRALE DE LA PRODUCTION ET DE L'ANTENNE</v>
          </cell>
          <cell r="I463" t="str">
            <v>AOO</v>
          </cell>
          <cell r="K463">
            <v>1661408</v>
          </cell>
          <cell r="L463">
            <v>1661408</v>
          </cell>
          <cell r="M463" t="str">
            <v>Fonctionnement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>
        <row r="2">
          <cell r="A2" t="str">
            <v>TECHNIQUE</v>
          </cell>
        </row>
        <row r="3">
          <cell r="A3" t="str">
            <v>TELEDIFFUSION</v>
          </cell>
        </row>
        <row r="4">
          <cell r="A4" t="str">
            <v>ACHATS</v>
          </cell>
        </row>
        <row r="5">
          <cell r="A5" t="str">
            <v>FINANCES</v>
          </cell>
        </row>
        <row r="6">
          <cell r="A6" t="str">
            <v>RESSOURCES HUMAINES</v>
          </cell>
        </row>
        <row r="7">
          <cell r="A7" t="str">
            <v>DPMG</v>
          </cell>
        </row>
        <row r="8">
          <cell r="A8" t="str">
            <v>JURIDIQUE</v>
          </cell>
        </row>
        <row r="9">
          <cell r="A9" t="str">
            <v>DRI</v>
          </cell>
        </row>
        <row r="10">
          <cell r="A10" t="str">
            <v>AUDIT ET CONTRÔLE DE LA GESTION</v>
          </cell>
        </row>
        <row r="11">
          <cell r="A11" t="str">
            <v>INFORMATION RADIO</v>
          </cell>
        </row>
        <row r="12">
          <cell r="A12" t="str">
            <v>INFORMATION TV</v>
          </cell>
        </row>
        <row r="13">
          <cell r="A13" t="str">
            <v>RADIO PROD PROG</v>
          </cell>
        </row>
        <row r="14">
          <cell r="A14" t="str">
            <v xml:space="preserve">REGIE PUBLICITAIRE </v>
          </cell>
        </row>
        <row r="15">
          <cell r="A15" t="str">
            <v>MARKETING ET PROG TV</v>
          </cell>
        </row>
        <row r="16">
          <cell r="A16" t="str">
            <v>COMMUNICATION</v>
          </cell>
        </row>
        <row r="17">
          <cell r="A17" t="str">
            <v>ALMAGHRIBIA</v>
          </cell>
        </row>
        <row r="18">
          <cell r="A18" t="str">
            <v xml:space="preserve">LAAYOUNE </v>
          </cell>
        </row>
        <row r="19">
          <cell r="A19" t="str">
            <v>ARRYADIA</v>
          </cell>
        </row>
        <row r="20">
          <cell r="A20" t="str">
            <v>TAMAZIGHT</v>
          </cell>
        </row>
        <row r="21">
          <cell r="A21" t="str">
            <v>ALAOULA</v>
          </cell>
        </row>
        <row r="22">
          <cell r="A22" t="str">
            <v>QUATRIEME</v>
          </cell>
        </row>
        <row r="23">
          <cell r="A23" t="str">
            <v>ASSADISSA ET RADIO COR</v>
          </cell>
        </row>
        <row r="24">
          <cell r="A24" t="str">
            <v>DSI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>
        <row r="1">
          <cell r="A1" t="str">
            <v>Année</v>
          </cell>
          <cell r="B1" t="str">
            <v>Direction Concernée</v>
          </cell>
          <cell r="O1" t="str">
            <v>Mt Total en DH TTC</v>
          </cell>
          <cell r="Q1" t="str">
            <v>Nature</v>
          </cell>
        </row>
        <row r="2">
          <cell r="A2">
            <v>2016</v>
          </cell>
          <cell r="B2" t="str">
            <v>DIRECTION TECHNIQUE</v>
          </cell>
          <cell r="O2">
            <v>4795514.3880000003</v>
          </cell>
          <cell r="Q2" t="str">
            <v>Investissement</v>
          </cell>
        </row>
        <row r="3">
          <cell r="A3">
            <v>2016</v>
          </cell>
          <cell r="B3" t="str">
            <v>DIRECTION DE LA TELEDIFFUSION</v>
          </cell>
          <cell r="O3">
            <v>1037280</v>
          </cell>
          <cell r="Q3" t="str">
            <v>Investissement</v>
          </cell>
        </row>
        <row r="4">
          <cell r="A4">
            <v>2016</v>
          </cell>
          <cell r="B4" t="str">
            <v>DIRECTION DE LA TELEDIFFUSION</v>
          </cell>
          <cell r="O4">
            <v>6345394.7999999998</v>
          </cell>
          <cell r="Q4" t="str">
            <v>Investissement</v>
          </cell>
        </row>
        <row r="5">
          <cell r="A5">
            <v>2016</v>
          </cell>
          <cell r="B5" t="str">
            <v>DIRECTION DE LA TELEDIFFUSION</v>
          </cell>
          <cell r="O5">
            <v>2414875.2000000002</v>
          </cell>
          <cell r="Q5" t="str">
            <v>Investissement</v>
          </cell>
        </row>
        <row r="6">
          <cell r="A6">
            <v>2016</v>
          </cell>
          <cell r="B6" t="str">
            <v>DIRECTION TECHNIQUE</v>
          </cell>
          <cell r="O6">
            <v>8123519.2999999998</v>
          </cell>
          <cell r="Q6" t="str">
            <v>Investissement</v>
          </cell>
        </row>
        <row r="7">
          <cell r="A7">
            <v>2016</v>
          </cell>
          <cell r="B7" t="str">
            <v>DIRECTION DU PATRIMOINE  ET DES MOYENS GENERAUX</v>
          </cell>
          <cell r="O7">
            <v>1799400</v>
          </cell>
          <cell r="Q7" t="str">
            <v>Fonctionnement</v>
          </cell>
        </row>
        <row r="8">
          <cell r="A8">
            <v>2016</v>
          </cell>
          <cell r="B8" t="str">
            <v>DIRECTION TECHNIQUE</v>
          </cell>
          <cell r="O8">
            <v>5856746.3799999999</v>
          </cell>
          <cell r="Q8" t="str">
            <v>Investissement</v>
          </cell>
        </row>
        <row r="9">
          <cell r="A9">
            <v>2016</v>
          </cell>
          <cell r="B9" t="str">
            <v>DIRECTION DU PATRIMOINE  ET DES MOYENS GENERAUX</v>
          </cell>
          <cell r="O9">
            <v>2856530.88</v>
          </cell>
          <cell r="Q9" t="str">
            <v>Fonctionnement</v>
          </cell>
        </row>
        <row r="10">
          <cell r="A10">
            <v>2016</v>
          </cell>
          <cell r="B10" t="str">
            <v>DIRECTION DU PATRIMOINE  ET DES MOYENS GENERAUX</v>
          </cell>
          <cell r="O10">
            <v>368527.5</v>
          </cell>
          <cell r="Q10" t="str">
            <v>Fonctionnement</v>
          </cell>
        </row>
        <row r="11">
          <cell r="A11">
            <v>2016</v>
          </cell>
          <cell r="B11" t="str">
            <v>DIRECTION TECHNIQUE</v>
          </cell>
          <cell r="O11">
            <v>3196369.6799999997</v>
          </cell>
          <cell r="Q11" t="str">
            <v>Investissement</v>
          </cell>
        </row>
        <row r="12">
          <cell r="A12">
            <v>2016</v>
          </cell>
          <cell r="B12" t="str">
            <v>DIRECTION DES RESSOURCES HUMAINES</v>
          </cell>
          <cell r="O12">
            <v>1979864.4</v>
          </cell>
          <cell r="Q12" t="str">
            <v>Investissement</v>
          </cell>
        </row>
        <row r="13">
          <cell r="A13">
            <v>2016</v>
          </cell>
          <cell r="B13" t="str">
            <v>DIRECTION DE LA TELEDIFFUSION</v>
          </cell>
          <cell r="O13">
            <v>4752960</v>
          </cell>
          <cell r="Q13" t="str">
            <v>Investissement</v>
          </cell>
        </row>
        <row r="14">
          <cell r="A14">
            <v>2016</v>
          </cell>
          <cell r="B14" t="str">
            <v>DIRECTION TECHNIQUE</v>
          </cell>
          <cell r="O14">
            <v>7107015.3263999987</v>
          </cell>
          <cell r="Q14" t="str">
            <v>Investissement</v>
          </cell>
        </row>
        <row r="15">
          <cell r="A15">
            <v>2016</v>
          </cell>
          <cell r="B15" t="str">
            <v>DIRECTION TECHNIQUE</v>
          </cell>
          <cell r="O15">
            <v>1364060.88</v>
          </cell>
          <cell r="Q15" t="str">
            <v>Investissement</v>
          </cell>
        </row>
        <row r="16">
          <cell r="A16">
            <v>2016</v>
          </cell>
          <cell r="B16" t="str">
            <v>DIRECTION TECHNIQUE</v>
          </cell>
          <cell r="O16">
            <v>1968668.198808</v>
          </cell>
          <cell r="Q16" t="str">
            <v>Fonctionnement</v>
          </cell>
        </row>
        <row r="17">
          <cell r="A17">
            <v>2016</v>
          </cell>
          <cell r="B17" t="str">
            <v>DIRECTION TECHNIQUE</v>
          </cell>
          <cell r="O17">
            <v>5680569.749760001</v>
          </cell>
          <cell r="Q17" t="str">
            <v>Investissement</v>
          </cell>
        </row>
        <row r="18">
          <cell r="A18">
            <v>2016</v>
          </cell>
          <cell r="B18" t="str">
            <v>DIRECTION TECHNIQUE</v>
          </cell>
          <cell r="O18">
            <v>827703.89</v>
          </cell>
          <cell r="Q18" t="str">
            <v>Investissement</v>
          </cell>
        </row>
        <row r="19">
          <cell r="A19">
            <v>2016</v>
          </cell>
          <cell r="B19" t="str">
            <v>DIRECTION TECHNIQUE</v>
          </cell>
          <cell r="O19">
            <v>1259663.9932800001</v>
          </cell>
          <cell r="Q19" t="str">
            <v>Fonctionnement</v>
          </cell>
        </row>
        <row r="20">
          <cell r="A20">
            <v>2016</v>
          </cell>
          <cell r="B20" t="str">
            <v>DIRECTION TECHNIQUE</v>
          </cell>
          <cell r="O20">
            <v>12851598.24</v>
          </cell>
          <cell r="Q20" t="str">
            <v>Investissement</v>
          </cell>
        </row>
        <row r="21">
          <cell r="A21">
            <v>2016</v>
          </cell>
          <cell r="B21" t="str">
            <v>DIRECTION TECHNIQUE</v>
          </cell>
          <cell r="O21">
            <v>3623837.8003200004</v>
          </cell>
          <cell r="Q21" t="str">
            <v>Investissement</v>
          </cell>
        </row>
        <row r="22">
          <cell r="A22">
            <v>2016</v>
          </cell>
          <cell r="B22" t="str">
            <v>DIRECTION TECHNIQUE</v>
          </cell>
          <cell r="O22">
            <v>1238528.1024000002</v>
          </cell>
          <cell r="Q22" t="str">
            <v>Investissement</v>
          </cell>
        </row>
        <row r="23">
          <cell r="A23">
            <v>2016</v>
          </cell>
          <cell r="B23" t="str">
            <v>DIRECTION DE LA TELEDIFFUSION</v>
          </cell>
          <cell r="O23">
            <v>4264965</v>
          </cell>
          <cell r="Q23" t="str">
            <v>Investissement</v>
          </cell>
        </row>
        <row r="24">
          <cell r="A24">
            <v>2016</v>
          </cell>
          <cell r="B24" t="str">
            <v>DIRECTION DE LA TELEDIFFUSION</v>
          </cell>
          <cell r="O24">
            <v>8387915.9947199998</v>
          </cell>
          <cell r="Q24" t="str">
            <v>Investissement</v>
          </cell>
        </row>
        <row r="25">
          <cell r="A25">
            <v>2016</v>
          </cell>
          <cell r="B25" t="str">
            <v>DIRECTION DE LA TELEDIFFUSION</v>
          </cell>
          <cell r="O25">
            <v>2571960</v>
          </cell>
          <cell r="Q25" t="str">
            <v>Investissement</v>
          </cell>
        </row>
        <row r="26">
          <cell r="A26">
            <v>2016</v>
          </cell>
          <cell r="B26" t="str">
            <v>DIRECTION TECHNIQUE</v>
          </cell>
          <cell r="O26">
            <v>2246816.7599999998</v>
          </cell>
          <cell r="Q26" t="str">
            <v>Fonctionnement</v>
          </cell>
        </row>
        <row r="27">
          <cell r="A27">
            <v>2016</v>
          </cell>
          <cell r="B27" t="str">
            <v>DIRECTION TECHNIQUE</v>
          </cell>
          <cell r="O27">
            <v>1370246.7804</v>
          </cell>
          <cell r="Q27" t="str">
            <v>Fonctionnement</v>
          </cell>
        </row>
        <row r="28">
          <cell r="A28">
            <v>2016</v>
          </cell>
          <cell r="B28" t="str">
            <v>DIRECTION DES SYSTEMES D'INFORMATION</v>
          </cell>
          <cell r="O28">
            <v>1293655.2</v>
          </cell>
          <cell r="Q28" t="str">
            <v>Fonctionnement</v>
          </cell>
        </row>
        <row r="29">
          <cell r="A29">
            <v>2016</v>
          </cell>
          <cell r="B29" t="str">
            <v>DIRECTION DU PATRIMOINE  ET DES MOYENS GENERAUX</v>
          </cell>
          <cell r="O29">
            <v>1071405</v>
          </cell>
          <cell r="Q29" t="str">
            <v>Investissement</v>
          </cell>
        </row>
        <row r="30">
          <cell r="A30">
            <v>2016</v>
          </cell>
          <cell r="B30" t="str">
            <v>DIRECTION DE LA TELEDIFFUSION</v>
          </cell>
          <cell r="O30">
            <v>999897.12</v>
          </cell>
          <cell r="Q30" t="str">
            <v>Investissement</v>
          </cell>
        </row>
        <row r="31">
          <cell r="A31">
            <v>2016</v>
          </cell>
          <cell r="B31" t="str">
            <v>DIRECTION DU PATRIMOINE  ET DES MOYENS GENERAUX</v>
          </cell>
          <cell r="O31">
            <v>3160200</v>
          </cell>
          <cell r="Q31" t="str">
            <v>Investissement</v>
          </cell>
        </row>
        <row r="32">
          <cell r="A32">
            <v>2016</v>
          </cell>
          <cell r="B32" t="str">
            <v>DIRECTION DE LA TELEDIFFUSION</v>
          </cell>
          <cell r="O32">
            <v>26015017.265999999</v>
          </cell>
          <cell r="Q32" t="str">
            <v>Investissement</v>
          </cell>
        </row>
        <row r="33">
          <cell r="A33">
            <v>2016</v>
          </cell>
          <cell r="B33" t="str">
            <v>DIRECTION DE LA TELEDIFFUSION</v>
          </cell>
          <cell r="O33">
            <v>2284531.1517600003</v>
          </cell>
          <cell r="Q33" t="str">
            <v>Investissement</v>
          </cell>
        </row>
        <row r="34">
          <cell r="A34">
            <v>2016</v>
          </cell>
          <cell r="B34" t="str">
            <v>DIRECTION DE LA TELEDIFFUSION</v>
          </cell>
          <cell r="O34">
            <v>1161359.5131600001</v>
          </cell>
          <cell r="Q34" t="str">
            <v>Investissement</v>
          </cell>
        </row>
        <row r="35">
          <cell r="A35">
            <v>2016</v>
          </cell>
          <cell r="B35" t="str">
            <v>DIRECTION DE LA TELEDIFFUSION</v>
          </cell>
          <cell r="O35">
            <v>1971906.1596000004</v>
          </cell>
          <cell r="Q35" t="str">
            <v>Investissement</v>
          </cell>
        </row>
        <row r="36">
          <cell r="A36">
            <v>2016</v>
          </cell>
          <cell r="B36" t="str">
            <v>DIRECTION DU PATRIMOINE  ET DES MOYENS GENERAUX</v>
          </cell>
          <cell r="O36">
            <v>3726242.4</v>
          </cell>
          <cell r="Q36" t="str">
            <v>Investissement</v>
          </cell>
        </row>
        <row r="37">
          <cell r="A37">
            <v>2016</v>
          </cell>
          <cell r="B37" t="str">
            <v>DIRECTION DE LA TELEDIFFUSION</v>
          </cell>
          <cell r="O37">
            <v>2252074.8410999998</v>
          </cell>
          <cell r="Q37" t="str">
            <v>Investissement</v>
          </cell>
        </row>
        <row r="38">
          <cell r="A38">
            <v>2016</v>
          </cell>
          <cell r="B38" t="str">
            <v>DIRECTION DE LA TELEDIFFUSION</v>
          </cell>
          <cell r="O38">
            <v>2963139.264</v>
          </cell>
          <cell r="Q38" t="str">
            <v>Investissement</v>
          </cell>
        </row>
        <row r="39">
          <cell r="A39">
            <v>2016</v>
          </cell>
          <cell r="B39" t="str">
            <v>DIRECTION DE LA TELEDIFFUSION</v>
          </cell>
          <cell r="O39">
            <v>3518639.1359999999</v>
          </cell>
          <cell r="Q39" t="str">
            <v>Investissement</v>
          </cell>
        </row>
        <row r="40">
          <cell r="A40">
            <v>2016</v>
          </cell>
          <cell r="B40" t="str">
            <v>DIRECTION DE LA TELEDIFFUSION</v>
          </cell>
          <cell r="O40">
            <v>1635912.696</v>
          </cell>
          <cell r="Q40" t="str">
            <v>Fonctionnement</v>
          </cell>
        </row>
        <row r="41">
          <cell r="A41">
            <v>2016</v>
          </cell>
          <cell r="B41" t="str">
            <v>DIRECTION DE LA REGIE PUBLICITAIRE ET DES SOLUTIONS DIGITALES</v>
          </cell>
          <cell r="O41">
            <v>3831486.0959999999</v>
          </cell>
          <cell r="Q41" t="str">
            <v>Investissement</v>
          </cell>
        </row>
        <row r="42">
          <cell r="A42">
            <v>2016</v>
          </cell>
          <cell r="B42" t="str">
            <v>DIRECTION TECHNIQUE</v>
          </cell>
          <cell r="O42">
            <v>6807024.6143999994</v>
          </cell>
          <cell r="Q42" t="str">
            <v>Investissement</v>
          </cell>
        </row>
        <row r="43">
          <cell r="A43">
            <v>2016</v>
          </cell>
          <cell r="B43" t="str">
            <v>DIRECTION TECHNIQUE</v>
          </cell>
          <cell r="O43">
            <v>13750260.42</v>
          </cell>
          <cell r="Q43" t="str">
            <v>Investissement</v>
          </cell>
        </row>
        <row r="44">
          <cell r="A44">
            <v>2016</v>
          </cell>
          <cell r="B44" t="str">
            <v>DIRECTION TECHNIQUE</v>
          </cell>
          <cell r="O44">
            <v>27949978.43</v>
          </cell>
          <cell r="Q44" t="str">
            <v>Investissement</v>
          </cell>
        </row>
        <row r="45">
          <cell r="A45">
            <v>2016</v>
          </cell>
          <cell r="B45" t="str">
            <v>DIRECTION TECHNIQUE</v>
          </cell>
          <cell r="O45">
            <v>7659105.2300000004</v>
          </cell>
          <cell r="Q45" t="str">
            <v>Investissement</v>
          </cell>
        </row>
        <row r="46">
          <cell r="A46">
            <v>2016</v>
          </cell>
          <cell r="B46" t="str">
            <v>DIRECTION TECHNIQUE</v>
          </cell>
          <cell r="O46">
            <v>2974340.128</v>
          </cell>
          <cell r="Q46" t="str">
            <v>Investissement</v>
          </cell>
        </row>
        <row r="47">
          <cell r="A47">
            <v>2016</v>
          </cell>
          <cell r="B47" t="str">
            <v>DIRECTION TECHNIQUE</v>
          </cell>
          <cell r="O47">
            <v>22771877.204320002</v>
          </cell>
          <cell r="Q47" t="str">
            <v>Investissement</v>
          </cell>
        </row>
        <row r="48">
          <cell r="A48">
            <v>2016</v>
          </cell>
          <cell r="B48" t="str">
            <v>DIRECTION DE LA TELEDIFFUSION</v>
          </cell>
          <cell r="O48">
            <v>2388000</v>
          </cell>
          <cell r="Q48" t="str">
            <v>Investissement</v>
          </cell>
        </row>
        <row r="49">
          <cell r="A49">
            <v>2016</v>
          </cell>
          <cell r="B49" t="str">
            <v>DIRECTION TECHNIQUE</v>
          </cell>
          <cell r="O49">
            <v>3470364.72</v>
          </cell>
          <cell r="Q49" t="str">
            <v>Fonctionnement</v>
          </cell>
        </row>
        <row r="50">
          <cell r="A50">
            <v>2017</v>
          </cell>
          <cell r="B50" t="str">
            <v>DIRECTION DE LA TELEDIFFUSION</v>
          </cell>
          <cell r="O50">
            <v>5402112</v>
          </cell>
          <cell r="Q50" t="str">
            <v>Investissement</v>
          </cell>
        </row>
        <row r="51">
          <cell r="A51">
            <v>2017</v>
          </cell>
          <cell r="B51" t="str">
            <v>DIRECTION DE LA TELEDIFFUSION</v>
          </cell>
          <cell r="O51">
            <v>2808708</v>
          </cell>
          <cell r="Q51" t="str">
            <v>Investissement</v>
          </cell>
        </row>
        <row r="52">
          <cell r="A52">
            <v>2016</v>
          </cell>
          <cell r="B52" t="str">
            <v>DIRECTION DE LA TELEDIFFUSION</v>
          </cell>
          <cell r="O52">
            <v>4193532</v>
          </cell>
          <cell r="Q52" t="str">
            <v>Investissement</v>
          </cell>
        </row>
        <row r="53">
          <cell r="A53">
            <v>2017</v>
          </cell>
          <cell r="B53" t="str">
            <v>DIRECTION DE LA TELEDIFFUSION</v>
          </cell>
          <cell r="O53">
            <v>3984462</v>
          </cell>
          <cell r="Q53" t="str">
            <v>Investissement</v>
          </cell>
        </row>
        <row r="54">
          <cell r="A54">
            <v>2017</v>
          </cell>
          <cell r="B54" t="str">
            <v>DIRECTION DE LA TELEDIFFUSION</v>
          </cell>
          <cell r="O54">
            <v>3621070</v>
          </cell>
          <cell r="Q54" t="str">
            <v>Investissement</v>
          </cell>
        </row>
        <row r="55">
          <cell r="A55">
            <v>2017</v>
          </cell>
          <cell r="B55" t="str">
            <v>DIRECTION DE LA TELEDIFFUSION</v>
          </cell>
          <cell r="O55">
            <v>4514700</v>
          </cell>
          <cell r="Q55" t="str">
            <v>Investissement</v>
          </cell>
        </row>
        <row r="56">
          <cell r="A56">
            <v>2017</v>
          </cell>
          <cell r="B56" t="str">
            <v>DIRECTION DE LA TELEDIFFUSION</v>
          </cell>
          <cell r="O56">
            <v>14017266.451199997</v>
          </cell>
          <cell r="Q56" t="str">
            <v>Investissement</v>
          </cell>
        </row>
        <row r="57">
          <cell r="A57">
            <v>2017</v>
          </cell>
          <cell r="B57" t="str">
            <v>DIRECTION DE LA TELEDIFFUSION</v>
          </cell>
          <cell r="O57">
            <v>5988000</v>
          </cell>
          <cell r="Q57" t="str">
            <v>Investissement</v>
          </cell>
        </row>
        <row r="58">
          <cell r="A58">
            <v>2016</v>
          </cell>
          <cell r="B58" t="str">
            <v>DIRECTION DE LA TELEDIFFUSION</v>
          </cell>
          <cell r="O58">
            <v>1317553.152</v>
          </cell>
          <cell r="Q58" t="str">
            <v>Investissement</v>
          </cell>
        </row>
        <row r="59">
          <cell r="A59">
            <v>2016</v>
          </cell>
          <cell r="B59" t="str">
            <v>DIRECTION DE LA TELEDIFFUSION</v>
          </cell>
          <cell r="O59">
            <v>2776095.84</v>
          </cell>
          <cell r="Q59" t="str">
            <v>Investissement</v>
          </cell>
        </row>
        <row r="60">
          <cell r="A60">
            <v>2016</v>
          </cell>
          <cell r="B60" t="str">
            <v>DIRECTION DU PATRIMOINE  ET DES MOYENS GENERAUX</v>
          </cell>
          <cell r="O60">
            <v>1363200</v>
          </cell>
          <cell r="Q60" t="str">
            <v>Investissement</v>
          </cell>
        </row>
        <row r="61">
          <cell r="A61">
            <v>2017</v>
          </cell>
          <cell r="B61" t="str">
            <v>DIRECTION DE LA TELEDIFFUSION</v>
          </cell>
          <cell r="O61">
            <v>710160</v>
          </cell>
          <cell r="Q61" t="str">
            <v>Investissement</v>
          </cell>
        </row>
        <row r="62">
          <cell r="A62">
            <v>2017</v>
          </cell>
          <cell r="B62" t="str">
            <v>DIRECTION DE LA TELEDIFFUSION</v>
          </cell>
          <cell r="O62">
            <v>266130.44639999996</v>
          </cell>
          <cell r="Q62" t="str">
            <v>Investissement</v>
          </cell>
        </row>
        <row r="63">
          <cell r="A63">
            <v>2017</v>
          </cell>
          <cell r="B63" t="str">
            <v>DIRECTION TECHNIQUE</v>
          </cell>
          <cell r="O63">
            <v>2336438.5920000002</v>
          </cell>
          <cell r="Q63" t="str">
            <v>Investissement</v>
          </cell>
        </row>
        <row r="64">
          <cell r="A64">
            <v>2017</v>
          </cell>
          <cell r="B64" t="str">
            <v>DIRECTION DE LA TELEDIFFUSION</v>
          </cell>
          <cell r="O64">
            <v>3067034.88</v>
          </cell>
          <cell r="Q64" t="str">
            <v>Investissement</v>
          </cell>
        </row>
        <row r="65">
          <cell r="A65">
            <v>2017</v>
          </cell>
          <cell r="B65" t="str">
            <v>DIRECTION DE LA TELEDIFFUSION</v>
          </cell>
          <cell r="O65">
            <v>652951.67999999993</v>
          </cell>
          <cell r="Q65" t="str">
            <v>Investissement</v>
          </cell>
        </row>
        <row r="66">
          <cell r="A66">
            <v>2016</v>
          </cell>
          <cell r="B66" t="str">
            <v>DIRECTION DU PATRIMOINE  ET DES MOYENS GENERAUX</v>
          </cell>
          <cell r="O66">
            <v>894146.88</v>
          </cell>
          <cell r="Q66" t="str">
            <v>Fonctionnement</v>
          </cell>
        </row>
        <row r="67">
          <cell r="A67">
            <v>2016</v>
          </cell>
          <cell r="B67" t="str">
            <v>DIRECTION TECHNIQUE</v>
          </cell>
          <cell r="O67">
            <v>577353</v>
          </cell>
          <cell r="Q67" t="str">
            <v>Fonctionnement</v>
          </cell>
        </row>
        <row r="68">
          <cell r="A68">
            <v>2017</v>
          </cell>
          <cell r="B68" t="str">
            <v>DIRECTION DE LA TELEDIFFUSION</v>
          </cell>
          <cell r="O68">
            <v>5900280</v>
          </cell>
          <cell r="Q68" t="str">
            <v>Investissement</v>
          </cell>
        </row>
        <row r="69">
          <cell r="A69">
            <v>2016</v>
          </cell>
          <cell r="B69" t="str">
            <v>DIRECTION DES RESSOURCES HUMAINES</v>
          </cell>
          <cell r="O69">
            <v>228000</v>
          </cell>
          <cell r="Q69" t="str">
            <v>Fonctionnement</v>
          </cell>
        </row>
        <row r="70">
          <cell r="A70">
            <v>2016</v>
          </cell>
          <cell r="B70" t="str">
            <v>DIRECTION DES RESSOURCES HUMAINES</v>
          </cell>
          <cell r="O70">
            <v>76240</v>
          </cell>
          <cell r="Q70" t="str">
            <v>Fonctionnement</v>
          </cell>
        </row>
        <row r="71">
          <cell r="A71">
            <v>2018</v>
          </cell>
          <cell r="B71" t="str">
            <v>DIRECTION DE LA TELEDIFFUSION</v>
          </cell>
          <cell r="O71">
            <v>758064.78</v>
          </cell>
          <cell r="Q71" t="str">
            <v>Investissement</v>
          </cell>
        </row>
        <row r="72">
          <cell r="A72">
            <v>2018</v>
          </cell>
          <cell r="B72" t="str">
            <v>DIRECTION DE LA TELEDIFFUSION</v>
          </cell>
          <cell r="O72">
            <v>714938.80684799992</v>
          </cell>
          <cell r="Q72" t="str">
            <v>Investissement</v>
          </cell>
        </row>
        <row r="73">
          <cell r="A73">
            <v>2018</v>
          </cell>
          <cell r="B73" t="str">
            <v>DIRECTION DE LA TELEDIFFUSION</v>
          </cell>
          <cell r="O73">
            <v>2264460</v>
          </cell>
          <cell r="Q73" t="str">
            <v>Investissement</v>
          </cell>
        </row>
        <row r="74">
          <cell r="A74">
            <v>2018</v>
          </cell>
          <cell r="B74" t="str">
            <v>DIRECTION DE LA TELEDIFFUSION</v>
          </cell>
          <cell r="O74">
            <v>2649876</v>
          </cell>
          <cell r="Q74" t="str">
            <v>Investissement</v>
          </cell>
        </row>
        <row r="75">
          <cell r="A75">
            <v>2018</v>
          </cell>
          <cell r="B75" t="str">
            <v>DIRECTION DE LA TELEDIFFUSION</v>
          </cell>
          <cell r="O75">
            <v>6498960</v>
          </cell>
          <cell r="Q75" t="str">
            <v>Investissement</v>
          </cell>
        </row>
        <row r="76">
          <cell r="A76">
            <v>2018</v>
          </cell>
          <cell r="B76" t="str">
            <v>DIRECTION DE LA TELEDIFFUSION</v>
          </cell>
          <cell r="O76">
            <v>1329059.37552</v>
          </cell>
          <cell r="Q76" t="str">
            <v>Fonctionnement</v>
          </cell>
        </row>
        <row r="77">
          <cell r="A77">
            <v>2018</v>
          </cell>
          <cell r="B77" t="str">
            <v>DIRECTION DE LA TELEDIFFUSION</v>
          </cell>
          <cell r="O77">
            <v>2757744</v>
          </cell>
          <cell r="Q77" t="str">
            <v>Fonctionnement</v>
          </cell>
        </row>
        <row r="78">
          <cell r="A78">
            <v>2018</v>
          </cell>
          <cell r="B78" t="str">
            <v>DIRECTION DE LA TELEDIFFUSION</v>
          </cell>
          <cell r="O78">
            <v>7867930.5</v>
          </cell>
          <cell r="Q78" t="str">
            <v>Investissement</v>
          </cell>
        </row>
        <row r="79">
          <cell r="A79">
            <v>2018</v>
          </cell>
          <cell r="B79" t="str">
            <v>DIRECTION DE LA TELEDIFFUSION</v>
          </cell>
          <cell r="O79">
            <v>13645314.93468</v>
          </cell>
          <cell r="Q79" t="str">
            <v>Fonctionnement</v>
          </cell>
        </row>
        <row r="80">
          <cell r="A80">
            <v>2017</v>
          </cell>
          <cell r="B80" t="str">
            <v>DIRECTION DE LA TELEDIFFUSION</v>
          </cell>
          <cell r="O80">
            <v>1187314.8</v>
          </cell>
          <cell r="Q80" t="str">
            <v>Investissement</v>
          </cell>
        </row>
        <row r="81">
          <cell r="A81">
            <v>2017</v>
          </cell>
          <cell r="B81" t="str">
            <v>DIRECTION DE LA TELEDIFFUSION</v>
          </cell>
          <cell r="O81">
            <v>4321530</v>
          </cell>
          <cell r="Q81" t="str">
            <v>Investissement</v>
          </cell>
        </row>
        <row r="82">
          <cell r="A82">
            <v>2017</v>
          </cell>
          <cell r="B82" t="str">
            <v>DIRECTION DE LA TELEDIFFUSION</v>
          </cell>
          <cell r="O82">
            <v>5675130</v>
          </cell>
          <cell r="Q82" t="str">
            <v>Investissement</v>
          </cell>
        </row>
        <row r="83">
          <cell r="A83">
            <v>2017</v>
          </cell>
          <cell r="B83" t="str">
            <v>DIRECTION TECHNIQUE</v>
          </cell>
          <cell r="O83">
            <v>3238801.8</v>
          </cell>
          <cell r="Q83" t="str">
            <v>Investissement</v>
          </cell>
        </row>
        <row r="84">
          <cell r="A84">
            <v>2017</v>
          </cell>
          <cell r="B84" t="str">
            <v>DIRECTION TECHNIQUE</v>
          </cell>
          <cell r="O84">
            <v>534000</v>
          </cell>
          <cell r="Q84" t="str">
            <v>Investissement</v>
          </cell>
        </row>
        <row r="85">
          <cell r="A85">
            <v>2017</v>
          </cell>
          <cell r="B85" t="str">
            <v>DIRECTION TECHNIQUE</v>
          </cell>
          <cell r="O85">
            <v>17348198.460000001</v>
          </cell>
          <cell r="Q85" t="str">
            <v>Investissement</v>
          </cell>
        </row>
        <row r="86">
          <cell r="A86">
            <v>2017</v>
          </cell>
          <cell r="B86" t="str">
            <v>DIRECTION TECHNIQUE</v>
          </cell>
          <cell r="O86">
            <v>13444619.1</v>
          </cell>
          <cell r="Q86" t="str">
            <v>Investissement</v>
          </cell>
        </row>
        <row r="87">
          <cell r="A87">
            <v>2017</v>
          </cell>
          <cell r="B87" t="str">
            <v>DIRECTION TECHNIQUE</v>
          </cell>
          <cell r="O87">
            <v>3131626.1640000003</v>
          </cell>
          <cell r="Q87" t="str">
            <v>Investissement</v>
          </cell>
        </row>
        <row r="88">
          <cell r="A88">
            <v>2017</v>
          </cell>
          <cell r="B88" t="str">
            <v>DIRECTION DE LA REGIE PUBLICITAIRE ET DES SOLUTIONS DIGITALES</v>
          </cell>
          <cell r="O88">
            <v>1838847.5999999999</v>
          </cell>
          <cell r="Q88" t="str">
            <v>Investissement</v>
          </cell>
        </row>
        <row r="89">
          <cell r="A89">
            <v>2017</v>
          </cell>
          <cell r="B89" t="str">
            <v>DIRECTION MARKETING ET PROGRAMATION TV</v>
          </cell>
          <cell r="O89">
            <v>14844240</v>
          </cell>
          <cell r="Q89" t="str">
            <v>Fonctionnement</v>
          </cell>
        </row>
        <row r="90">
          <cell r="A90">
            <v>2017</v>
          </cell>
          <cell r="B90" t="str">
            <v>DIRECTION MARKETING ET PROGRAMATION TV</v>
          </cell>
          <cell r="O90">
            <v>8108520</v>
          </cell>
          <cell r="Q90" t="str">
            <v>Fonctionnement</v>
          </cell>
        </row>
        <row r="91">
          <cell r="A91">
            <v>2017</v>
          </cell>
          <cell r="B91" t="str">
            <v>DIRECTION MARKETING ET PROGRAMATION TV</v>
          </cell>
          <cell r="O91">
            <v>51854.82</v>
          </cell>
          <cell r="Q91" t="str">
            <v>Fonctionnement</v>
          </cell>
        </row>
        <row r="92">
          <cell r="A92">
            <v>2017</v>
          </cell>
          <cell r="B92" t="str">
            <v>DIRECTION TECHNIQUE</v>
          </cell>
          <cell r="O92">
            <v>12472818.972000001</v>
          </cell>
          <cell r="Q92" t="str">
            <v>Investissement</v>
          </cell>
        </row>
        <row r="93">
          <cell r="A93">
            <v>2017</v>
          </cell>
          <cell r="B93" t="str">
            <v>DIRECTION TECHNIQUE</v>
          </cell>
          <cell r="O93">
            <v>4066973.4</v>
          </cell>
          <cell r="Q93" t="str">
            <v>Investissement</v>
          </cell>
        </row>
        <row r="94">
          <cell r="A94">
            <v>2017</v>
          </cell>
          <cell r="B94" t="str">
            <v>DIRECTION TECHNIQUE</v>
          </cell>
          <cell r="O94">
            <v>3955901.76</v>
          </cell>
          <cell r="Q94" t="str">
            <v>Investissement</v>
          </cell>
        </row>
        <row r="95">
          <cell r="A95">
            <v>2017</v>
          </cell>
          <cell r="B95" t="str">
            <v>DIRECTION TECHNIQUE</v>
          </cell>
          <cell r="O95">
            <v>861243.36</v>
          </cell>
          <cell r="Q95" t="str">
            <v>Investissement</v>
          </cell>
        </row>
        <row r="96">
          <cell r="A96">
            <v>2017</v>
          </cell>
          <cell r="B96" t="str">
            <v>DIRECTION TECHNIQUE</v>
          </cell>
          <cell r="O96">
            <v>3038305.716</v>
          </cell>
          <cell r="Q96" t="str">
            <v>Fonctionnement</v>
          </cell>
        </row>
        <row r="97">
          <cell r="A97">
            <v>2017</v>
          </cell>
          <cell r="B97" t="str">
            <v>DIRECTION DU PATRIMOINE  ET DES MOYENS GENERAUX</v>
          </cell>
          <cell r="O97">
            <v>5285413.29</v>
          </cell>
          <cell r="Q97" t="str">
            <v>Fonctionnement</v>
          </cell>
        </row>
        <row r="98">
          <cell r="A98">
            <v>2017</v>
          </cell>
          <cell r="B98" t="str">
            <v>DIRECTION CENTRALE DE LA CHAÎNE ARRYADIA</v>
          </cell>
          <cell r="O98">
            <v>1663332</v>
          </cell>
          <cell r="Q98" t="str">
            <v>Investissement</v>
          </cell>
        </row>
        <row r="99">
          <cell r="A99">
            <v>2017</v>
          </cell>
          <cell r="B99" t="str">
            <v>DIRECTION DES SYSTEMES D'INFORMATION</v>
          </cell>
          <cell r="O99">
            <v>990480</v>
          </cell>
          <cell r="Q99" t="str">
            <v>Fonctionnement</v>
          </cell>
        </row>
        <row r="100">
          <cell r="A100">
            <v>2017</v>
          </cell>
          <cell r="B100" t="str">
            <v>DIRECTION CENTRALE DE LA CHAÎNE ARRYADIA</v>
          </cell>
          <cell r="O100">
            <v>1547814</v>
          </cell>
          <cell r="Q100" t="str">
            <v>Investissement</v>
          </cell>
        </row>
        <row r="101">
          <cell r="A101">
            <v>2017</v>
          </cell>
          <cell r="B101" t="str">
            <v>DIRECTION CENTRALE DE LA CHAÎNE ARRYADIA</v>
          </cell>
          <cell r="O101">
            <v>1555140</v>
          </cell>
          <cell r="Q101" t="str">
            <v>Investissement</v>
          </cell>
        </row>
        <row r="102">
          <cell r="A102">
            <v>2017</v>
          </cell>
          <cell r="B102" t="str">
            <v>DIRECTION TECHNIQUE</v>
          </cell>
          <cell r="O102">
            <v>1537331.1240000001</v>
          </cell>
          <cell r="Q102" t="str">
            <v>Investissement</v>
          </cell>
        </row>
        <row r="103">
          <cell r="A103">
            <v>2017</v>
          </cell>
          <cell r="B103" t="str">
            <v>DIRECTION TECHNIQUE</v>
          </cell>
          <cell r="O103">
            <v>1891776.4704</v>
          </cell>
          <cell r="Q103" t="str">
            <v>Investissement</v>
          </cell>
        </row>
        <row r="104">
          <cell r="A104">
            <v>2017</v>
          </cell>
          <cell r="B104" t="str">
            <v>DIRECTION TECHNIQUE</v>
          </cell>
          <cell r="O104">
            <v>1688346</v>
          </cell>
          <cell r="Q104" t="str">
            <v>Investissement</v>
          </cell>
        </row>
        <row r="105">
          <cell r="A105">
            <v>2017</v>
          </cell>
          <cell r="B105" t="str">
            <v>DIRECTION TECHNIQUE</v>
          </cell>
          <cell r="O105">
            <v>4618255.0536000002</v>
          </cell>
          <cell r="Q105" t="str">
            <v>Investissement</v>
          </cell>
        </row>
        <row r="106">
          <cell r="A106">
            <v>2017</v>
          </cell>
          <cell r="B106" t="str">
            <v>DIRECTION TECHNIQUE</v>
          </cell>
          <cell r="O106">
            <v>2794016.628</v>
          </cell>
          <cell r="Q106" t="str">
            <v>Investissement</v>
          </cell>
        </row>
        <row r="107">
          <cell r="A107">
            <v>2017</v>
          </cell>
          <cell r="B107" t="str">
            <v>DIRECTION DES SYSTEMES D'INFORMATION</v>
          </cell>
          <cell r="O107">
            <v>5006022</v>
          </cell>
          <cell r="Q107" t="str">
            <v>Investissement</v>
          </cell>
        </row>
        <row r="108">
          <cell r="A108">
            <v>2017</v>
          </cell>
          <cell r="B108" t="str">
            <v>DIRECTION DES SYSTEMES D'INFORMATION</v>
          </cell>
          <cell r="O108">
            <v>1202820</v>
          </cell>
          <cell r="Q108" t="str">
            <v>Investissement</v>
          </cell>
        </row>
        <row r="109">
          <cell r="A109">
            <v>2017</v>
          </cell>
          <cell r="B109" t="str">
            <v>DIRECTION DES RESSOURCES HUMAINES</v>
          </cell>
          <cell r="O109">
            <v>1023789.78</v>
          </cell>
          <cell r="Q109" t="str">
            <v>Fonctionnement</v>
          </cell>
        </row>
        <row r="110">
          <cell r="A110">
            <v>2018</v>
          </cell>
          <cell r="B110" t="str">
            <v>DIRECTION TECHNIQUE</v>
          </cell>
          <cell r="O110">
            <v>1736159.196</v>
          </cell>
          <cell r="Q110" t="str">
            <v>Investissement</v>
          </cell>
        </row>
        <row r="111">
          <cell r="A111">
            <v>2018</v>
          </cell>
          <cell r="B111" t="str">
            <v>DIRECTION TECHNIQUE</v>
          </cell>
          <cell r="O111">
            <v>1140000</v>
          </cell>
          <cell r="Q111" t="str">
            <v>Fonctionnement</v>
          </cell>
        </row>
        <row r="112">
          <cell r="A112">
            <v>2018</v>
          </cell>
          <cell r="B112" t="str">
            <v>DIRECTION DES SYSTEMES D'INFORMATION</v>
          </cell>
          <cell r="O112">
            <v>9841490.4000000004</v>
          </cell>
          <cell r="Q112" t="str">
            <v>Investissement</v>
          </cell>
        </row>
        <row r="113">
          <cell r="A113">
            <v>2018</v>
          </cell>
          <cell r="B113" t="str">
            <v>DIRECTION TECHNIQUE</v>
          </cell>
          <cell r="O113">
            <v>2448003.12</v>
          </cell>
          <cell r="Q113" t="str">
            <v>Investissement</v>
          </cell>
        </row>
        <row r="114">
          <cell r="A114">
            <v>2018</v>
          </cell>
          <cell r="B114" t="str">
            <v>DIRECTION TECHNIQUE</v>
          </cell>
          <cell r="O114">
            <v>10099910.615999999</v>
          </cell>
          <cell r="Q114" t="str">
            <v>Investissement</v>
          </cell>
        </row>
        <row r="115">
          <cell r="A115">
            <v>2018</v>
          </cell>
          <cell r="B115" t="str">
            <v>DIRECTION DE LA TELEDIFFUSION</v>
          </cell>
          <cell r="O115">
            <v>605484</v>
          </cell>
          <cell r="Q115" t="str">
            <v>Investissement</v>
          </cell>
        </row>
        <row r="116">
          <cell r="A116">
            <v>2018</v>
          </cell>
          <cell r="B116" t="str">
            <v>DIRECTION DE LA TELEDIFFUSION</v>
          </cell>
          <cell r="O116">
            <v>2882040</v>
          </cell>
          <cell r="Q116" t="str">
            <v>Investissement</v>
          </cell>
        </row>
        <row r="117">
          <cell r="A117">
            <v>2018</v>
          </cell>
          <cell r="B117" t="str">
            <v>DIRECTION DE LA TELEDIFFUSION</v>
          </cell>
          <cell r="O117">
            <v>1630267.2</v>
          </cell>
          <cell r="Q117" t="str">
            <v>Investissement</v>
          </cell>
        </row>
        <row r="118">
          <cell r="A118">
            <v>2018</v>
          </cell>
          <cell r="B118" t="str">
            <v>DIRECTION DE LA TELEDIFFUSION</v>
          </cell>
          <cell r="O118">
            <v>15628222.440480001</v>
          </cell>
          <cell r="Q118" t="str">
            <v>Investissement</v>
          </cell>
        </row>
        <row r="119">
          <cell r="A119">
            <v>2018</v>
          </cell>
          <cell r="B119" t="str">
            <v>DIRECTION DE LA TELEDIFFUSION</v>
          </cell>
          <cell r="O119">
            <v>7802253.8146800008</v>
          </cell>
          <cell r="Q119" t="str">
            <v>Investissement</v>
          </cell>
        </row>
        <row r="120">
          <cell r="A120">
            <v>2018</v>
          </cell>
          <cell r="B120" t="str">
            <v>DIRECTION DE LA TELEDIFFUSION</v>
          </cell>
          <cell r="O120">
            <v>15453520.383195998</v>
          </cell>
          <cell r="Q120" t="str">
            <v>Investissement</v>
          </cell>
        </row>
        <row r="121">
          <cell r="A121">
            <v>2018</v>
          </cell>
          <cell r="B121" t="str">
            <v>DIRECTION DES SYSTEMES D'INFORMATION</v>
          </cell>
          <cell r="O121">
            <v>289300.42</v>
          </cell>
          <cell r="Q121" t="str">
            <v>Fonctionnement</v>
          </cell>
        </row>
        <row r="122">
          <cell r="A122">
            <v>2018</v>
          </cell>
          <cell r="B122" t="str">
            <v>DIRECTION DU PATRIMOINE  ET DES MOYENS GENERAUX</v>
          </cell>
          <cell r="O122">
            <v>6998627.96</v>
          </cell>
          <cell r="Q122" t="str">
            <v>Fonctionnement</v>
          </cell>
        </row>
        <row r="123">
          <cell r="A123">
            <v>2018</v>
          </cell>
          <cell r="B123" t="str">
            <v>DIRECTION DE LA TELEDIFFUSION</v>
          </cell>
          <cell r="O123">
            <v>13785648</v>
          </cell>
          <cell r="Q123" t="str">
            <v>Investissement</v>
          </cell>
        </row>
        <row r="124">
          <cell r="A124">
            <v>2018</v>
          </cell>
          <cell r="B124" t="str">
            <v>DIRECTION DE LA TELEDIFFUSION</v>
          </cell>
          <cell r="O124">
            <v>13996548</v>
          </cell>
          <cell r="Q124" t="str">
            <v>Investissement</v>
          </cell>
        </row>
        <row r="125">
          <cell r="A125">
            <v>2018</v>
          </cell>
          <cell r="B125" t="str">
            <v>DIRECTION DE LA TELEDIFFUSION</v>
          </cell>
          <cell r="O125">
            <v>13481084.3508</v>
          </cell>
          <cell r="Q125" t="str">
            <v>Investissement</v>
          </cell>
        </row>
        <row r="126">
          <cell r="A126">
            <v>2018</v>
          </cell>
          <cell r="B126" t="str">
            <v>DIRECTION JURIDIQUE</v>
          </cell>
          <cell r="O126">
            <v>2280000</v>
          </cell>
          <cell r="Q126" t="str">
            <v>Fonctionnement</v>
          </cell>
        </row>
        <row r="127">
          <cell r="A127">
            <v>2018</v>
          </cell>
          <cell r="B127" t="str">
            <v>DIRECTION JURIDIQUE</v>
          </cell>
          <cell r="O127">
            <v>612000</v>
          </cell>
          <cell r="Q127" t="str">
            <v>Fonctionnement</v>
          </cell>
        </row>
        <row r="128">
          <cell r="A128">
            <v>2018</v>
          </cell>
          <cell r="B128" t="str">
            <v>DIRECTION DU PATRIMOINE  ET DES MOYENS GENERAUX</v>
          </cell>
          <cell r="O128">
            <v>7170408</v>
          </cell>
          <cell r="Q128" t="str">
            <v>Fonctionnement</v>
          </cell>
        </row>
        <row r="129">
          <cell r="A129">
            <v>2018</v>
          </cell>
          <cell r="B129" t="str">
            <v>DIRECTION DU PATRIMOINE  ET DES MOYENS GENERAUX</v>
          </cell>
          <cell r="O129">
            <v>4398912</v>
          </cell>
          <cell r="Q129" t="str">
            <v>Fonctionnement</v>
          </cell>
        </row>
        <row r="130">
          <cell r="A130">
            <v>2018</v>
          </cell>
          <cell r="B130" t="str">
            <v>DIRECTION DU PATRIMOINE  ET DES MOYENS GENERAUX</v>
          </cell>
          <cell r="O130">
            <v>6066648</v>
          </cell>
          <cell r="Q130" t="str">
            <v>Fonctionnement</v>
          </cell>
        </row>
        <row r="131">
          <cell r="A131">
            <v>2018</v>
          </cell>
          <cell r="B131" t="str">
            <v>DIRECTION DE LA REGIE PUBLICITAIRE ET DES SOLUTIONS DIGITALES</v>
          </cell>
          <cell r="O131">
            <v>2101392</v>
          </cell>
          <cell r="Q131" t="str">
            <v>Fonctionnement</v>
          </cell>
        </row>
        <row r="132">
          <cell r="A132">
            <v>2018</v>
          </cell>
          <cell r="B132" t="str">
            <v>DIRECTION DES SYSTEMES D'INFORMATION</v>
          </cell>
          <cell r="O132">
            <v>4522376.3999999994</v>
          </cell>
          <cell r="Q132" t="str">
            <v>Investissement</v>
          </cell>
        </row>
        <row r="133">
          <cell r="A133">
            <v>2018</v>
          </cell>
          <cell r="B133" t="str">
            <v>DIRECTION DE LA TELEDIFFUSION</v>
          </cell>
          <cell r="O133">
            <v>9620314.3452000003</v>
          </cell>
          <cell r="Q133" t="str">
            <v>Investissement</v>
          </cell>
        </row>
        <row r="134">
          <cell r="A134">
            <v>2018</v>
          </cell>
          <cell r="B134" t="str">
            <v>DIRECTION DE LA TELEDIFFUSION</v>
          </cell>
          <cell r="O134">
            <v>9028616.5965599976</v>
          </cell>
          <cell r="Q134" t="str">
            <v>Investissement</v>
          </cell>
        </row>
        <row r="135">
          <cell r="A135">
            <v>2018</v>
          </cell>
          <cell r="B135" t="str">
            <v>DIRECTION DE LA TELEDIFFUSION</v>
          </cell>
          <cell r="O135">
            <v>35213541.3156</v>
          </cell>
          <cell r="Q135" t="str">
            <v>Investissement</v>
          </cell>
        </row>
        <row r="136">
          <cell r="A136">
            <v>2018</v>
          </cell>
          <cell r="B136" t="str">
            <v>DIRECTION DE LA TELEDIFFUSION</v>
          </cell>
          <cell r="O136">
            <v>3304440</v>
          </cell>
          <cell r="Q136" t="str">
            <v>Investissement</v>
          </cell>
        </row>
        <row r="137">
          <cell r="A137">
            <v>2018</v>
          </cell>
          <cell r="B137" t="str">
            <v>DIRECTION DES SYSTEMES D'INFORMATION</v>
          </cell>
          <cell r="O137">
            <v>934044</v>
          </cell>
          <cell r="Q137" t="str">
            <v>Fonctionnement</v>
          </cell>
        </row>
        <row r="138">
          <cell r="A138">
            <v>2018</v>
          </cell>
          <cell r="B138" t="str">
            <v>DIRECTION DE LA TELEDIFFUSION</v>
          </cell>
          <cell r="O138">
            <v>7665577.1999999993</v>
          </cell>
          <cell r="Q138" t="str">
            <v>Investissement</v>
          </cell>
        </row>
        <row r="139">
          <cell r="A139">
            <v>2018</v>
          </cell>
          <cell r="B139" t="str">
            <v>DIRECTION DE LA TELEDIFFUSION</v>
          </cell>
          <cell r="O139">
            <v>4320940.4369999999</v>
          </cell>
          <cell r="Q139" t="str">
            <v>Investissement</v>
          </cell>
        </row>
        <row r="140">
          <cell r="A140">
            <v>2018</v>
          </cell>
          <cell r="B140" t="str">
            <v>DIRECTION DU PATRIMOINE  ET DES MOYENS GENERAUX</v>
          </cell>
          <cell r="O140">
            <v>5528602.4400000004</v>
          </cell>
          <cell r="Q140" t="str">
            <v>Fonctionnement</v>
          </cell>
        </row>
        <row r="141">
          <cell r="A141">
            <v>2018</v>
          </cell>
          <cell r="B141" t="str">
            <v>DIRECTION DU PATRIMOINE  ET DES MOYENS GENERAUX</v>
          </cell>
          <cell r="O141">
            <v>9320040</v>
          </cell>
          <cell r="Q141" t="str">
            <v>Investissement</v>
          </cell>
        </row>
        <row r="142">
          <cell r="A142">
            <v>2018</v>
          </cell>
          <cell r="B142" t="str">
            <v>DIRECTION TECHNIQUE</v>
          </cell>
          <cell r="O142">
            <v>6069409.6320000002</v>
          </cell>
          <cell r="Q142" t="str">
            <v>Investissement</v>
          </cell>
        </row>
        <row r="143">
          <cell r="A143">
            <v>2019</v>
          </cell>
          <cell r="B143" t="str">
            <v>DIRECTION TECHNIQUE</v>
          </cell>
          <cell r="O143">
            <v>16472709.305434801</v>
          </cell>
          <cell r="Q143" t="str">
            <v>Investissement</v>
          </cell>
        </row>
        <row r="144">
          <cell r="A144">
            <v>2019</v>
          </cell>
          <cell r="B144" t="str">
            <v>DIRECTION TECHNIQUE</v>
          </cell>
          <cell r="O144">
            <v>12335177.627999999</v>
          </cell>
          <cell r="Q144" t="str">
            <v>Investissement</v>
          </cell>
        </row>
        <row r="145">
          <cell r="A145">
            <v>2018</v>
          </cell>
          <cell r="B145" t="str">
            <v>DIRECTION TECHNIQUE</v>
          </cell>
          <cell r="O145">
            <v>16946134.375799999</v>
          </cell>
          <cell r="Q145" t="str">
            <v>Investissement</v>
          </cell>
        </row>
        <row r="146">
          <cell r="A146">
            <v>2019</v>
          </cell>
          <cell r="B146" t="str">
            <v>DIRECTION TECHNIQUE</v>
          </cell>
          <cell r="O146">
            <v>1953779.7671999999</v>
          </cell>
          <cell r="Q146" t="str">
            <v>Investissement</v>
          </cell>
        </row>
        <row r="147">
          <cell r="A147">
            <v>2018</v>
          </cell>
          <cell r="B147" t="str">
            <v>DIRECTION CHARGEE DES RELATIONS INTERNATIONALES</v>
          </cell>
          <cell r="O147">
            <v>1909320</v>
          </cell>
          <cell r="Q147" t="str">
            <v>Fonctionnement</v>
          </cell>
        </row>
        <row r="148">
          <cell r="A148">
            <v>2019</v>
          </cell>
          <cell r="B148" t="str">
            <v>DIRECTION DE LA TELEDIFFUSION</v>
          </cell>
          <cell r="O148">
            <v>7500000</v>
          </cell>
          <cell r="Q148" t="str">
            <v>Investissement</v>
          </cell>
        </row>
        <row r="149">
          <cell r="A149">
            <v>2019</v>
          </cell>
          <cell r="B149" t="str">
            <v>DIRECTION DE LA TELEDIFFUSION</v>
          </cell>
          <cell r="O149">
            <v>9967284</v>
          </cell>
          <cell r="Q149" t="str">
            <v>Investissement</v>
          </cell>
        </row>
        <row r="150">
          <cell r="A150">
            <v>2018</v>
          </cell>
          <cell r="B150" t="str">
            <v>DIRECTION DU PATRIMOINE  ET DES MOYENS GENERAUX</v>
          </cell>
          <cell r="O150">
            <v>517504</v>
          </cell>
          <cell r="Q150" t="str">
            <v>Fonctionnement</v>
          </cell>
        </row>
        <row r="151">
          <cell r="A151">
            <v>2019</v>
          </cell>
          <cell r="B151" t="str">
            <v>DIRECTION MARKETING ET PROGRAMATION TV</v>
          </cell>
          <cell r="O151">
            <v>18268680</v>
          </cell>
          <cell r="Q151" t="str">
            <v>Fonctionnement</v>
          </cell>
        </row>
        <row r="152">
          <cell r="A152">
            <v>2019</v>
          </cell>
          <cell r="B152" t="str">
            <v>DIRECTION DE LA TELEDIFFUSION</v>
          </cell>
          <cell r="O152">
            <v>10513560</v>
          </cell>
          <cell r="Q152" t="str">
            <v>Investissement</v>
          </cell>
        </row>
        <row r="153">
          <cell r="A153">
            <v>2019</v>
          </cell>
          <cell r="B153" t="str">
            <v>DIRECTION DE LA TELEDIFFUSION</v>
          </cell>
          <cell r="O153">
            <v>11563571.133218998</v>
          </cell>
          <cell r="Q153" t="str">
            <v>Investissement</v>
          </cell>
        </row>
        <row r="154">
          <cell r="A154">
            <v>2019</v>
          </cell>
          <cell r="B154" t="str">
            <v>DIRECTION DE LA TELEDIFFUSION</v>
          </cell>
          <cell r="O154">
            <v>17832837.599999998</v>
          </cell>
          <cell r="Q154" t="str">
            <v>Investissement</v>
          </cell>
        </row>
        <row r="155">
          <cell r="A155">
            <v>2019</v>
          </cell>
          <cell r="B155" t="str">
            <v>DIRECTION DE LA TELEDIFFUSION</v>
          </cell>
          <cell r="O155">
            <v>17403919.199999999</v>
          </cell>
          <cell r="Q155" t="str">
            <v>Investissement</v>
          </cell>
        </row>
        <row r="156">
          <cell r="A156">
            <v>2019</v>
          </cell>
          <cell r="B156" t="str">
            <v>DIRECTION DU PATRIMOINE  ET DES MOYENS GENERAUX</v>
          </cell>
          <cell r="O156">
            <v>1656078</v>
          </cell>
          <cell r="Q156" t="str">
            <v>Fonctionnement</v>
          </cell>
        </row>
        <row r="157">
          <cell r="A157">
            <v>2019</v>
          </cell>
          <cell r="B157" t="str">
            <v>DIRECTION CENTRALE DE LA CHAÎNE ARRYADIA</v>
          </cell>
          <cell r="O157">
            <v>761463</v>
          </cell>
          <cell r="Q157" t="str">
            <v>Fonctionnement</v>
          </cell>
        </row>
        <row r="158">
          <cell r="A158">
            <v>2019</v>
          </cell>
          <cell r="B158" t="str">
            <v>DIRECTION DU PATRIMOINE  ET DES MOYENS GENERAUX</v>
          </cell>
          <cell r="O158">
            <v>3839360</v>
          </cell>
          <cell r="Q158" t="str">
            <v>Fonctionnement</v>
          </cell>
        </row>
        <row r="159">
          <cell r="A159">
            <v>2019</v>
          </cell>
          <cell r="B159" t="str">
            <v>DIRECTION TECHNIQUE</v>
          </cell>
          <cell r="O159">
            <v>3345447.37</v>
          </cell>
          <cell r="Q159" t="str">
            <v>Investissement</v>
          </cell>
        </row>
        <row r="160">
          <cell r="A160">
            <v>2019</v>
          </cell>
          <cell r="B160" t="str">
            <v>DIRECTION TECHNIQUE</v>
          </cell>
          <cell r="O160">
            <v>4891035.0999999996</v>
          </cell>
          <cell r="Q160" t="str">
            <v>Investissement</v>
          </cell>
        </row>
        <row r="161">
          <cell r="A161">
            <v>2019</v>
          </cell>
          <cell r="B161" t="str">
            <v>DIRECTION TECHNIQUE</v>
          </cell>
          <cell r="O161">
            <v>1376093.7839899999</v>
          </cell>
          <cell r="Q161" t="str">
            <v>Investissement</v>
          </cell>
        </row>
        <row r="162">
          <cell r="A162">
            <v>2019</v>
          </cell>
          <cell r="B162" t="str">
            <v>DIRECTION TECHNIQUE</v>
          </cell>
          <cell r="O162">
            <v>1018091.9649939999</v>
          </cell>
          <cell r="Q162" t="str">
            <v>Investissement</v>
          </cell>
        </row>
        <row r="163">
          <cell r="A163">
            <v>2019</v>
          </cell>
          <cell r="B163" t="str">
            <v>DIRECTION TECHNIQUE</v>
          </cell>
          <cell r="O163">
            <v>3019890.56</v>
          </cell>
          <cell r="Q163" t="str">
            <v>Investissement</v>
          </cell>
        </row>
        <row r="164">
          <cell r="A164">
            <v>2019</v>
          </cell>
          <cell r="B164" t="str">
            <v>DIRECTION TECHNIQUE</v>
          </cell>
          <cell r="O164">
            <v>5341846.4000000004</v>
          </cell>
          <cell r="Q164" t="str">
            <v>Investissement</v>
          </cell>
        </row>
        <row r="165">
          <cell r="A165">
            <v>2019</v>
          </cell>
          <cell r="B165" t="str">
            <v>DIRECTION TECHNIQUE</v>
          </cell>
          <cell r="O165">
            <v>1378717.2290759999</v>
          </cell>
          <cell r="Q165" t="str">
            <v>Investissement</v>
          </cell>
        </row>
        <row r="166">
          <cell r="A166">
            <v>2019</v>
          </cell>
          <cell r="B166" t="str">
            <v>DIRECTION DE LA TELEDIFFUSION</v>
          </cell>
          <cell r="O166">
            <v>5025240</v>
          </cell>
          <cell r="Q166" t="str">
            <v>Investissement</v>
          </cell>
        </row>
        <row r="167">
          <cell r="A167">
            <v>2019</v>
          </cell>
          <cell r="B167" t="str">
            <v>DIRECTION MARKETING ET PROGRAMATION TV</v>
          </cell>
          <cell r="O167">
            <v>3458400</v>
          </cell>
          <cell r="Q167" t="str">
            <v>Fonctionnement</v>
          </cell>
        </row>
        <row r="168">
          <cell r="A168">
            <v>2019</v>
          </cell>
          <cell r="B168" t="str">
            <v>DIRECTION DE LA REGIE PUBLICITAIRE ET DES SOLUTIONS DIGITALES</v>
          </cell>
          <cell r="O168">
            <v>661875.03200000001</v>
          </cell>
          <cell r="Q168" t="str">
            <v>Fonctionnement</v>
          </cell>
        </row>
        <row r="169">
          <cell r="A169">
            <v>2019</v>
          </cell>
          <cell r="B169" t="str">
            <v>DIRECTION MARKETING ET PROGRAMATION TV</v>
          </cell>
          <cell r="O169">
            <v>1788000</v>
          </cell>
          <cell r="Q169" t="str">
            <v>Fonctionnement</v>
          </cell>
        </row>
        <row r="170">
          <cell r="A170">
            <v>2019</v>
          </cell>
          <cell r="B170" t="str">
            <v>DIRECTION DU PATRIMOINE  ET DES MOYENS GENERAUX</v>
          </cell>
          <cell r="O170">
            <v>2879280</v>
          </cell>
          <cell r="Q170" t="str">
            <v>Investissement</v>
          </cell>
        </row>
        <row r="171">
          <cell r="A171">
            <v>2019</v>
          </cell>
          <cell r="B171" t="str">
            <v>DIRECTION DE LA TELEDIFFUSION</v>
          </cell>
          <cell r="O171">
            <v>8437849.0003199987</v>
          </cell>
          <cell r="Q171" t="str">
            <v>Fonctionnement</v>
          </cell>
        </row>
        <row r="172">
          <cell r="A172">
            <v>2019</v>
          </cell>
          <cell r="B172" t="str">
            <v>DIRECTION DE LA TELEDIFFUSION</v>
          </cell>
          <cell r="O172">
            <v>4865632.1112000002</v>
          </cell>
          <cell r="Q172" t="str">
            <v>Fonctionnement</v>
          </cell>
        </row>
        <row r="173">
          <cell r="A173">
            <v>2019</v>
          </cell>
          <cell r="B173" t="str">
            <v>DIRECTION DE LA TELEDIFFUSION</v>
          </cell>
          <cell r="O173">
            <v>1260036</v>
          </cell>
          <cell r="Q173" t="str">
            <v>Fonctionnement</v>
          </cell>
        </row>
        <row r="174">
          <cell r="A174">
            <v>2019</v>
          </cell>
          <cell r="B174" t="str">
            <v>DIRECTION DE LA TELEDIFFUSION</v>
          </cell>
          <cell r="O174">
            <v>1915800</v>
          </cell>
          <cell r="Q174" t="str">
            <v>Fonctionnement</v>
          </cell>
        </row>
        <row r="175">
          <cell r="A175">
            <v>2019</v>
          </cell>
          <cell r="B175" t="str">
            <v>DIRECTION DE LA TELEDIFFUSION</v>
          </cell>
          <cell r="O175">
            <v>1435026</v>
          </cell>
          <cell r="Q175" t="str">
            <v>Investissement</v>
          </cell>
        </row>
        <row r="176">
          <cell r="A176">
            <v>2019</v>
          </cell>
          <cell r="B176" t="str">
            <v>DIRECTION TECHNIQUE</v>
          </cell>
          <cell r="O176">
            <v>4531374</v>
          </cell>
          <cell r="Q176" t="str">
            <v>Investissement</v>
          </cell>
        </row>
        <row r="177">
          <cell r="A177">
            <v>2019</v>
          </cell>
          <cell r="B177" t="str">
            <v>DIRECTION TECHNIQUE</v>
          </cell>
          <cell r="O177">
            <v>930145.48435199994</v>
          </cell>
          <cell r="Q177" t="str">
            <v>Investissement</v>
          </cell>
        </row>
        <row r="178">
          <cell r="A178">
            <v>2019</v>
          </cell>
          <cell r="B178" t="str">
            <v>DIRECTION TECHNIQUE</v>
          </cell>
          <cell r="O178">
            <v>2238528</v>
          </cell>
          <cell r="Q178" t="str">
            <v>Investissement</v>
          </cell>
        </row>
        <row r="179">
          <cell r="A179">
            <v>2019</v>
          </cell>
          <cell r="B179" t="str">
            <v>DIRECTION TECHNIQUE</v>
          </cell>
          <cell r="O179">
            <v>1495423.92</v>
          </cell>
          <cell r="Q179" t="str">
            <v>Investissement</v>
          </cell>
        </row>
        <row r="180">
          <cell r="A180">
            <v>2019</v>
          </cell>
          <cell r="B180" t="str">
            <v>DIRECTION TECHNIQUE</v>
          </cell>
          <cell r="O180">
            <v>2128695.6</v>
          </cell>
          <cell r="Q180" t="str">
            <v>Investissement</v>
          </cell>
        </row>
        <row r="181">
          <cell r="A181">
            <v>2019</v>
          </cell>
          <cell r="B181" t="str">
            <v>DIRECTION TECHNIQUE</v>
          </cell>
          <cell r="O181">
            <v>1458500.9264799999</v>
          </cell>
          <cell r="Q181" t="str">
            <v>Investissement</v>
          </cell>
        </row>
        <row r="182">
          <cell r="A182">
            <v>2019</v>
          </cell>
          <cell r="B182" t="str">
            <v>DIRECTION TECHNIQUE</v>
          </cell>
          <cell r="O182">
            <v>863810.44</v>
          </cell>
          <cell r="Q182" t="str">
            <v>Investissement</v>
          </cell>
        </row>
        <row r="183">
          <cell r="A183">
            <v>2019</v>
          </cell>
          <cell r="B183" t="str">
            <v>DIRECTION DU PATRIMOINE  ET DES MOYENS GENERAUX</v>
          </cell>
          <cell r="O183">
            <v>2998364.04</v>
          </cell>
          <cell r="Q183" t="str">
            <v>Fonctionnement</v>
          </cell>
        </row>
        <row r="184">
          <cell r="A184">
            <v>2019</v>
          </cell>
          <cell r="B184" t="str">
            <v>DIRECTION DE LA TELEDIFFUSION</v>
          </cell>
          <cell r="O184">
            <v>1440000</v>
          </cell>
          <cell r="Q184" t="str">
            <v>Investissement</v>
          </cell>
        </row>
        <row r="185">
          <cell r="A185">
            <v>2019</v>
          </cell>
          <cell r="B185" t="str">
            <v>DIRECTION DE LA TELEDIFFUSION</v>
          </cell>
          <cell r="O185">
            <v>8898828</v>
          </cell>
          <cell r="Q185" t="str">
            <v>Investissement</v>
          </cell>
        </row>
        <row r="186">
          <cell r="A186">
            <v>2019</v>
          </cell>
          <cell r="B186" t="str">
            <v>DIRECTION DE LA TELEDIFFUSION</v>
          </cell>
          <cell r="O186">
            <v>498816</v>
          </cell>
          <cell r="Q186" t="str">
            <v>Investissement</v>
          </cell>
        </row>
        <row r="187">
          <cell r="A187">
            <v>2019</v>
          </cell>
          <cell r="B187" t="str">
            <v>DIRECTION DE LA TELEDIFFUSION</v>
          </cell>
          <cell r="O187">
            <v>613092</v>
          </cell>
          <cell r="Q187" t="str">
            <v>Investissement</v>
          </cell>
        </row>
        <row r="188">
          <cell r="A188">
            <v>2019</v>
          </cell>
          <cell r="B188" t="str">
            <v>DIRECTION DE LA TELEDIFFUSION</v>
          </cell>
          <cell r="O188">
            <v>6481367.7204</v>
          </cell>
          <cell r="Q188" t="str">
            <v>Investissement</v>
          </cell>
        </row>
        <row r="189">
          <cell r="A189">
            <v>2019</v>
          </cell>
          <cell r="B189" t="str">
            <v>DIRECTION TECHNIQUE</v>
          </cell>
          <cell r="O189">
            <v>4957022.693105001</v>
          </cell>
          <cell r="Q189" t="str">
            <v>Investissement</v>
          </cell>
        </row>
        <row r="190">
          <cell r="A190">
            <v>2019</v>
          </cell>
          <cell r="B190" t="str">
            <v>DIRECTION TECHNIQUE</v>
          </cell>
          <cell r="O190">
            <v>1137738</v>
          </cell>
          <cell r="Q190" t="str">
            <v>Investissement</v>
          </cell>
        </row>
        <row r="191">
          <cell r="A191">
            <v>2020</v>
          </cell>
          <cell r="B191" t="str">
            <v>DIRECTION TECHNIQUE</v>
          </cell>
          <cell r="O191">
            <v>1794345.696</v>
          </cell>
          <cell r="Q191" t="str">
            <v>Investissement</v>
          </cell>
        </row>
        <row r="192">
          <cell r="A192">
            <v>2020</v>
          </cell>
          <cell r="B192" t="str">
            <v>DIRECTION TECHNIQUE</v>
          </cell>
          <cell r="O192">
            <v>976602.62</v>
          </cell>
          <cell r="Q192" t="str">
            <v>Investissement</v>
          </cell>
        </row>
        <row r="193">
          <cell r="A193">
            <v>2020</v>
          </cell>
          <cell r="B193" t="str">
            <v>DIRECTION DE LA TELEDIFFUSION</v>
          </cell>
          <cell r="O193">
            <v>585000</v>
          </cell>
          <cell r="Q193" t="str">
            <v>Investissement</v>
          </cell>
        </row>
        <row r="194">
          <cell r="A194">
            <v>2019</v>
          </cell>
          <cell r="B194" t="str">
            <v>DIRECTION DE LA TELEDIFFUSION</v>
          </cell>
          <cell r="O194">
            <v>6899230.6900000004</v>
          </cell>
          <cell r="Q194" t="str">
            <v>Investissement</v>
          </cell>
        </row>
        <row r="195">
          <cell r="A195">
            <v>2020</v>
          </cell>
          <cell r="B195" t="str">
            <v>DIRECTION DE LA TELEDIFFUSION</v>
          </cell>
          <cell r="O195">
            <v>11496000</v>
          </cell>
          <cell r="Q195" t="str">
            <v>Investissement</v>
          </cell>
        </row>
        <row r="196">
          <cell r="A196">
            <v>2020</v>
          </cell>
          <cell r="B196" t="str">
            <v>DIRECTION DE LA TELEDIFFUSION</v>
          </cell>
          <cell r="O196">
            <v>18525600</v>
          </cell>
          <cell r="Q196" t="str">
            <v>Investissement</v>
          </cell>
        </row>
        <row r="197">
          <cell r="A197">
            <v>2020</v>
          </cell>
          <cell r="B197" t="str">
            <v>DIRECTION DE LA TELEDIFFUSION</v>
          </cell>
          <cell r="O197">
            <v>20976792</v>
          </cell>
          <cell r="Q197" t="str">
            <v>Investissement</v>
          </cell>
        </row>
        <row r="198">
          <cell r="A198">
            <v>2019</v>
          </cell>
          <cell r="B198" t="str">
            <v>DIRECTION DE LA TELEDIFFUSION</v>
          </cell>
          <cell r="O198">
            <v>17506701.600000001</v>
          </cell>
          <cell r="Q198" t="str">
            <v>Investissement</v>
          </cell>
        </row>
        <row r="199">
          <cell r="A199">
            <v>2019</v>
          </cell>
          <cell r="B199" t="str">
            <v>DIRECTION DES SYSTEMES D'INFORMATION</v>
          </cell>
          <cell r="O199">
            <v>8107929.5999999996</v>
          </cell>
          <cell r="Q199" t="str">
            <v>Investissement</v>
          </cell>
        </row>
        <row r="200">
          <cell r="A200">
            <v>2020</v>
          </cell>
          <cell r="B200" t="str">
            <v>DIRECTION TECHNIQUE</v>
          </cell>
          <cell r="O200">
            <v>1551241.2</v>
          </cell>
          <cell r="Q200" t="str">
            <v>Investissement</v>
          </cell>
        </row>
        <row r="201">
          <cell r="A201">
            <v>2020</v>
          </cell>
          <cell r="B201" t="str">
            <v>DIRECTION DES SYSTEMES D'INFORMATION</v>
          </cell>
          <cell r="O201">
            <v>6890672.4000000004</v>
          </cell>
          <cell r="Q201" t="str">
            <v>Investissement</v>
          </cell>
        </row>
        <row r="202">
          <cell r="A202">
            <v>2020</v>
          </cell>
          <cell r="B202" t="str">
            <v>DIRECTION DES SYSTEMES D'INFORMATION</v>
          </cell>
          <cell r="O202">
            <v>1084980</v>
          </cell>
          <cell r="Q202" t="str">
            <v>Fonctionnement</v>
          </cell>
        </row>
        <row r="203">
          <cell r="A203">
            <v>2020</v>
          </cell>
          <cell r="B203" t="str">
            <v>DIRECTION DU PATRIMOINE  ET DES MOYENS GENERAUX</v>
          </cell>
          <cell r="O203">
            <v>139698.23999999999</v>
          </cell>
          <cell r="Q203" t="str">
            <v>Fonctionnement</v>
          </cell>
        </row>
        <row r="204">
          <cell r="A204">
            <v>2020</v>
          </cell>
          <cell r="B204" t="str">
            <v>DIRECTION DU PATRIMOINE  ET DES MOYENS GENERAUX</v>
          </cell>
          <cell r="O204">
            <v>273600</v>
          </cell>
          <cell r="Q204" t="str">
            <v>Fonctionnement</v>
          </cell>
        </row>
        <row r="205">
          <cell r="A205">
            <v>2020</v>
          </cell>
          <cell r="B205" t="str">
            <v>DIRECTION DE LA REGIE PUBLICITAIRE ET DES SOLUTIONS DIGITALES</v>
          </cell>
          <cell r="O205">
            <v>696940.77</v>
          </cell>
          <cell r="Q205" t="str">
            <v>Fonctionnement</v>
          </cell>
        </row>
        <row r="206">
          <cell r="A206">
            <v>2020</v>
          </cell>
          <cell r="B206" t="str">
            <v>DIRECTION DE LA TELEDIFFUSION</v>
          </cell>
          <cell r="O206">
            <v>3064320</v>
          </cell>
          <cell r="Q206" t="str">
            <v>Fonctionnement</v>
          </cell>
        </row>
        <row r="207">
          <cell r="A207">
            <v>2020</v>
          </cell>
          <cell r="B207" t="str">
            <v>DIRECTION DU PATRIMOINE  ET DES MOYENS GENERAUX</v>
          </cell>
          <cell r="O207">
            <v>199200</v>
          </cell>
          <cell r="Q207" t="str">
            <v>Fonctionnement</v>
          </cell>
        </row>
        <row r="208">
          <cell r="A208">
            <v>2020</v>
          </cell>
          <cell r="B208" t="str">
            <v>DIRECTION DE LA TELEDIFFUSION</v>
          </cell>
          <cell r="O208">
            <v>3760110</v>
          </cell>
          <cell r="Q208" t="str">
            <v>Investissement</v>
          </cell>
        </row>
        <row r="209">
          <cell r="A209">
            <v>2020</v>
          </cell>
          <cell r="B209" t="str">
            <v>DIRECTION DE LA TELEDIFFUSION</v>
          </cell>
          <cell r="O209">
            <v>3942780</v>
          </cell>
          <cell r="Q209" t="str">
            <v>Investissement</v>
          </cell>
        </row>
        <row r="210">
          <cell r="A210">
            <v>2020</v>
          </cell>
          <cell r="B210" t="str">
            <v>DIRECTION DE LA TELEDIFFUSION</v>
          </cell>
          <cell r="O210">
            <v>1102746.22</v>
          </cell>
          <cell r="Q210" t="str">
            <v>Investissement</v>
          </cell>
        </row>
        <row r="211">
          <cell r="A211">
            <v>2020</v>
          </cell>
          <cell r="B211" t="str">
            <v>DIRECTION DU PATRIMOINE  ET DES MOYENS GENERAUX</v>
          </cell>
          <cell r="O211">
            <v>567387.6</v>
          </cell>
          <cell r="Q211" t="str">
            <v>Investissement</v>
          </cell>
        </row>
        <row r="212">
          <cell r="A212">
            <v>2020</v>
          </cell>
          <cell r="B212" t="str">
            <v>DIRECTION DE LA REGIE PUBLICITAIRE ET DES SOLUTIONS DIGITALES</v>
          </cell>
          <cell r="O212">
            <v>432516</v>
          </cell>
          <cell r="Q212" t="str">
            <v>Investissement</v>
          </cell>
        </row>
        <row r="213">
          <cell r="A213">
            <v>2020</v>
          </cell>
          <cell r="B213" t="str">
            <v>DIRECTION TECHNIQUE</v>
          </cell>
          <cell r="O213">
            <v>3485522.4</v>
          </cell>
          <cell r="Q213" t="str">
            <v>Investissement</v>
          </cell>
        </row>
        <row r="214">
          <cell r="A214">
            <v>2020</v>
          </cell>
          <cell r="B214" t="str">
            <v>DIRECTION DU PATRIMOINE  ET DES MOYENS GENERAUX</v>
          </cell>
          <cell r="O214">
            <v>1123470</v>
          </cell>
          <cell r="Q214" t="str">
            <v>Fonctionnement</v>
          </cell>
        </row>
        <row r="215">
          <cell r="A215">
            <v>2019</v>
          </cell>
          <cell r="B215" t="str">
            <v>DIRECTION DU PATRIMOINE  ET DES MOYENS GENERAUX</v>
          </cell>
          <cell r="O215">
            <v>456877.8</v>
          </cell>
          <cell r="Q215" t="str">
            <v>Fonctionnement</v>
          </cell>
        </row>
        <row r="216">
          <cell r="A216">
            <v>2020</v>
          </cell>
          <cell r="B216" t="str">
            <v>DIRECTION DU PATRIMOINE  ET DES MOYENS GENERAUX</v>
          </cell>
          <cell r="O216">
            <v>456877.8</v>
          </cell>
          <cell r="Q216" t="str">
            <v>Fonctionnement</v>
          </cell>
        </row>
        <row r="217">
          <cell r="A217">
            <v>2020</v>
          </cell>
          <cell r="B217" t="str">
            <v>DIRECTION DU PATRIMOINE  ET DES MOYENS GENERAUX</v>
          </cell>
          <cell r="O217">
            <v>3647880</v>
          </cell>
          <cell r="Q217" t="str">
            <v>Fonctionnement</v>
          </cell>
        </row>
        <row r="218">
          <cell r="A218">
            <v>2020</v>
          </cell>
          <cell r="B218" t="str">
            <v>DIRECTION MARKETING ET PROGRAMATION TV</v>
          </cell>
          <cell r="O218">
            <v>1729200</v>
          </cell>
          <cell r="Q218" t="str">
            <v>Fonctionnement</v>
          </cell>
        </row>
        <row r="219">
          <cell r="A219">
            <v>2020</v>
          </cell>
          <cell r="B219" t="str">
            <v>DIRECTION DU PATRIMOINE  ET DES MOYENS GENERAUX</v>
          </cell>
          <cell r="O219">
            <v>2998364.04</v>
          </cell>
          <cell r="Q219" t="str">
            <v>Fonctionnement</v>
          </cell>
        </row>
        <row r="220">
          <cell r="A220">
            <v>2019</v>
          </cell>
          <cell r="B220" t="str">
            <v>DIRECTION DU PATRIMOINE  ET DES MOYENS GENERAUX</v>
          </cell>
          <cell r="O220">
            <v>17635968.009999998</v>
          </cell>
          <cell r="Q220" t="str">
            <v>Fonctionnement</v>
          </cell>
        </row>
        <row r="221">
          <cell r="A221">
            <v>2020</v>
          </cell>
          <cell r="B221" t="str">
            <v>DIRECTION DU PATRIMOINE  ET DES MOYENS GENERAUX</v>
          </cell>
          <cell r="O221">
            <v>17759658.009999998</v>
          </cell>
          <cell r="Q221" t="str">
            <v>Fonctionnement</v>
          </cell>
        </row>
        <row r="222">
          <cell r="A222">
            <v>2019</v>
          </cell>
          <cell r="B222" t="str">
            <v>DIRECTION DES SYSTEMES D'INFORMATION</v>
          </cell>
          <cell r="O222">
            <v>227316.82</v>
          </cell>
          <cell r="Q222" t="str">
            <v>Fonctionnement</v>
          </cell>
        </row>
        <row r="223">
          <cell r="A223">
            <v>2020</v>
          </cell>
          <cell r="B223" t="str">
            <v>DIRECTION DES SYSTEMES D'INFORMATION</v>
          </cell>
          <cell r="O223">
            <v>227316.82</v>
          </cell>
          <cell r="Q223" t="str">
            <v>Fonctionnement</v>
          </cell>
        </row>
        <row r="224">
          <cell r="A224">
            <v>2019</v>
          </cell>
          <cell r="B224" t="str">
            <v>DIRECTION DU PATRIMOINE  ET DES MOYENS GENERAUX</v>
          </cell>
          <cell r="O224">
            <v>6998627.96</v>
          </cell>
          <cell r="Q224" t="str">
            <v>Fonctionnement</v>
          </cell>
        </row>
        <row r="225">
          <cell r="A225">
            <v>2020</v>
          </cell>
          <cell r="B225" t="str">
            <v>DIRECTION DU PATRIMOINE  ET DES MOYENS GENERAUX</v>
          </cell>
          <cell r="O225">
            <v>6998627.96</v>
          </cell>
          <cell r="Q225" t="str">
            <v>Fonctionnement</v>
          </cell>
        </row>
        <row r="226">
          <cell r="A226">
            <v>2019</v>
          </cell>
          <cell r="B226" t="str">
            <v>DIRECTION DU PATRIMOINE  ET DES MOYENS GENERAUX</v>
          </cell>
          <cell r="O226">
            <v>5529968.6500000004</v>
          </cell>
          <cell r="Q226" t="str">
            <v>Fonctionnement</v>
          </cell>
        </row>
        <row r="227">
          <cell r="A227">
            <v>2020</v>
          </cell>
          <cell r="B227" t="str">
            <v>DIRECTION DU PATRIMOINE  ET DES MOYENS GENERAUX</v>
          </cell>
          <cell r="O227">
            <v>5529013.1700000009</v>
          </cell>
          <cell r="Q227" t="str">
            <v>Fonctionnement</v>
          </cell>
        </row>
        <row r="228">
          <cell r="A228">
            <v>2018</v>
          </cell>
          <cell r="B228" t="str">
            <v>DIRECTION DES RESSOURCES HUMAINES</v>
          </cell>
          <cell r="O228">
            <v>450003.6</v>
          </cell>
          <cell r="Q228" t="str">
            <v>Fonctionnement</v>
          </cell>
        </row>
        <row r="229">
          <cell r="A229">
            <v>2019</v>
          </cell>
          <cell r="B229" t="str">
            <v>DIRECTION DES RESSOURCES HUMAINES</v>
          </cell>
          <cell r="O229">
            <v>450003.6</v>
          </cell>
          <cell r="Q229" t="str">
            <v>Fonctionnement</v>
          </cell>
        </row>
        <row r="230">
          <cell r="A230">
            <v>2020</v>
          </cell>
          <cell r="B230" t="str">
            <v>DIRECTION DES RESSOURCES HUMAINES</v>
          </cell>
          <cell r="O230">
            <v>450003.6</v>
          </cell>
          <cell r="Q230" t="str">
            <v>Fonctionnement</v>
          </cell>
        </row>
        <row r="231">
          <cell r="A231">
            <v>2018</v>
          </cell>
          <cell r="B231" t="str">
            <v>DIRECTION DU PATRIMOINE  ET DES MOYENS GENERAUX</v>
          </cell>
          <cell r="O231">
            <v>5285256.1800000006</v>
          </cell>
          <cell r="Q231" t="str">
            <v>Fonctionnement</v>
          </cell>
        </row>
        <row r="232">
          <cell r="A232">
            <v>2019</v>
          </cell>
          <cell r="B232" t="str">
            <v>DIRECTION DU PATRIMOINE  ET DES MOYENS GENERAUX</v>
          </cell>
          <cell r="O232">
            <v>5284889.2300000004</v>
          </cell>
          <cell r="Q232" t="str">
            <v>Fonctionnement</v>
          </cell>
        </row>
        <row r="233">
          <cell r="A233">
            <v>2020</v>
          </cell>
          <cell r="B233" t="str">
            <v>DIRECTION DU PATRIMOINE  ET DES MOYENS GENERAUX</v>
          </cell>
          <cell r="O233">
            <v>5284128.3600000003</v>
          </cell>
          <cell r="Q233" t="str">
            <v>Fonctionnement</v>
          </cell>
        </row>
        <row r="234">
          <cell r="A234">
            <v>2018</v>
          </cell>
          <cell r="B234" t="str">
            <v>DIRECTION DES SYSTEMES D'INFORMATION</v>
          </cell>
          <cell r="O234">
            <v>496440</v>
          </cell>
          <cell r="Q234" t="str">
            <v>Fonctionnement</v>
          </cell>
        </row>
        <row r="235">
          <cell r="A235">
            <v>2019</v>
          </cell>
          <cell r="B235" t="str">
            <v>DIRECTION DES SYSTEMES D'INFORMATION</v>
          </cell>
          <cell r="O235">
            <v>496440</v>
          </cell>
          <cell r="Q235" t="str">
            <v>Fonctionnement</v>
          </cell>
        </row>
        <row r="236">
          <cell r="A236">
            <v>2020</v>
          </cell>
          <cell r="B236" t="str">
            <v>DIRECTION DES SYSTEMES D'INFORMATION</v>
          </cell>
          <cell r="O236">
            <v>496440</v>
          </cell>
          <cell r="Q236" t="str">
            <v>Fonctionnement</v>
          </cell>
        </row>
        <row r="237">
          <cell r="A237">
            <v>2018</v>
          </cell>
          <cell r="B237" t="str">
            <v>DIRECTION DES RESSOURCES HUMAINES</v>
          </cell>
          <cell r="O237">
            <v>1023789.78</v>
          </cell>
          <cell r="Q237" t="str">
            <v>Fonctionnement</v>
          </cell>
        </row>
        <row r="238">
          <cell r="A238">
            <v>2019</v>
          </cell>
          <cell r="B238" t="str">
            <v>DIRECTION DES RESSOURCES HUMAINES</v>
          </cell>
          <cell r="O238">
            <v>1023789.78</v>
          </cell>
          <cell r="Q238" t="str">
            <v>Fonctionnement</v>
          </cell>
        </row>
        <row r="239">
          <cell r="A239">
            <v>2020</v>
          </cell>
          <cell r="B239" t="str">
            <v>DIRECTION DES RESSOURCES HUMAINES</v>
          </cell>
          <cell r="O239">
            <v>1023789.78</v>
          </cell>
          <cell r="Q239" t="str">
            <v>Fonctionnement</v>
          </cell>
        </row>
        <row r="240">
          <cell r="A240">
            <v>2017</v>
          </cell>
          <cell r="B240" t="str">
            <v>DIRECTION DU PATRIMOINE  ET DES MOYENS GENERAUX</v>
          </cell>
          <cell r="O240">
            <v>477073.52</v>
          </cell>
          <cell r="Q240" t="str">
            <v>Fonctionnement</v>
          </cell>
        </row>
        <row r="241">
          <cell r="A241">
            <v>2018</v>
          </cell>
          <cell r="B241" t="str">
            <v>DIRECTION DU PATRIMOINE  ET DES MOYENS GENERAUX</v>
          </cell>
          <cell r="O241">
            <v>508466</v>
          </cell>
          <cell r="Q241" t="str">
            <v>Fonctionnement</v>
          </cell>
        </row>
        <row r="242">
          <cell r="A242">
            <v>2019</v>
          </cell>
          <cell r="B242" t="str">
            <v>DIRECTION DU PATRIMOINE  ET DES MOYENS GENERAUX</v>
          </cell>
          <cell r="O242">
            <v>502852.34</v>
          </cell>
          <cell r="Q242" t="str">
            <v>Fonctionnement</v>
          </cell>
        </row>
        <row r="243">
          <cell r="A243">
            <v>2017</v>
          </cell>
          <cell r="B243" t="str">
            <v>DIRECTION DU PATRIMOINE  ET DES MOYENS GENERAUX</v>
          </cell>
          <cell r="O243">
            <v>991728</v>
          </cell>
          <cell r="Q243" t="str">
            <v>Fonctionnement</v>
          </cell>
        </row>
        <row r="244">
          <cell r="A244">
            <v>2018</v>
          </cell>
          <cell r="B244" t="str">
            <v>DIRECTION DU PATRIMOINE  ET DES MOYENS GENERAUX</v>
          </cell>
          <cell r="O244">
            <v>991728</v>
          </cell>
          <cell r="Q244" t="str">
            <v>Fonctionnement</v>
          </cell>
        </row>
        <row r="245">
          <cell r="A245">
            <v>2019</v>
          </cell>
          <cell r="B245" t="str">
            <v>DIRECTION DU PATRIMOINE  ET DES MOYENS GENERAUX</v>
          </cell>
          <cell r="O245">
            <v>991728</v>
          </cell>
          <cell r="Q245" t="str">
            <v>Fonctionnement</v>
          </cell>
        </row>
        <row r="246">
          <cell r="A246">
            <v>2017</v>
          </cell>
          <cell r="B246" t="str">
            <v>DIRECTION DU PATRIMOINE  ET DES MOYENS GENERAUX</v>
          </cell>
          <cell r="O246">
            <v>2856530.88</v>
          </cell>
          <cell r="Q246" t="str">
            <v>Fonctionnement</v>
          </cell>
        </row>
        <row r="247">
          <cell r="A247">
            <v>2018</v>
          </cell>
          <cell r="B247" t="str">
            <v>DIRECTION DU PATRIMOINE  ET DES MOYENS GENERAUX</v>
          </cell>
          <cell r="O247">
            <v>2856530.88</v>
          </cell>
          <cell r="Q247" t="str">
            <v>Fonctionnement</v>
          </cell>
        </row>
        <row r="248">
          <cell r="A248">
            <v>2019</v>
          </cell>
          <cell r="B248" t="str">
            <v>DIRECTION DU PATRIMOINE  ET DES MOYENS GENERAUX</v>
          </cell>
          <cell r="O248">
            <v>2856530.88</v>
          </cell>
          <cell r="Q248" t="str">
            <v>Fonctionnement</v>
          </cell>
        </row>
        <row r="249">
          <cell r="A249">
            <v>2017</v>
          </cell>
          <cell r="B249" t="str">
            <v>DIRECTION DU PATRIMOINE  ET DES MOYENS GENERAUX</v>
          </cell>
          <cell r="O249">
            <v>368213.46</v>
          </cell>
          <cell r="Q249" t="str">
            <v>Fonctionnement</v>
          </cell>
        </row>
        <row r="250">
          <cell r="A250">
            <v>2018</v>
          </cell>
          <cell r="B250" t="str">
            <v>DIRECTION DU PATRIMOINE  ET DES MOYENS GENERAUX</v>
          </cell>
          <cell r="O250">
            <v>368213.46</v>
          </cell>
          <cell r="Q250" t="str">
            <v>Fonctionnement</v>
          </cell>
        </row>
        <row r="251">
          <cell r="A251">
            <v>2019</v>
          </cell>
          <cell r="B251" t="str">
            <v>DIRECTION DU PATRIMOINE  ET DES MOYENS GENERAUX</v>
          </cell>
          <cell r="O251">
            <v>368213.46</v>
          </cell>
          <cell r="Q251" t="str">
            <v>Fonctionnement</v>
          </cell>
        </row>
        <row r="252">
          <cell r="A252">
            <v>2017</v>
          </cell>
          <cell r="B252" t="str">
            <v>DIRECTION DES RESSOURCES HUMAINES</v>
          </cell>
          <cell r="O252">
            <v>114000</v>
          </cell>
          <cell r="Q252" t="str">
            <v>Fonctionnement</v>
          </cell>
        </row>
        <row r="253">
          <cell r="A253">
            <v>2018</v>
          </cell>
          <cell r="B253" t="str">
            <v>DIRECTION DES RESSOURCES HUMAINES</v>
          </cell>
          <cell r="O253">
            <v>114000</v>
          </cell>
          <cell r="Q253" t="str">
            <v>Fonctionnement</v>
          </cell>
        </row>
        <row r="254">
          <cell r="A254">
            <v>2019</v>
          </cell>
          <cell r="B254" t="str">
            <v>DIRECTION DES RESSOURCES HUMAINES</v>
          </cell>
          <cell r="O254">
            <v>117300</v>
          </cell>
          <cell r="Q254" t="str">
            <v>Fonctionnement</v>
          </cell>
        </row>
        <row r="255">
          <cell r="A255">
            <v>2017</v>
          </cell>
          <cell r="B255" t="str">
            <v>DIRECTION DES RESSOURCES HUMAINES</v>
          </cell>
          <cell r="O255">
            <v>38167.199999999997</v>
          </cell>
          <cell r="Q255" t="str">
            <v>Fonctionnement</v>
          </cell>
        </row>
        <row r="256">
          <cell r="A256">
            <v>2018</v>
          </cell>
          <cell r="B256" t="str">
            <v>DIRECTION DES RESSOURCES HUMAINES</v>
          </cell>
          <cell r="O256">
            <v>38167.199999999997</v>
          </cell>
          <cell r="Q256" t="str">
            <v>Fonctionnement</v>
          </cell>
        </row>
        <row r="257">
          <cell r="A257">
            <v>2019</v>
          </cell>
          <cell r="B257" t="str">
            <v>DIRECTION DES RESSOURCES HUMAINES</v>
          </cell>
          <cell r="O257">
            <v>38167.199999999997</v>
          </cell>
          <cell r="Q257" t="str">
            <v>Fonctionnement</v>
          </cell>
        </row>
        <row r="258">
          <cell r="A258">
            <v>2017</v>
          </cell>
          <cell r="B258" t="str">
            <v>DIRECTION DU PATRIMOINE  ET DES MOYENS GENERAUX</v>
          </cell>
          <cell r="O258">
            <v>288676.5</v>
          </cell>
          <cell r="Q258" t="str">
            <v>Fonctionnement</v>
          </cell>
        </row>
        <row r="259">
          <cell r="A259">
            <v>2018</v>
          </cell>
          <cell r="B259" t="str">
            <v>DIRECTION DU PATRIMOINE  ET DES MOYENS GENERAUX</v>
          </cell>
          <cell r="O259">
            <v>288676.5</v>
          </cell>
          <cell r="Q259" t="str">
            <v>Fonctionnement</v>
          </cell>
        </row>
        <row r="260">
          <cell r="A260">
            <v>2019</v>
          </cell>
          <cell r="B260" t="str">
            <v>DIRECTION DU PATRIMOINE  ET DES MOYENS GENERAUX</v>
          </cell>
          <cell r="O260">
            <v>314505.45</v>
          </cell>
          <cell r="Q260" t="str">
            <v>Fonctionnement</v>
          </cell>
        </row>
        <row r="261">
          <cell r="A261">
            <v>2016</v>
          </cell>
          <cell r="B261" t="str">
            <v>DIRECTION DU PATRIMOINE  ET DES MOYENS GENERAUX</v>
          </cell>
          <cell r="O261">
            <v>5011753.68</v>
          </cell>
          <cell r="Q261" t="str">
            <v>Fonctionnement</v>
          </cell>
        </row>
        <row r="262">
          <cell r="A262">
            <v>2017</v>
          </cell>
          <cell r="B262" t="str">
            <v>DIRECTION DU PATRIMOINE  ET DES MOYENS GENERAUX</v>
          </cell>
          <cell r="O262">
            <v>5011753.68</v>
          </cell>
          <cell r="Q262" t="str">
            <v>Fonctionnement</v>
          </cell>
        </row>
        <row r="263">
          <cell r="A263">
            <v>2016</v>
          </cell>
          <cell r="B263" t="str">
            <v>DIRECTION DU PATRIMOINE  ET DES MOYENS GENERAUX</v>
          </cell>
          <cell r="O263">
            <v>3909041.86</v>
          </cell>
          <cell r="Q263" t="str">
            <v>Fonctionnement</v>
          </cell>
        </row>
        <row r="264">
          <cell r="A264">
            <v>2017</v>
          </cell>
          <cell r="B264" t="str">
            <v>DIRECTION DU PATRIMOINE  ET DES MOYENS GENERAUX</v>
          </cell>
          <cell r="O264">
            <v>3909041.86</v>
          </cell>
          <cell r="Q264" t="str">
            <v>Fonctionnement</v>
          </cell>
        </row>
        <row r="265">
          <cell r="A265">
            <v>2018</v>
          </cell>
          <cell r="B265" t="str">
            <v>DIRECTION DU PATRIMOINE  ET DES MOYENS GENERAUX</v>
          </cell>
          <cell r="O265">
            <v>3909041.86</v>
          </cell>
          <cell r="Q265" t="str">
            <v>Fonctionnement</v>
          </cell>
        </row>
        <row r="266">
          <cell r="A266">
            <v>2016</v>
          </cell>
          <cell r="B266" t="str">
            <v>DIRECTION DU PATRIMOINE  ET DES MOYENS GENERAUX</v>
          </cell>
          <cell r="O266">
            <v>1341741.6000000001</v>
          </cell>
          <cell r="Q266" t="str">
            <v>Fonctionnement</v>
          </cell>
        </row>
        <row r="267">
          <cell r="A267">
            <v>2017</v>
          </cell>
          <cell r="B267" t="str">
            <v>DIRECTION DU PATRIMOINE  ET DES MOYENS GENERAUX</v>
          </cell>
          <cell r="O267">
            <v>967311.6</v>
          </cell>
          <cell r="Q267" t="str">
            <v>Fonctionnement</v>
          </cell>
        </row>
        <row r="268">
          <cell r="A268">
            <v>2018</v>
          </cell>
          <cell r="B268" t="str">
            <v>DIRECTION DU PATRIMOINE  ET DES MOYENS GENERAUX</v>
          </cell>
          <cell r="O268">
            <v>1505019.6</v>
          </cell>
          <cell r="Q268" t="str">
            <v>Fonctionnement</v>
          </cell>
        </row>
        <row r="269">
          <cell r="A269">
            <v>2016</v>
          </cell>
          <cell r="B269" t="str">
            <v>DIRECTION DU PATRIMOINE  ET DES MOYENS GENERAUX</v>
          </cell>
          <cell r="O269">
            <v>1993020</v>
          </cell>
          <cell r="Q269" t="str">
            <v>Fonctionnement</v>
          </cell>
        </row>
        <row r="270">
          <cell r="A270">
            <v>2017</v>
          </cell>
          <cell r="B270" t="str">
            <v>DIRECTION DU PATRIMOINE  ET DES MOYENS GENERAUX</v>
          </cell>
          <cell r="O270">
            <v>2165400</v>
          </cell>
          <cell r="Q270" t="str">
            <v>Fonctionnement</v>
          </cell>
        </row>
        <row r="271">
          <cell r="A271">
            <v>2018</v>
          </cell>
          <cell r="B271" t="str">
            <v>DIRECTION DU PATRIMOINE  ET DES MOYENS GENERAUX</v>
          </cell>
          <cell r="O271">
            <v>1527840</v>
          </cell>
          <cell r="Q271" t="str">
            <v>Fonctionnement</v>
          </cell>
        </row>
        <row r="272">
          <cell r="A272">
            <v>2016</v>
          </cell>
          <cell r="B272" t="str">
            <v>DIRECTION DU PATRIMOINE  ET DES MOYENS GENERAUX</v>
          </cell>
          <cell r="O272">
            <v>17635968.010000002</v>
          </cell>
          <cell r="Q272" t="str">
            <v>Fonctionnement</v>
          </cell>
        </row>
        <row r="273">
          <cell r="A273">
            <v>2017</v>
          </cell>
          <cell r="B273" t="str">
            <v>DIRECTION DU PATRIMOINE  ET DES MOYENS GENERAUX</v>
          </cell>
          <cell r="O273">
            <v>17635968.009999998</v>
          </cell>
          <cell r="Q273" t="str">
            <v>Fonctionnement</v>
          </cell>
        </row>
        <row r="274">
          <cell r="A274">
            <v>2016</v>
          </cell>
          <cell r="B274" t="str">
            <v>DIRECTION DU PATRIMOINE  ET DES MOYENS GENERAUX</v>
          </cell>
          <cell r="O274">
            <v>2078676</v>
          </cell>
          <cell r="Q274" t="str">
            <v>Fonctionnement</v>
          </cell>
        </row>
        <row r="275">
          <cell r="A275">
            <v>2017</v>
          </cell>
          <cell r="B275" t="str">
            <v>DIRECTION DU PATRIMOINE  ET DES MOYENS GENERAUX</v>
          </cell>
          <cell r="O275">
            <v>2078676</v>
          </cell>
          <cell r="Q275" t="str">
            <v>Fonctionnement</v>
          </cell>
        </row>
        <row r="276">
          <cell r="A276">
            <v>2016</v>
          </cell>
          <cell r="B276" t="str">
            <v>DIRECTION DU PATRIMOINE  ET DES MOYENS GENERAUX</v>
          </cell>
          <cell r="O276">
            <v>1008021</v>
          </cell>
          <cell r="Q276" t="str">
            <v>Fonctionnement</v>
          </cell>
        </row>
      </sheetData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>
        <row r="1">
          <cell r="A1" t="str">
            <v xml:space="preserve">Direction </v>
          </cell>
          <cell r="B1" t="str">
            <v>Libelle</v>
          </cell>
          <cell r="C1" t="str">
            <v>Nature</v>
          </cell>
          <cell r="D1" t="str">
            <v>Année</v>
          </cell>
          <cell r="E1" t="str">
            <v>BUDGET</v>
          </cell>
          <cell r="F1" t="str">
            <v>Montant</v>
          </cell>
        </row>
        <row r="2">
          <cell r="A2" t="str">
            <v>DIRECTION TECHNIQUE</v>
          </cell>
          <cell r="B2" t="str">
            <v>TECHNIQUE</v>
          </cell>
          <cell r="C2" t="str">
            <v>BC</v>
          </cell>
          <cell r="D2">
            <v>2016</v>
          </cell>
          <cell r="E2" t="str">
            <v>Investissement</v>
          </cell>
          <cell r="F2">
            <v>1.4955664199999998</v>
          </cell>
        </row>
        <row r="3">
          <cell r="A3" t="str">
            <v>DIRECTION DE LA TELEDIFFUSION</v>
          </cell>
          <cell r="B3" t="str">
            <v>TELEDIFFUSION</v>
          </cell>
          <cell r="C3" t="str">
            <v>BC</v>
          </cell>
          <cell r="D3">
            <v>2016</v>
          </cell>
          <cell r="E3" t="str">
            <v>Investissement</v>
          </cell>
          <cell r="F3">
            <v>4.4373191500000004</v>
          </cell>
        </row>
        <row r="4">
          <cell r="A4" t="str">
            <v>DIRECTION DES ACHATS</v>
          </cell>
          <cell r="B4" t="str">
            <v>ACHATS</v>
          </cell>
          <cell r="C4" t="str">
            <v>BC</v>
          </cell>
          <cell r="D4">
            <v>2016</v>
          </cell>
          <cell r="E4" t="str">
            <v>Investissement</v>
          </cell>
          <cell r="F4">
            <v>0</v>
          </cell>
        </row>
        <row r="5">
          <cell r="A5" t="str">
            <v>DIRECTION FINANCIERE</v>
          </cell>
          <cell r="B5" t="str">
            <v>FINANCES</v>
          </cell>
          <cell r="C5" t="str">
            <v>BC</v>
          </cell>
          <cell r="D5">
            <v>2016</v>
          </cell>
          <cell r="E5" t="str">
            <v>Investissement</v>
          </cell>
          <cell r="F5">
            <v>0</v>
          </cell>
        </row>
        <row r="6">
          <cell r="A6" t="str">
            <v>DIRECTION DES RESSOURCES HUMAINES</v>
          </cell>
          <cell r="B6" t="str">
            <v>RESSOURCES HUMAINES</v>
          </cell>
          <cell r="C6" t="str">
            <v>BC</v>
          </cell>
          <cell r="D6">
            <v>2016</v>
          </cell>
          <cell r="E6" t="str">
            <v>Investissement</v>
          </cell>
          <cell r="F6">
            <v>0</v>
          </cell>
        </row>
        <row r="7">
          <cell r="A7" t="str">
            <v>DIRECTION DU PATRIMOINE  ET DES MOYENS GENERAUX</v>
          </cell>
          <cell r="B7" t="str">
            <v>DPMG</v>
          </cell>
          <cell r="C7" t="str">
            <v>BC</v>
          </cell>
          <cell r="D7">
            <v>2016</v>
          </cell>
          <cell r="E7" t="str">
            <v>Investissement</v>
          </cell>
          <cell r="F7">
            <v>4.4244737200000008</v>
          </cell>
        </row>
        <row r="8">
          <cell r="A8" t="str">
            <v>DIRECTION JURIDIQUE</v>
          </cell>
          <cell r="B8" t="str">
            <v>JURIDIQUE</v>
          </cell>
          <cell r="C8" t="str">
            <v>BC</v>
          </cell>
          <cell r="D8">
            <v>2016</v>
          </cell>
          <cell r="E8" t="str">
            <v>Investissement</v>
          </cell>
          <cell r="F8">
            <v>0</v>
          </cell>
        </row>
        <row r="9">
          <cell r="A9" t="str">
            <v>DIRECTION CHARGEE DES RELATIONS INTERNATIONALES</v>
          </cell>
          <cell r="B9" t="str">
            <v>DRI</v>
          </cell>
          <cell r="C9" t="str">
            <v>BC</v>
          </cell>
          <cell r="D9">
            <v>2016</v>
          </cell>
          <cell r="E9" t="str">
            <v>Investissement</v>
          </cell>
          <cell r="F9">
            <v>0</v>
          </cell>
        </row>
        <row r="10">
          <cell r="A10" t="str">
            <v>DIRECTION DE L'AUDIT ET DU CONTRÔLE DE LA GESTION</v>
          </cell>
          <cell r="B10" t="str">
            <v>AUDIT ET CONTRÔLE DE LA GESTION</v>
          </cell>
          <cell r="C10" t="str">
            <v>BC</v>
          </cell>
          <cell r="D10">
            <v>2016</v>
          </cell>
          <cell r="E10" t="str">
            <v>Investissement</v>
          </cell>
          <cell r="F10">
            <v>0</v>
          </cell>
        </row>
        <row r="11">
          <cell r="A11" t="str">
            <v>DIRECTION DE L’INFORMATION RADIO</v>
          </cell>
          <cell r="B11" t="str">
            <v>INFORMATION RADIO</v>
          </cell>
          <cell r="C11" t="str">
            <v>BC</v>
          </cell>
          <cell r="D11">
            <v>2016</v>
          </cell>
          <cell r="E11" t="str">
            <v>Investissement</v>
          </cell>
          <cell r="F11">
            <v>0</v>
          </cell>
        </row>
        <row r="12">
          <cell r="A12" t="str">
            <v>DIRECTION DE L’INFORMATION TV</v>
          </cell>
          <cell r="B12" t="str">
            <v>INFORMATION TV</v>
          </cell>
          <cell r="C12" t="str">
            <v>BC</v>
          </cell>
          <cell r="D12">
            <v>2016</v>
          </cell>
          <cell r="E12" t="str">
            <v>Investissement</v>
          </cell>
          <cell r="F12">
            <v>0.45426</v>
          </cell>
        </row>
        <row r="13">
          <cell r="A13" t="str">
            <v>DIRECTION DE LA PRODUCTION ET DE LA PROGRAMMATION RADIO</v>
          </cell>
          <cell r="B13" t="str">
            <v>RADIO PROD PROG</v>
          </cell>
          <cell r="C13" t="str">
            <v>BC</v>
          </cell>
          <cell r="D13">
            <v>2016</v>
          </cell>
          <cell r="E13" t="str">
            <v>Investissement</v>
          </cell>
          <cell r="F13">
            <v>0.32006400000000002</v>
          </cell>
        </row>
        <row r="14">
          <cell r="A14" t="str">
            <v>DIRECTION DE LA REGIE PUBLICITAIRE ET DES SOLUTIONS DIGITALES</v>
          </cell>
          <cell r="B14" t="str">
            <v xml:space="preserve">REGIE PUBLICITAIRE </v>
          </cell>
          <cell r="C14" t="str">
            <v>BC</v>
          </cell>
          <cell r="D14">
            <v>2016</v>
          </cell>
          <cell r="E14" t="str">
            <v>Investissement</v>
          </cell>
          <cell r="F14">
            <v>1.043598</v>
          </cell>
        </row>
        <row r="15">
          <cell r="A15" t="str">
            <v>DIRECTION MARKETING ET PROGRAMATION TV</v>
          </cell>
          <cell r="B15" t="str">
            <v>MARKETING ET PROG TV</v>
          </cell>
          <cell r="C15" t="str">
            <v>BC</v>
          </cell>
          <cell r="D15">
            <v>2016</v>
          </cell>
          <cell r="E15" t="str">
            <v>Investissement</v>
          </cell>
          <cell r="F15">
            <v>1.1537999999999999</v>
          </cell>
        </row>
        <row r="16">
          <cell r="A16" t="str">
            <v>DIRECTION DE LA COMMUNICATION</v>
          </cell>
          <cell r="B16" t="str">
            <v>COMMUNICATION</v>
          </cell>
          <cell r="C16" t="str">
            <v>BC</v>
          </cell>
          <cell r="D16">
            <v>2016</v>
          </cell>
          <cell r="E16" t="str">
            <v>Investissement</v>
          </cell>
          <cell r="F16">
            <v>0</v>
          </cell>
        </row>
        <row r="17">
          <cell r="A17" t="str">
            <v>DIRECTION ALMAGHRIBIA</v>
          </cell>
          <cell r="B17" t="str">
            <v>ALMAGHRIBIA</v>
          </cell>
          <cell r="C17" t="str">
            <v>BC</v>
          </cell>
          <cell r="D17">
            <v>2016</v>
          </cell>
          <cell r="E17" t="str">
            <v>Investissement</v>
          </cell>
          <cell r="F17">
            <v>0</v>
          </cell>
        </row>
        <row r="18">
          <cell r="A18" t="str">
            <v xml:space="preserve">DIRECTION CENTRALE DE LA CHAINE TV LAAYOUNE </v>
          </cell>
          <cell r="B18" t="str">
            <v xml:space="preserve">LAAYOUNE </v>
          </cell>
          <cell r="C18" t="str">
            <v>BC</v>
          </cell>
          <cell r="D18">
            <v>2016</v>
          </cell>
          <cell r="E18" t="str">
            <v>Investissement</v>
          </cell>
          <cell r="F18">
            <v>0.87809999999999999</v>
          </cell>
        </row>
        <row r="19">
          <cell r="A19" t="str">
            <v>DIRECTION CENTRALE DE LA CHAÎNE ARRYADIA</v>
          </cell>
          <cell r="B19" t="str">
            <v>ARRYADIA</v>
          </cell>
          <cell r="C19" t="str">
            <v>BC</v>
          </cell>
          <cell r="D19">
            <v>2016</v>
          </cell>
          <cell r="E19" t="str">
            <v>Investissement</v>
          </cell>
          <cell r="F19">
            <v>6.2399999999999997E-2</v>
          </cell>
        </row>
        <row r="20">
          <cell r="A20" t="str">
            <v>DIRECTION CENTRALE DE LA CHAÎNE TAMAZIGHT</v>
          </cell>
          <cell r="B20" t="str">
            <v>TAMAZIGHT</v>
          </cell>
          <cell r="C20" t="str">
            <v>BC</v>
          </cell>
          <cell r="D20">
            <v>2016</v>
          </cell>
          <cell r="E20" t="str">
            <v>Investissement</v>
          </cell>
          <cell r="F20">
            <v>0</v>
          </cell>
        </row>
        <row r="21">
          <cell r="A21" t="str">
            <v>DIRECTION CENTRALE DE LA PRODUCTION ET DE L'ANTENNE</v>
          </cell>
          <cell r="B21" t="str">
            <v>ALAOULA</v>
          </cell>
          <cell r="C21" t="str">
            <v>BC</v>
          </cell>
          <cell r="D21">
            <v>2016</v>
          </cell>
          <cell r="E21" t="str">
            <v>Investissement</v>
          </cell>
          <cell r="F21">
            <v>0.23844000000000001</v>
          </cell>
        </row>
        <row r="22">
          <cell r="A22" t="str">
            <v>DIRECTION DE LA QUATRIEME</v>
          </cell>
          <cell r="B22" t="str">
            <v>QUATRIEME</v>
          </cell>
          <cell r="C22" t="str">
            <v>BC</v>
          </cell>
          <cell r="D22">
            <v>2016</v>
          </cell>
          <cell r="E22" t="str">
            <v>Investissement</v>
          </cell>
          <cell r="F22">
            <v>0</v>
          </cell>
        </row>
        <row r="23">
          <cell r="A23" t="str">
            <v>DIRECTION DES CHAÎNES CORANIQUES TV RADIO</v>
          </cell>
          <cell r="B23" t="str">
            <v>ASSADISSA ET RADIO COR</v>
          </cell>
          <cell r="C23" t="str">
            <v>BC</v>
          </cell>
          <cell r="D23">
            <v>2016</v>
          </cell>
          <cell r="E23" t="str">
            <v>Investissement</v>
          </cell>
          <cell r="F23">
            <v>0</v>
          </cell>
        </row>
        <row r="24">
          <cell r="A24" t="str">
            <v>DIRECTION DES SYSTEMES D'INFORMATION</v>
          </cell>
          <cell r="B24" t="str">
            <v>DSI</v>
          </cell>
          <cell r="C24" t="str">
            <v>BC</v>
          </cell>
          <cell r="D24">
            <v>2016</v>
          </cell>
          <cell r="E24" t="str">
            <v>Investissement</v>
          </cell>
          <cell r="F24">
            <v>0.77359199999999995</v>
          </cell>
        </row>
        <row r="25">
          <cell r="A25" t="str">
            <v>DIRECTION TECHNIQUE</v>
          </cell>
          <cell r="B25" t="str">
            <v>TECHNIQUE</v>
          </cell>
          <cell r="C25" t="str">
            <v>BC</v>
          </cell>
          <cell r="D25">
            <v>2017</v>
          </cell>
          <cell r="E25" t="str">
            <v>Investissement</v>
          </cell>
          <cell r="F25">
            <v>0.80713919999999995</v>
          </cell>
        </row>
        <row r="26">
          <cell r="A26" t="str">
            <v>DIRECTION DE LA TELEDIFFUSION</v>
          </cell>
          <cell r="B26" t="str">
            <v>TELEDIFFUSION</v>
          </cell>
          <cell r="C26" t="str">
            <v>BC</v>
          </cell>
          <cell r="D26">
            <v>2017</v>
          </cell>
          <cell r="E26" t="str">
            <v>Investissement</v>
          </cell>
          <cell r="F26">
            <v>5.2280834499999989</v>
          </cell>
        </row>
        <row r="27">
          <cell r="A27" t="str">
            <v>DIRECTION DES ACHATS</v>
          </cell>
          <cell r="B27" t="str">
            <v>ACHATS</v>
          </cell>
          <cell r="C27" t="str">
            <v>BC</v>
          </cell>
          <cell r="D27">
            <v>2017</v>
          </cell>
          <cell r="E27" t="str">
            <v>Investissement</v>
          </cell>
          <cell r="F27">
            <v>0</v>
          </cell>
        </row>
        <row r="28">
          <cell r="A28" t="str">
            <v>DIRECTION FINANCIERE</v>
          </cell>
          <cell r="B28" t="str">
            <v>FINANCES</v>
          </cell>
          <cell r="C28" t="str">
            <v>BC</v>
          </cell>
          <cell r="D28">
            <v>2017</v>
          </cell>
          <cell r="E28" t="str">
            <v>Investissement</v>
          </cell>
          <cell r="F28">
            <v>0</v>
          </cell>
        </row>
        <row r="29">
          <cell r="A29" t="str">
            <v>DIRECTION DES RESSOURCES HUMAINES</v>
          </cell>
          <cell r="B29" t="str">
            <v>RESSOURCES HUMAINES</v>
          </cell>
          <cell r="C29" t="str">
            <v>BC</v>
          </cell>
          <cell r="D29">
            <v>2017</v>
          </cell>
          <cell r="E29" t="str">
            <v>Investissement</v>
          </cell>
          <cell r="F29">
            <v>0</v>
          </cell>
        </row>
        <row r="30">
          <cell r="A30" t="str">
            <v>DIRECTION DU PATRIMOINE  ET DES MOYENS GENERAUX</v>
          </cell>
          <cell r="B30" t="str">
            <v>DPMG</v>
          </cell>
          <cell r="C30" t="str">
            <v>BC</v>
          </cell>
          <cell r="D30">
            <v>2017</v>
          </cell>
          <cell r="E30" t="str">
            <v>Investissement</v>
          </cell>
          <cell r="F30">
            <v>3.6450549799999998</v>
          </cell>
        </row>
        <row r="31">
          <cell r="A31" t="str">
            <v>DIRECTION JURIDIQUE</v>
          </cell>
          <cell r="B31" t="str">
            <v>JURIDIQUE</v>
          </cell>
          <cell r="C31" t="str">
            <v>BC</v>
          </cell>
          <cell r="D31">
            <v>2017</v>
          </cell>
          <cell r="E31" t="str">
            <v>Investissement</v>
          </cell>
          <cell r="F31">
            <v>0</v>
          </cell>
        </row>
        <row r="32">
          <cell r="A32" t="str">
            <v>DIRECTION CHARGEE DES RELATIONS INTERNATIONALES</v>
          </cell>
          <cell r="B32" t="str">
            <v>DRI</v>
          </cell>
          <cell r="C32" t="str">
            <v>BC</v>
          </cell>
          <cell r="D32">
            <v>2017</v>
          </cell>
          <cell r="E32" t="str">
            <v>Investissement</v>
          </cell>
          <cell r="F32">
            <v>0</v>
          </cell>
        </row>
        <row r="33">
          <cell r="A33" t="str">
            <v>DIRECTION DE L'AUDIT ET DU CONTRÔLE DE LA GESTION</v>
          </cell>
          <cell r="B33" t="str">
            <v>AUDIT ET CONTRÔLE DE LA GESTION</v>
          </cell>
          <cell r="C33" t="str">
            <v>BC</v>
          </cell>
          <cell r="D33">
            <v>2017</v>
          </cell>
          <cell r="E33" t="str">
            <v>Investissement</v>
          </cell>
          <cell r="F33">
            <v>0</v>
          </cell>
        </row>
        <row r="34">
          <cell r="A34" t="str">
            <v>DIRECTION DE L’INFORMATION RADIO</v>
          </cell>
          <cell r="B34" t="str">
            <v>INFORMATION RADIO</v>
          </cell>
          <cell r="C34" t="str">
            <v>BC</v>
          </cell>
          <cell r="D34">
            <v>2017</v>
          </cell>
          <cell r="E34" t="str">
            <v>Investissement</v>
          </cell>
          <cell r="F34">
            <v>0</v>
          </cell>
        </row>
        <row r="35">
          <cell r="A35" t="str">
            <v>DIRECTION DE L’INFORMATION TV</v>
          </cell>
          <cell r="B35" t="str">
            <v>INFORMATION TV</v>
          </cell>
          <cell r="C35" t="str">
            <v>BC</v>
          </cell>
          <cell r="D35">
            <v>2017</v>
          </cell>
          <cell r="E35" t="str">
            <v>Investissement</v>
          </cell>
          <cell r="F35">
            <v>0.49887779999999998</v>
          </cell>
        </row>
        <row r="36">
          <cell r="A36" t="str">
            <v>DIRECTION DE LA PRODUCTION ET DE LA PROGRAMMATION RADIO</v>
          </cell>
          <cell r="B36" t="str">
            <v>RADIO PROD PROG</v>
          </cell>
          <cell r="C36" t="str">
            <v>BC</v>
          </cell>
          <cell r="D36">
            <v>2017</v>
          </cell>
          <cell r="E36" t="str">
            <v>Investissement</v>
          </cell>
          <cell r="F36">
            <v>0</v>
          </cell>
        </row>
        <row r="37">
          <cell r="A37" t="str">
            <v>DIRECTION DE LA REGIE PUBLICITAIRE ET DES SOLUTIONS DIGITALES</v>
          </cell>
          <cell r="B37" t="str">
            <v xml:space="preserve">REGIE PUBLICITAIRE </v>
          </cell>
          <cell r="C37" t="str">
            <v>BC</v>
          </cell>
          <cell r="D37">
            <v>2017</v>
          </cell>
          <cell r="E37" t="str">
            <v>Investissement</v>
          </cell>
          <cell r="F37">
            <v>0</v>
          </cell>
        </row>
        <row r="38">
          <cell r="A38" t="str">
            <v>DIRECTION MARKETING ET PROGRAMATION TV</v>
          </cell>
          <cell r="B38" t="str">
            <v>MARKETING ET PROG TV</v>
          </cell>
          <cell r="C38" t="str">
            <v>BC</v>
          </cell>
          <cell r="D38">
            <v>2017</v>
          </cell>
          <cell r="E38" t="str">
            <v>Investissement</v>
          </cell>
          <cell r="F38">
            <v>6.2784000000000006E-2</v>
          </cell>
        </row>
        <row r="39">
          <cell r="A39" t="str">
            <v>DIRECTION DE LA COMMUNICATION</v>
          </cell>
          <cell r="B39" t="str">
            <v>COMMUNICATION</v>
          </cell>
          <cell r="C39" t="str">
            <v>BC</v>
          </cell>
          <cell r="D39">
            <v>2017</v>
          </cell>
          <cell r="E39" t="str">
            <v>Investissement</v>
          </cell>
          <cell r="F39">
            <v>0</v>
          </cell>
        </row>
        <row r="40">
          <cell r="A40" t="str">
            <v>DIRECTION ALMAGHRIBIA</v>
          </cell>
          <cell r="B40" t="str">
            <v>ALMAGHRIBIA</v>
          </cell>
          <cell r="C40" t="str">
            <v>BC</v>
          </cell>
          <cell r="D40">
            <v>2017</v>
          </cell>
          <cell r="E40" t="str">
            <v>Investissement</v>
          </cell>
          <cell r="F40">
            <v>0</v>
          </cell>
        </row>
        <row r="41">
          <cell r="A41" t="str">
            <v xml:space="preserve">DIRECTION CENTRALE DE LA CHAINE TV LAAYOUNE </v>
          </cell>
          <cell r="B41" t="str">
            <v xml:space="preserve">LAAYOUNE </v>
          </cell>
          <cell r="C41" t="str">
            <v>BC</v>
          </cell>
          <cell r="D41">
            <v>2017</v>
          </cell>
          <cell r="E41" t="str">
            <v>Investissement</v>
          </cell>
          <cell r="F41">
            <v>1.794114</v>
          </cell>
        </row>
        <row r="42">
          <cell r="A42" t="str">
            <v>DIRECTION CENTRALE DE LA CHAÎNE ARRYADIA</v>
          </cell>
          <cell r="B42" t="str">
            <v>ARRYADIA</v>
          </cell>
          <cell r="C42" t="str">
            <v>BC</v>
          </cell>
          <cell r="D42">
            <v>2017</v>
          </cell>
          <cell r="E42" t="str">
            <v>Investissement</v>
          </cell>
          <cell r="F42">
            <v>0.23999909999999999</v>
          </cell>
        </row>
        <row r="43">
          <cell r="A43" t="str">
            <v>DIRECTION CENTRALE DE LA CHAÎNE TAMAZIGHT</v>
          </cell>
          <cell r="B43" t="str">
            <v>TAMAZIGHT</v>
          </cell>
          <cell r="C43" t="str">
            <v>BC</v>
          </cell>
          <cell r="D43">
            <v>2017</v>
          </cell>
          <cell r="E43" t="str">
            <v>Investissement</v>
          </cell>
          <cell r="F43">
            <v>0.18675600000000001</v>
          </cell>
        </row>
        <row r="44">
          <cell r="A44" t="str">
            <v>DIRECTION CENTRALE DE LA PRODUCTION ET DE L'ANTENNE</v>
          </cell>
          <cell r="B44" t="str">
            <v>ALAOULA</v>
          </cell>
          <cell r="C44" t="str">
            <v>BC</v>
          </cell>
          <cell r="D44">
            <v>2017</v>
          </cell>
          <cell r="E44" t="str">
            <v>Investissement</v>
          </cell>
          <cell r="F44">
            <v>1.224318</v>
          </cell>
        </row>
        <row r="45">
          <cell r="A45" t="str">
            <v>DIRECTION DE LA QUATRIEME</v>
          </cell>
          <cell r="B45" t="str">
            <v>QUATRIEME</v>
          </cell>
          <cell r="C45" t="str">
            <v>BC</v>
          </cell>
          <cell r="D45">
            <v>2017</v>
          </cell>
          <cell r="E45" t="str">
            <v>Investissement</v>
          </cell>
          <cell r="F45">
            <v>0.39341999999999999</v>
          </cell>
        </row>
        <row r="46">
          <cell r="A46" t="str">
            <v>DIRECTION DES CHAÎNES CORANIQUES TV RADIO</v>
          </cell>
          <cell r="B46" t="str">
            <v>ASSADISSA ET RADIO COR</v>
          </cell>
          <cell r="C46" t="str">
            <v>BC</v>
          </cell>
          <cell r="D46">
            <v>2017</v>
          </cell>
          <cell r="E46" t="str">
            <v>Investissement</v>
          </cell>
          <cell r="F46">
            <v>0.26415</v>
          </cell>
        </row>
        <row r="47">
          <cell r="A47" t="str">
            <v>DIRECTION DES SYSTEMES D'INFORMATION</v>
          </cell>
          <cell r="B47" t="str">
            <v>DSI</v>
          </cell>
          <cell r="C47" t="str">
            <v>BC</v>
          </cell>
          <cell r="D47">
            <v>2017</v>
          </cell>
          <cell r="E47" t="str">
            <v>Investissement</v>
          </cell>
          <cell r="F47">
            <v>0</v>
          </cell>
        </row>
        <row r="48">
          <cell r="A48" t="str">
            <v>DIRECTION TECHNIQUE</v>
          </cell>
          <cell r="B48" t="str">
            <v>TECHNIQUE</v>
          </cell>
          <cell r="C48" t="str">
            <v>BC</v>
          </cell>
          <cell r="D48">
            <v>2018</v>
          </cell>
          <cell r="E48" t="str">
            <v>Investissement</v>
          </cell>
          <cell r="F48">
            <v>0.84362964000000007</v>
          </cell>
        </row>
        <row r="49">
          <cell r="A49" t="str">
            <v>DIRECTION DE LA TELEDIFFUSION</v>
          </cell>
          <cell r="B49" t="str">
            <v>TELEDIFFUSION</v>
          </cell>
          <cell r="C49" t="str">
            <v>BC</v>
          </cell>
          <cell r="D49">
            <v>2018</v>
          </cell>
          <cell r="E49" t="str">
            <v>Investissement</v>
          </cell>
          <cell r="F49">
            <v>4.3167228080000006</v>
          </cell>
        </row>
        <row r="50">
          <cell r="A50" t="str">
            <v>DIRECTION DES ACHATS</v>
          </cell>
          <cell r="B50" t="str">
            <v>ACHATS</v>
          </cell>
          <cell r="C50" t="str">
            <v>BC</v>
          </cell>
          <cell r="D50">
            <v>2018</v>
          </cell>
          <cell r="E50" t="str">
            <v>Investissement</v>
          </cell>
          <cell r="F50">
            <v>0</v>
          </cell>
        </row>
        <row r="51">
          <cell r="A51" t="str">
            <v>DIRECTION FINANCIERE</v>
          </cell>
          <cell r="B51" t="str">
            <v>FINANCES</v>
          </cell>
          <cell r="C51" t="str">
            <v>BC</v>
          </cell>
          <cell r="D51">
            <v>2018</v>
          </cell>
          <cell r="E51" t="str">
            <v>Investissement</v>
          </cell>
          <cell r="F51">
            <v>0</v>
          </cell>
        </row>
        <row r="52">
          <cell r="A52" t="str">
            <v>DIRECTION DES RESSOURCES HUMAINES</v>
          </cell>
          <cell r="B52" t="str">
            <v>RESSOURCES HUMAINES</v>
          </cell>
          <cell r="C52" t="str">
            <v>BC</v>
          </cell>
          <cell r="D52">
            <v>2018</v>
          </cell>
          <cell r="E52" t="str">
            <v>Investissement</v>
          </cell>
          <cell r="F52">
            <v>0</v>
          </cell>
        </row>
        <row r="53">
          <cell r="A53" t="str">
            <v>DIRECTION DU PATRIMOINE  ET DES MOYENS GENERAUX</v>
          </cell>
          <cell r="B53" t="str">
            <v>DPMG</v>
          </cell>
          <cell r="C53" t="str">
            <v>BC</v>
          </cell>
          <cell r="D53">
            <v>2018</v>
          </cell>
          <cell r="E53" t="str">
            <v>Investissement</v>
          </cell>
          <cell r="F53">
            <v>3.8463500000000002</v>
          </cell>
        </row>
        <row r="54">
          <cell r="A54" t="str">
            <v>DIRECTION JURIDIQUE</v>
          </cell>
          <cell r="B54" t="str">
            <v>JURIDIQUE</v>
          </cell>
          <cell r="C54" t="str">
            <v>BC</v>
          </cell>
          <cell r="D54">
            <v>2018</v>
          </cell>
          <cell r="E54" t="str">
            <v>Investissement</v>
          </cell>
          <cell r="F54">
            <v>0</v>
          </cell>
        </row>
        <row r="55">
          <cell r="A55" t="str">
            <v>DIRECTION CHARGEE DES RELATIONS INTERNATIONALES</v>
          </cell>
          <cell r="B55" t="str">
            <v>DRI</v>
          </cell>
          <cell r="C55" t="str">
            <v>BC</v>
          </cell>
          <cell r="D55">
            <v>2018</v>
          </cell>
          <cell r="E55" t="str">
            <v>Investissement</v>
          </cell>
          <cell r="F55">
            <v>0</v>
          </cell>
        </row>
        <row r="56">
          <cell r="A56" t="str">
            <v>DIRECTION DE L'AUDIT ET DU CONTRÔLE DE LA GESTION</v>
          </cell>
          <cell r="B56" t="str">
            <v>AUDIT ET CONTRÔLE DE LA GESTION</v>
          </cell>
          <cell r="C56" t="str">
            <v>BC</v>
          </cell>
          <cell r="D56">
            <v>2018</v>
          </cell>
          <cell r="E56" t="str">
            <v>Investissement</v>
          </cell>
          <cell r="F56">
            <v>0</v>
          </cell>
        </row>
        <row r="57">
          <cell r="A57" t="str">
            <v>DIRECTION DE L’INFORMATION RADIO</v>
          </cell>
          <cell r="B57" t="str">
            <v>INFORMATION RADIO</v>
          </cell>
          <cell r="C57" t="str">
            <v>BC</v>
          </cell>
          <cell r="D57">
            <v>2018</v>
          </cell>
          <cell r="E57" t="str">
            <v>Investissement</v>
          </cell>
          <cell r="F57">
            <v>0</v>
          </cell>
        </row>
        <row r="58">
          <cell r="A58" t="str">
            <v>DIRECTION DE L’INFORMATION TV</v>
          </cell>
          <cell r="B58" t="str">
            <v>INFORMATION TV</v>
          </cell>
          <cell r="C58" t="str">
            <v>BC</v>
          </cell>
          <cell r="D58">
            <v>2018</v>
          </cell>
          <cell r="E58" t="str">
            <v>Investissement</v>
          </cell>
          <cell r="F58">
            <v>0</v>
          </cell>
        </row>
        <row r="59">
          <cell r="A59" t="str">
            <v>DIRECTION DE LA PRODUCTION ET DE LA PROGRAMMATION RADIO</v>
          </cell>
          <cell r="B59" t="str">
            <v>RADIO PROD PROG</v>
          </cell>
          <cell r="C59" t="str">
            <v>BC</v>
          </cell>
          <cell r="D59">
            <v>2018</v>
          </cell>
          <cell r="E59" t="str">
            <v>Investissement</v>
          </cell>
          <cell r="F59">
            <v>0</v>
          </cell>
        </row>
        <row r="60">
          <cell r="A60" t="str">
            <v>DIRECTION DE LA REGIE PUBLICITAIRE ET DES SOLUTIONS DIGITALES</v>
          </cell>
          <cell r="B60" t="str">
            <v xml:space="preserve">REGIE PUBLICITAIRE </v>
          </cell>
          <cell r="C60" t="str">
            <v>BC</v>
          </cell>
          <cell r="D60">
            <v>2018</v>
          </cell>
          <cell r="E60" t="str">
            <v>Investissement</v>
          </cell>
          <cell r="F60">
            <v>1.3557759199999999</v>
          </cell>
        </row>
        <row r="61">
          <cell r="A61" t="str">
            <v>DIRECTION MARKETING ET PROGRAMATION TV</v>
          </cell>
          <cell r="B61" t="str">
            <v>MARKETING ET PROG TV</v>
          </cell>
          <cell r="C61" t="str">
            <v>BC</v>
          </cell>
          <cell r="D61">
            <v>2018</v>
          </cell>
          <cell r="E61" t="str">
            <v>Investissement</v>
          </cell>
          <cell r="F61">
            <v>0.180696</v>
          </cell>
        </row>
        <row r="62">
          <cell r="A62" t="str">
            <v>DIRECTION DE LA COMMUNICATION</v>
          </cell>
          <cell r="B62" t="str">
            <v>COMMUNICATION</v>
          </cell>
          <cell r="C62" t="str">
            <v>BC</v>
          </cell>
          <cell r="D62">
            <v>2018</v>
          </cell>
          <cell r="E62" t="str">
            <v>Investissement</v>
          </cell>
          <cell r="F62">
            <v>0</v>
          </cell>
        </row>
        <row r="63">
          <cell r="A63" t="str">
            <v>DIRECTION ALMAGHRIBIA</v>
          </cell>
          <cell r="B63" t="str">
            <v>ALMAGHRIBIA</v>
          </cell>
          <cell r="C63" t="str">
            <v>BC</v>
          </cell>
          <cell r="D63">
            <v>2018</v>
          </cell>
          <cell r="E63" t="str">
            <v>Investissement</v>
          </cell>
          <cell r="F63">
            <v>0</v>
          </cell>
        </row>
        <row r="64">
          <cell r="A64" t="str">
            <v xml:space="preserve">DIRECTION CENTRALE DE LA CHAINE TV LAAYOUNE </v>
          </cell>
          <cell r="B64" t="str">
            <v xml:space="preserve">LAAYOUNE </v>
          </cell>
          <cell r="C64" t="str">
            <v>BC</v>
          </cell>
          <cell r="D64">
            <v>2018</v>
          </cell>
          <cell r="E64" t="str">
            <v>Investissement</v>
          </cell>
          <cell r="F64">
            <v>1.3687758000000001</v>
          </cell>
        </row>
        <row r="65">
          <cell r="A65" t="str">
            <v>DIRECTION CENTRALE DE LA CHAÎNE ARRYADIA</v>
          </cell>
          <cell r="B65" t="str">
            <v>ARRYADIA</v>
          </cell>
          <cell r="C65" t="str">
            <v>BC</v>
          </cell>
          <cell r="D65">
            <v>2018</v>
          </cell>
          <cell r="E65" t="str">
            <v>Investissement</v>
          </cell>
          <cell r="F65">
            <v>0.44424000000000002</v>
          </cell>
        </row>
        <row r="66">
          <cell r="A66" t="str">
            <v>DIRECTION CENTRALE DE LA CHAÎNE TAMAZIGHT</v>
          </cell>
          <cell r="B66" t="str">
            <v>TAMAZIGHT</v>
          </cell>
          <cell r="C66" t="str">
            <v>BC</v>
          </cell>
          <cell r="D66">
            <v>2018</v>
          </cell>
          <cell r="E66" t="str">
            <v>Investissement</v>
          </cell>
          <cell r="F66">
            <v>0</v>
          </cell>
        </row>
        <row r="67">
          <cell r="A67" t="str">
            <v>DIRECTION CENTRALE DE LA PRODUCTION ET DE L'ANTENNE</v>
          </cell>
          <cell r="B67" t="str">
            <v>ALAOULA</v>
          </cell>
          <cell r="C67" t="str">
            <v>BC</v>
          </cell>
          <cell r="D67">
            <v>2018</v>
          </cell>
          <cell r="E67" t="str">
            <v>Investissement</v>
          </cell>
          <cell r="F67">
            <v>0</v>
          </cell>
        </row>
        <row r="68">
          <cell r="A68" t="str">
            <v>DIRECTION DE LA QUATRIEME</v>
          </cell>
          <cell r="B68" t="str">
            <v>QUATRIEME</v>
          </cell>
          <cell r="C68" t="str">
            <v>BC</v>
          </cell>
          <cell r="D68">
            <v>2018</v>
          </cell>
          <cell r="E68" t="str">
            <v>Investissement</v>
          </cell>
          <cell r="F68">
            <v>0</v>
          </cell>
        </row>
        <row r="69">
          <cell r="A69" t="str">
            <v>DIRECTION DES CHAÎNES CORANIQUES TV RADIO</v>
          </cell>
          <cell r="B69" t="str">
            <v>ASSADISSA ET RADIO COR</v>
          </cell>
          <cell r="C69" t="str">
            <v>BC</v>
          </cell>
          <cell r="D69">
            <v>2018</v>
          </cell>
          <cell r="E69" t="str">
            <v>Investissement</v>
          </cell>
          <cell r="F69">
            <v>0</v>
          </cell>
        </row>
        <row r="70">
          <cell r="A70" t="str">
            <v>DIRECTION DES SYSTEMES D'INFORMATION</v>
          </cell>
          <cell r="B70" t="str">
            <v>DSI</v>
          </cell>
          <cell r="C70" t="str">
            <v>BC</v>
          </cell>
          <cell r="D70">
            <v>2018</v>
          </cell>
          <cell r="E70" t="str">
            <v>Investissement</v>
          </cell>
          <cell r="F70">
            <v>0.85214500000000004</v>
          </cell>
        </row>
        <row r="71">
          <cell r="A71" t="str">
            <v>DIRECTION TECHNIQUE</v>
          </cell>
          <cell r="B71" t="str">
            <v>TECHNIQUE</v>
          </cell>
          <cell r="C71" t="str">
            <v>BC</v>
          </cell>
          <cell r="D71">
            <v>2019</v>
          </cell>
          <cell r="E71" t="str">
            <v>Investissement</v>
          </cell>
          <cell r="F71">
            <v>1.1430614860000001</v>
          </cell>
        </row>
        <row r="72">
          <cell r="A72" t="str">
            <v>DIRECTION DE LA TELEDIFFUSION</v>
          </cell>
          <cell r="B72" t="str">
            <v>TELEDIFFUSION</v>
          </cell>
          <cell r="C72" t="str">
            <v>BC</v>
          </cell>
          <cell r="D72">
            <v>2019</v>
          </cell>
          <cell r="E72" t="str">
            <v>Investissement</v>
          </cell>
          <cell r="F72">
            <v>4.0674542039999997</v>
          </cell>
        </row>
        <row r="73">
          <cell r="A73" t="str">
            <v>DIRECTION DES ACHATS</v>
          </cell>
          <cell r="B73" t="str">
            <v>ACHATS</v>
          </cell>
          <cell r="C73" t="str">
            <v>BC</v>
          </cell>
          <cell r="D73">
            <v>2019</v>
          </cell>
          <cell r="E73" t="str">
            <v>Investissement</v>
          </cell>
          <cell r="F73">
            <v>0</v>
          </cell>
        </row>
        <row r="74">
          <cell r="A74" t="str">
            <v>DIRECTION FINANCIERE</v>
          </cell>
          <cell r="B74" t="str">
            <v>FINANCES</v>
          </cell>
          <cell r="C74" t="str">
            <v>BC</v>
          </cell>
          <cell r="D74">
            <v>2019</v>
          </cell>
          <cell r="E74" t="str">
            <v>Investissement</v>
          </cell>
          <cell r="F74">
            <v>0</v>
          </cell>
        </row>
        <row r="75">
          <cell r="A75" t="str">
            <v>DIRECTION DES RESSOURCES HUMAINES</v>
          </cell>
          <cell r="B75" t="str">
            <v>RESSOURCES HUMAINES</v>
          </cell>
          <cell r="C75" t="str">
            <v>BC</v>
          </cell>
          <cell r="D75">
            <v>2019</v>
          </cell>
          <cell r="E75" t="str">
            <v>Investissement</v>
          </cell>
          <cell r="F75">
            <v>0</v>
          </cell>
        </row>
        <row r="76">
          <cell r="A76" t="str">
            <v>DIRECTION DU PATRIMOINE  ET DES MOYENS GENERAUX</v>
          </cell>
          <cell r="B76" t="str">
            <v>DPMG</v>
          </cell>
          <cell r="C76" t="str">
            <v>BC</v>
          </cell>
          <cell r="D76">
            <v>2019</v>
          </cell>
          <cell r="E76" t="str">
            <v>Investissement</v>
          </cell>
          <cell r="F76">
            <v>1.294554</v>
          </cell>
        </row>
        <row r="77">
          <cell r="A77" t="str">
            <v>DIRECTION JURIDIQUE</v>
          </cell>
          <cell r="B77" t="str">
            <v>JURIDIQUE</v>
          </cell>
          <cell r="C77" t="str">
            <v>BC</v>
          </cell>
          <cell r="D77">
            <v>2019</v>
          </cell>
          <cell r="E77" t="str">
            <v>Investissement</v>
          </cell>
          <cell r="F77">
            <v>0</v>
          </cell>
        </row>
        <row r="78">
          <cell r="A78" t="str">
            <v>DIRECTION CHARGEE DES RELATIONS INTERNATIONALES</v>
          </cell>
          <cell r="B78" t="str">
            <v>DRI</v>
          </cell>
          <cell r="C78" t="str">
            <v>BC</v>
          </cell>
          <cell r="D78">
            <v>2019</v>
          </cell>
          <cell r="E78" t="str">
            <v>Investissement</v>
          </cell>
          <cell r="F78">
            <v>0</v>
          </cell>
        </row>
        <row r="79">
          <cell r="A79" t="str">
            <v>DIRECTION DE L'AUDIT ET DU CONTRÔLE DE LA GESTION</v>
          </cell>
          <cell r="B79" t="str">
            <v>AUDIT ET CONTRÔLE DE LA GESTION</v>
          </cell>
          <cell r="C79" t="str">
            <v>BC</v>
          </cell>
          <cell r="D79">
            <v>2019</v>
          </cell>
          <cell r="E79" t="str">
            <v>Investissement</v>
          </cell>
          <cell r="F79">
            <v>0</v>
          </cell>
        </row>
        <row r="80">
          <cell r="A80" t="str">
            <v>DIRECTION DE L’INFORMATION RADIO</v>
          </cell>
          <cell r="B80" t="str">
            <v>INFORMATION RADIO</v>
          </cell>
          <cell r="C80" t="str">
            <v>BC</v>
          </cell>
          <cell r="D80">
            <v>2019</v>
          </cell>
          <cell r="E80" t="str">
            <v>Investissement</v>
          </cell>
          <cell r="F80">
            <v>0</v>
          </cell>
        </row>
        <row r="81">
          <cell r="A81" t="str">
            <v>DIRECTION DE L’INFORMATION TV</v>
          </cell>
          <cell r="B81" t="str">
            <v>INFORMATION TV</v>
          </cell>
          <cell r="C81" t="str">
            <v>BC</v>
          </cell>
          <cell r="D81">
            <v>2019</v>
          </cell>
          <cell r="E81" t="str">
            <v>Investissement</v>
          </cell>
          <cell r="F81">
            <v>0</v>
          </cell>
        </row>
        <row r="82">
          <cell r="A82" t="str">
            <v>DIRECTION DE LA PRODUCTION ET DE LA PROGRAMMATION RADIO</v>
          </cell>
          <cell r="B82" t="str">
            <v>RADIO PROD PROG</v>
          </cell>
          <cell r="C82" t="str">
            <v>BC</v>
          </cell>
          <cell r="D82">
            <v>2019</v>
          </cell>
          <cell r="E82" t="str">
            <v>Investissement</v>
          </cell>
          <cell r="F82">
            <v>0</v>
          </cell>
        </row>
        <row r="83">
          <cell r="A83" t="str">
            <v>DIRECTION DE LA REGIE PUBLICITAIRE ET DES SOLUTIONS DIGITALES</v>
          </cell>
          <cell r="B83" t="str">
            <v xml:space="preserve">REGIE PUBLICITAIRE </v>
          </cell>
          <cell r="C83" t="str">
            <v>BC</v>
          </cell>
          <cell r="D83">
            <v>2019</v>
          </cell>
          <cell r="E83" t="str">
            <v>Investissement</v>
          </cell>
          <cell r="F83">
            <v>0.80021100000000001</v>
          </cell>
        </row>
        <row r="84">
          <cell r="A84" t="str">
            <v>DIRECTION MARKETING ET PROGRAMATION TV</v>
          </cell>
          <cell r="B84" t="str">
            <v>MARKETING ET PROG TV</v>
          </cell>
          <cell r="C84" t="str">
            <v>BC</v>
          </cell>
          <cell r="D84">
            <v>2019</v>
          </cell>
          <cell r="E84" t="str">
            <v>Investissement</v>
          </cell>
          <cell r="F84">
            <v>0</v>
          </cell>
        </row>
        <row r="85">
          <cell r="A85" t="str">
            <v>DIRECTION DE LA COMMUNICATION</v>
          </cell>
          <cell r="B85" t="str">
            <v>COMMUNICATION</v>
          </cell>
          <cell r="C85" t="str">
            <v>BC</v>
          </cell>
          <cell r="D85">
            <v>2019</v>
          </cell>
          <cell r="E85" t="str">
            <v>Investissement</v>
          </cell>
          <cell r="F85">
            <v>0.22595999999999999</v>
          </cell>
        </row>
        <row r="86">
          <cell r="A86" t="str">
            <v>DIRECTION ALMAGHRIBIA</v>
          </cell>
          <cell r="B86" t="str">
            <v>ALMAGHRIBIA</v>
          </cell>
          <cell r="C86" t="str">
            <v>BC</v>
          </cell>
          <cell r="D86">
            <v>2019</v>
          </cell>
          <cell r="E86" t="str">
            <v>Investissement</v>
          </cell>
          <cell r="F86">
            <v>0</v>
          </cell>
        </row>
        <row r="87">
          <cell r="A87" t="str">
            <v xml:space="preserve">DIRECTION CENTRALE DE LA CHAINE TV LAAYOUNE </v>
          </cell>
          <cell r="B87" t="str">
            <v xml:space="preserve">LAAYOUNE </v>
          </cell>
          <cell r="C87" t="str">
            <v>BC</v>
          </cell>
          <cell r="D87">
            <v>2019</v>
          </cell>
          <cell r="E87" t="str">
            <v>Investissement</v>
          </cell>
          <cell r="F87">
            <v>0.55794999999999995</v>
          </cell>
        </row>
        <row r="88">
          <cell r="A88" t="str">
            <v>DIRECTION CENTRALE DE LA CHAÎNE ARRYADIA</v>
          </cell>
          <cell r="B88" t="str">
            <v>ARRYADIA</v>
          </cell>
          <cell r="C88" t="str">
            <v>BC</v>
          </cell>
          <cell r="D88">
            <v>2019</v>
          </cell>
          <cell r="E88" t="str">
            <v>Investissement</v>
          </cell>
          <cell r="F88">
            <v>0.72563999999999995</v>
          </cell>
        </row>
        <row r="89">
          <cell r="A89" t="str">
            <v>DIRECTION CENTRALE DE LA CHAÎNE TAMAZIGHT</v>
          </cell>
          <cell r="B89" t="str">
            <v>TAMAZIGHT</v>
          </cell>
          <cell r="C89" t="str">
            <v>BC</v>
          </cell>
          <cell r="D89">
            <v>2019</v>
          </cell>
          <cell r="E89" t="str">
            <v>Investissement</v>
          </cell>
          <cell r="F89">
            <v>0.33348002000000004</v>
          </cell>
        </row>
        <row r="90">
          <cell r="A90" t="str">
            <v>DIRECTION CENTRALE DE LA PRODUCTION ET DE L'ANTENNE</v>
          </cell>
          <cell r="B90" t="str">
            <v>ALAOULA</v>
          </cell>
          <cell r="C90" t="str">
            <v>BC</v>
          </cell>
          <cell r="D90">
            <v>2019</v>
          </cell>
          <cell r="E90" t="str">
            <v>Investissement</v>
          </cell>
          <cell r="F90">
            <v>0.56955599999999995</v>
          </cell>
        </row>
        <row r="91">
          <cell r="A91" t="str">
            <v>DIRECTION DE LA QUATRIEME</v>
          </cell>
          <cell r="B91" t="str">
            <v>QUATRIEME</v>
          </cell>
          <cell r="C91" t="str">
            <v>BC</v>
          </cell>
          <cell r="D91">
            <v>2019</v>
          </cell>
          <cell r="E91" t="str">
            <v>Investissement</v>
          </cell>
          <cell r="F91">
            <v>0.94067999999999996</v>
          </cell>
        </row>
        <row r="92">
          <cell r="A92" t="str">
            <v>DIRECTION DES CHAÎNES CORANIQUES TV RADIO</v>
          </cell>
          <cell r="B92" t="str">
            <v>ASSADISSA ET RADIO COR</v>
          </cell>
          <cell r="C92" t="str">
            <v>BC</v>
          </cell>
          <cell r="D92">
            <v>2019</v>
          </cell>
          <cell r="E92" t="str">
            <v>Investissement</v>
          </cell>
          <cell r="F92">
            <v>0.35759999999999997</v>
          </cell>
        </row>
        <row r="93">
          <cell r="A93" t="str">
            <v>DIRECTION DES SYSTEMES D'INFORMATION</v>
          </cell>
          <cell r="B93" t="str">
            <v>DSI</v>
          </cell>
          <cell r="C93" t="str">
            <v>BC</v>
          </cell>
          <cell r="D93">
            <v>2019</v>
          </cell>
          <cell r="E93" t="str">
            <v>Investissement</v>
          </cell>
          <cell r="F93">
            <v>2.6214159599999998</v>
          </cell>
        </row>
        <row r="94">
          <cell r="A94" t="str">
            <v>DIRECTION TECHNIQUE</v>
          </cell>
          <cell r="B94" t="str">
            <v>TECHNIQUE</v>
          </cell>
          <cell r="C94" t="str">
            <v>BC</v>
          </cell>
          <cell r="D94">
            <v>2020</v>
          </cell>
          <cell r="E94" t="str">
            <v>Investissement</v>
          </cell>
          <cell r="F94">
            <v>1.2370425600000001</v>
          </cell>
        </row>
        <row r="95">
          <cell r="A95" t="str">
            <v>DIRECTION DE LA TELEDIFFUSION</v>
          </cell>
          <cell r="B95" t="str">
            <v>TELEDIFFUSION</v>
          </cell>
          <cell r="C95" t="str">
            <v>BC</v>
          </cell>
          <cell r="D95">
            <v>2020</v>
          </cell>
          <cell r="E95" t="str">
            <v>Investissement</v>
          </cell>
          <cell r="F95">
            <v>3.0460131640000006</v>
          </cell>
        </row>
        <row r="96">
          <cell r="A96" t="str">
            <v>DIRECTION DES ACHATS</v>
          </cell>
          <cell r="B96" t="str">
            <v>ACHATS</v>
          </cell>
          <cell r="C96" t="str">
            <v>BC</v>
          </cell>
          <cell r="D96">
            <v>2020</v>
          </cell>
          <cell r="E96" t="str">
            <v>Investissement</v>
          </cell>
          <cell r="F96">
            <v>0</v>
          </cell>
        </row>
        <row r="97">
          <cell r="A97" t="str">
            <v>DIRECTION FINANCIERE</v>
          </cell>
          <cell r="B97" t="str">
            <v>FINANCES</v>
          </cell>
          <cell r="C97" t="str">
            <v>BC</v>
          </cell>
          <cell r="D97">
            <v>2020</v>
          </cell>
          <cell r="E97" t="str">
            <v>Investissement</v>
          </cell>
          <cell r="F97">
            <v>0</v>
          </cell>
        </row>
        <row r="98">
          <cell r="A98" t="str">
            <v>DIRECTION DES RESSOURCES HUMAINES</v>
          </cell>
          <cell r="B98" t="str">
            <v>RESSOURCES HUMAINES</v>
          </cell>
          <cell r="C98" t="str">
            <v>BC</v>
          </cell>
          <cell r="D98">
            <v>2020</v>
          </cell>
          <cell r="E98" t="str">
            <v>Investissement</v>
          </cell>
          <cell r="F98">
            <v>8.8368000000000002E-2</v>
          </cell>
        </row>
        <row r="99">
          <cell r="A99" t="str">
            <v>DIRECTION DU PATRIMOINE  ET DES MOYENS GENERAUX</v>
          </cell>
          <cell r="B99" t="str">
            <v>DPMG</v>
          </cell>
          <cell r="C99" t="str">
            <v>BC</v>
          </cell>
          <cell r="D99">
            <v>2020</v>
          </cell>
          <cell r="E99" t="str">
            <v>Investissement</v>
          </cell>
          <cell r="F99">
            <v>1.8639535680000001</v>
          </cell>
        </row>
        <row r="100">
          <cell r="A100" t="str">
            <v>DIRECTION JURIDIQUE</v>
          </cell>
          <cell r="B100" t="str">
            <v>JURIDIQUE</v>
          </cell>
          <cell r="C100" t="str">
            <v>BC</v>
          </cell>
          <cell r="D100">
            <v>2020</v>
          </cell>
          <cell r="E100" t="str">
            <v>Investissement</v>
          </cell>
          <cell r="F100">
            <v>0</v>
          </cell>
        </row>
        <row r="101">
          <cell r="A101" t="str">
            <v>DIRECTION CHARGEE DES RELATIONS INTERNATIONALES</v>
          </cell>
          <cell r="B101" t="str">
            <v>DRI</v>
          </cell>
          <cell r="C101" t="str">
            <v>BC</v>
          </cell>
          <cell r="D101">
            <v>2020</v>
          </cell>
          <cell r="E101" t="str">
            <v>Investissement</v>
          </cell>
          <cell r="F101">
            <v>0</v>
          </cell>
        </row>
        <row r="102">
          <cell r="A102" t="str">
            <v>DIRECTION DE L'AUDIT ET DU CONTRÔLE DE LA GESTION</v>
          </cell>
          <cell r="B102" t="str">
            <v>AUDIT ET CONTRÔLE DE LA GESTION</v>
          </cell>
          <cell r="C102" t="str">
            <v>BC</v>
          </cell>
          <cell r="D102">
            <v>2020</v>
          </cell>
          <cell r="E102" t="str">
            <v>Investissement</v>
          </cell>
          <cell r="F102">
            <v>0</v>
          </cell>
        </row>
        <row r="103">
          <cell r="A103" t="str">
            <v>DIRECTION DE L’INFORMATION RADIO</v>
          </cell>
          <cell r="B103" t="str">
            <v>INFORMATION RADIO</v>
          </cell>
          <cell r="C103" t="str">
            <v>BC</v>
          </cell>
          <cell r="D103">
            <v>2020</v>
          </cell>
          <cell r="E103" t="str">
            <v>Investissement</v>
          </cell>
          <cell r="F103">
            <v>0</v>
          </cell>
        </row>
        <row r="104">
          <cell r="A104" t="str">
            <v>DIRECTION DE L’INFORMATION TV</v>
          </cell>
          <cell r="B104" t="str">
            <v>INFORMATION TV</v>
          </cell>
          <cell r="C104" t="str">
            <v>BC</v>
          </cell>
          <cell r="D104">
            <v>2020</v>
          </cell>
          <cell r="E104" t="str">
            <v>Investissement</v>
          </cell>
          <cell r="F104">
            <v>0</v>
          </cell>
        </row>
        <row r="105">
          <cell r="A105" t="str">
            <v>DIRECTION DE LA PRODUCTION ET DE LA PROGRAMMATION RADIO</v>
          </cell>
          <cell r="B105" t="str">
            <v>RADIO PROD PROG</v>
          </cell>
          <cell r="C105" t="str">
            <v>BC</v>
          </cell>
          <cell r="D105">
            <v>2020</v>
          </cell>
          <cell r="E105" t="str">
            <v>Investissement</v>
          </cell>
          <cell r="F105">
            <v>0</v>
          </cell>
        </row>
        <row r="106">
          <cell r="A106" t="str">
            <v>DIRECTION DE LA REGIE PUBLICITAIRE ET DES SOLUTIONS DIGITALES</v>
          </cell>
          <cell r="B106" t="str">
            <v xml:space="preserve">REGIE PUBLICITAIRE </v>
          </cell>
          <cell r="C106" t="str">
            <v>BC</v>
          </cell>
          <cell r="D106">
            <v>2020</v>
          </cell>
          <cell r="E106" t="str">
            <v>Investissement</v>
          </cell>
          <cell r="F106">
            <v>0.13020000000000001</v>
          </cell>
        </row>
        <row r="107">
          <cell r="A107" t="str">
            <v>DIRECTION MARKETING ET PROGRAMATION TV</v>
          </cell>
          <cell r="B107" t="str">
            <v>MARKETING ET PROG TV</v>
          </cell>
          <cell r="C107" t="str">
            <v>BC</v>
          </cell>
          <cell r="D107">
            <v>2020</v>
          </cell>
          <cell r="E107" t="str">
            <v>Investissement</v>
          </cell>
          <cell r="F107">
            <v>0.62351999999999996</v>
          </cell>
        </row>
        <row r="108">
          <cell r="A108" t="str">
            <v>DIRECTION DE LA COMMUNICATION</v>
          </cell>
          <cell r="B108" t="str">
            <v>COMMUNICATION</v>
          </cell>
          <cell r="C108" t="str">
            <v>BC</v>
          </cell>
          <cell r="D108">
            <v>2020</v>
          </cell>
          <cell r="E108" t="str">
            <v>Investissement</v>
          </cell>
          <cell r="F108">
            <v>0</v>
          </cell>
        </row>
        <row r="109">
          <cell r="A109" t="str">
            <v>DIRECTION ALMAGHRIBIA</v>
          </cell>
          <cell r="B109" t="str">
            <v>ALMAGHRIBIA</v>
          </cell>
          <cell r="C109" t="str">
            <v>BC</v>
          </cell>
          <cell r="D109">
            <v>2020</v>
          </cell>
          <cell r="E109" t="str">
            <v>Investissement</v>
          </cell>
          <cell r="F109">
            <v>0</v>
          </cell>
        </row>
        <row r="110">
          <cell r="A110" t="str">
            <v xml:space="preserve">DIRECTION CENTRALE DE LA CHAINE TV LAAYOUNE </v>
          </cell>
          <cell r="B110" t="str">
            <v xml:space="preserve">LAAYOUNE </v>
          </cell>
          <cell r="C110" t="str">
            <v>BC</v>
          </cell>
          <cell r="D110">
            <v>2020</v>
          </cell>
          <cell r="E110" t="str">
            <v>Investissement</v>
          </cell>
          <cell r="F110">
            <v>0.2298528</v>
          </cell>
        </row>
        <row r="111">
          <cell r="A111" t="str">
            <v>DIRECTION CENTRALE DE LA CHAÎNE ARRYADIA</v>
          </cell>
          <cell r="B111" t="str">
            <v>ARRYADIA</v>
          </cell>
          <cell r="C111" t="str">
            <v>BC</v>
          </cell>
          <cell r="D111">
            <v>2020</v>
          </cell>
          <cell r="E111" t="str">
            <v>Investissement</v>
          </cell>
          <cell r="F111">
            <v>0.12384000000000001</v>
          </cell>
        </row>
        <row r="112">
          <cell r="A112" t="str">
            <v>DIRECTION CENTRALE DE LA CHAÎNE TAMAZIGHT</v>
          </cell>
          <cell r="B112" t="str">
            <v>TAMAZIGHT</v>
          </cell>
          <cell r="C112" t="str">
            <v>BC</v>
          </cell>
          <cell r="D112">
            <v>2020</v>
          </cell>
          <cell r="E112" t="str">
            <v>Investissement</v>
          </cell>
          <cell r="F112">
            <v>7.8371999999999997E-2</v>
          </cell>
        </row>
        <row r="113">
          <cell r="A113" t="str">
            <v>DIRECTION CENTRALE DE LA PRODUCTION ET DE L'ANTENNE</v>
          </cell>
          <cell r="B113" t="str">
            <v>ALAOULA</v>
          </cell>
          <cell r="C113" t="str">
            <v>BC</v>
          </cell>
          <cell r="D113">
            <v>2020</v>
          </cell>
          <cell r="E113" t="str">
            <v>Investissement</v>
          </cell>
          <cell r="F113">
            <v>0.50942399999999999</v>
          </cell>
        </row>
        <row r="114">
          <cell r="A114" t="str">
            <v>DIRECTION DE LA QUATRIEME</v>
          </cell>
          <cell r="B114" t="str">
            <v>QUATRIEME</v>
          </cell>
          <cell r="C114" t="str">
            <v>BC</v>
          </cell>
          <cell r="D114">
            <v>2020</v>
          </cell>
          <cell r="E114" t="str">
            <v>Investissement</v>
          </cell>
          <cell r="F114">
            <v>0</v>
          </cell>
        </row>
        <row r="115">
          <cell r="A115" t="str">
            <v>DIRECTION DES CHAÎNES CORANIQUES TV RADIO</v>
          </cell>
          <cell r="B115" t="str">
            <v>ASSADISSA ET RADIO COR</v>
          </cell>
          <cell r="C115" t="str">
            <v>BC</v>
          </cell>
          <cell r="D115">
            <v>2020</v>
          </cell>
          <cell r="E115" t="str">
            <v>Investissement</v>
          </cell>
          <cell r="F115">
            <v>0.44640000000000002</v>
          </cell>
        </row>
        <row r="116">
          <cell r="A116" t="str">
            <v>DIRECTION DES SYSTEMES D'INFORMATION</v>
          </cell>
          <cell r="B116" t="str">
            <v>DSI</v>
          </cell>
          <cell r="C116" t="str">
            <v>BC</v>
          </cell>
          <cell r="D116">
            <v>2020</v>
          </cell>
          <cell r="E116" t="str">
            <v>Investissement</v>
          </cell>
          <cell r="F116">
            <v>0</v>
          </cell>
        </row>
        <row r="117">
          <cell r="A117" t="str">
            <v>DIRECTION TECHNIQUE</v>
          </cell>
          <cell r="B117" t="str">
            <v>TECHNIQUE</v>
          </cell>
          <cell r="C117" t="str">
            <v>BC</v>
          </cell>
          <cell r="D117">
            <v>2021</v>
          </cell>
          <cell r="E117" t="str">
            <v>Investissement</v>
          </cell>
          <cell r="F117">
            <v>0.27239999999999998</v>
          </cell>
        </row>
        <row r="118">
          <cell r="A118" t="str">
            <v>DIRECTION DE LA TELEDIFFUSION</v>
          </cell>
          <cell r="B118" t="str">
            <v>TELEDIFFUSION</v>
          </cell>
          <cell r="C118" t="str">
            <v>BC</v>
          </cell>
          <cell r="D118">
            <v>2021</v>
          </cell>
          <cell r="E118" t="str">
            <v>Investissement</v>
          </cell>
          <cell r="F118">
            <v>2.3069460299999998</v>
          </cell>
        </row>
        <row r="119">
          <cell r="A119" t="str">
            <v>DIRECTION DES ACHATS</v>
          </cell>
          <cell r="B119" t="str">
            <v>ACHATS</v>
          </cell>
          <cell r="C119" t="str">
            <v>BC</v>
          </cell>
          <cell r="D119">
            <v>2021</v>
          </cell>
          <cell r="E119" t="str">
            <v>Investissement</v>
          </cell>
          <cell r="F119">
            <v>0</v>
          </cell>
        </row>
        <row r="120">
          <cell r="A120" t="str">
            <v>DIRECTION FINANCIERE</v>
          </cell>
          <cell r="B120" t="str">
            <v>FINANCES</v>
          </cell>
          <cell r="C120" t="str">
            <v>BC</v>
          </cell>
          <cell r="D120">
            <v>2021</v>
          </cell>
          <cell r="E120" t="str">
            <v>Investissement</v>
          </cell>
          <cell r="F120">
            <v>0</v>
          </cell>
        </row>
        <row r="121">
          <cell r="A121" t="str">
            <v>DIRECTION DES RESSOURCES HUMAINES</v>
          </cell>
          <cell r="B121" t="str">
            <v>RESSOURCES HUMAINES</v>
          </cell>
          <cell r="C121" t="str">
            <v>BC</v>
          </cell>
          <cell r="D121">
            <v>2021</v>
          </cell>
          <cell r="E121" t="str">
            <v>Investissement</v>
          </cell>
          <cell r="F121">
            <v>0</v>
          </cell>
        </row>
        <row r="122">
          <cell r="A122" t="str">
            <v>DIRECTION DU PATRIMOINE  ET DES MOYENS GENERAUX</v>
          </cell>
          <cell r="B122" t="str">
            <v>DPMG</v>
          </cell>
          <cell r="C122" t="str">
            <v>BC</v>
          </cell>
          <cell r="D122">
            <v>2021</v>
          </cell>
          <cell r="E122" t="str">
            <v>Investissement</v>
          </cell>
          <cell r="F122">
            <v>3.39E-2</v>
          </cell>
        </row>
        <row r="123">
          <cell r="A123" t="str">
            <v>DIRECTION JURIDIQUE</v>
          </cell>
          <cell r="B123" t="str">
            <v>JURIDIQUE</v>
          </cell>
          <cell r="C123" t="str">
            <v>BC</v>
          </cell>
          <cell r="D123">
            <v>2021</v>
          </cell>
          <cell r="E123" t="str">
            <v>Investissement</v>
          </cell>
          <cell r="F123">
            <v>0</v>
          </cell>
        </row>
        <row r="124">
          <cell r="A124" t="str">
            <v>DIRECTION CHARGEE DES RELATIONS INTERNATIONALES</v>
          </cell>
          <cell r="B124" t="str">
            <v>DRI</v>
          </cell>
          <cell r="C124" t="str">
            <v>BC</v>
          </cell>
          <cell r="D124">
            <v>2021</v>
          </cell>
          <cell r="E124" t="str">
            <v>Investissement</v>
          </cell>
          <cell r="F124">
            <v>0</v>
          </cell>
        </row>
        <row r="125">
          <cell r="A125" t="str">
            <v>DIRECTION DE L'AUDIT ET DU CONTRÔLE DE LA GESTION</v>
          </cell>
          <cell r="B125" t="str">
            <v>AUDIT ET CONTRÔLE DE LA GESTION</v>
          </cell>
          <cell r="C125" t="str">
            <v>BC</v>
          </cell>
          <cell r="D125">
            <v>2021</v>
          </cell>
          <cell r="E125" t="str">
            <v>Investissement</v>
          </cell>
          <cell r="F125">
            <v>0</v>
          </cell>
        </row>
        <row r="126">
          <cell r="A126" t="str">
            <v>DIRECTION DE L’INFORMATION RADIO</v>
          </cell>
          <cell r="B126" t="str">
            <v>INFORMATION RADIO</v>
          </cell>
          <cell r="C126" t="str">
            <v>BC</v>
          </cell>
          <cell r="D126">
            <v>2021</v>
          </cell>
          <cell r="E126" t="str">
            <v>Investissement</v>
          </cell>
          <cell r="F126">
            <v>0</v>
          </cell>
        </row>
        <row r="127">
          <cell r="A127" t="str">
            <v>DIRECTION DE L’INFORMATION TV</v>
          </cell>
          <cell r="B127" t="str">
            <v>INFORMATION TV</v>
          </cell>
          <cell r="C127" t="str">
            <v>BC</v>
          </cell>
          <cell r="D127">
            <v>2021</v>
          </cell>
          <cell r="E127" t="str">
            <v>Investissement</v>
          </cell>
          <cell r="F127">
            <v>0</v>
          </cell>
        </row>
        <row r="128">
          <cell r="A128" t="str">
            <v>DIRECTION DE LA PRODUCTION ET DE LA PROGRAMMATION RADIO</v>
          </cell>
          <cell r="B128" t="str">
            <v>RADIO PROD PROG</v>
          </cell>
          <cell r="C128" t="str">
            <v>BC</v>
          </cell>
          <cell r="D128">
            <v>2021</v>
          </cell>
          <cell r="E128" t="str">
            <v>Investissement</v>
          </cell>
          <cell r="F128">
            <v>0</v>
          </cell>
        </row>
        <row r="129">
          <cell r="A129" t="str">
            <v>DIRECTION DE LA REGIE PUBLICITAIRE ET DES SOLUTIONS DIGITALES</v>
          </cell>
          <cell r="B129" t="str">
            <v xml:space="preserve">REGIE PUBLICITAIRE </v>
          </cell>
          <cell r="C129" t="str">
            <v>BC</v>
          </cell>
          <cell r="D129">
            <v>2021</v>
          </cell>
          <cell r="E129" t="str">
            <v>Investissement</v>
          </cell>
          <cell r="F129">
            <v>0.46693588000000003</v>
          </cell>
        </row>
        <row r="130">
          <cell r="A130" t="str">
            <v>DIRECTION MARKETING ET PROGRAMATION TV</v>
          </cell>
          <cell r="B130" t="str">
            <v>MARKETING ET PROG TV</v>
          </cell>
          <cell r="C130" t="str">
            <v>BC</v>
          </cell>
          <cell r="D130">
            <v>2021</v>
          </cell>
          <cell r="E130" t="str">
            <v>Investissement</v>
          </cell>
          <cell r="F130">
            <v>0</v>
          </cell>
        </row>
        <row r="131">
          <cell r="A131" t="str">
            <v>DIRECTION DE LA COMMUNICATION</v>
          </cell>
          <cell r="B131" t="str">
            <v>COMMUNICATION</v>
          </cell>
          <cell r="C131" t="str">
            <v>BC</v>
          </cell>
          <cell r="D131">
            <v>2021</v>
          </cell>
          <cell r="E131" t="str">
            <v>Investissement</v>
          </cell>
          <cell r="F131">
            <v>0</v>
          </cell>
        </row>
        <row r="132">
          <cell r="A132" t="str">
            <v>DIRECTION ALMAGHRIBIA</v>
          </cell>
          <cell r="B132" t="str">
            <v>ALMAGHRIBIA</v>
          </cell>
          <cell r="C132" t="str">
            <v>BC</v>
          </cell>
          <cell r="D132">
            <v>2021</v>
          </cell>
          <cell r="E132" t="str">
            <v>Investissement</v>
          </cell>
          <cell r="F132">
            <v>0</v>
          </cell>
        </row>
        <row r="133">
          <cell r="A133" t="str">
            <v xml:space="preserve">DIRECTION CENTRALE DE LA CHAINE TV LAAYOUNE </v>
          </cell>
          <cell r="B133" t="str">
            <v xml:space="preserve">LAAYOUNE </v>
          </cell>
          <cell r="C133" t="str">
            <v>BC</v>
          </cell>
          <cell r="D133">
            <v>2021</v>
          </cell>
          <cell r="E133" t="str">
            <v>Investissement</v>
          </cell>
          <cell r="F133">
            <v>5.5E-2</v>
          </cell>
        </row>
        <row r="134">
          <cell r="A134" t="str">
            <v>DIRECTION CENTRALE DE LA CHAÎNE ARRYADIA</v>
          </cell>
          <cell r="B134" t="str">
            <v>ARRYADIA</v>
          </cell>
          <cell r="C134" t="str">
            <v>BC</v>
          </cell>
          <cell r="D134">
            <v>2021</v>
          </cell>
          <cell r="E134" t="str">
            <v>Investissement</v>
          </cell>
          <cell r="F134">
            <v>0</v>
          </cell>
        </row>
        <row r="135">
          <cell r="A135" t="str">
            <v>DIRECTION CENTRALE DE LA CHAÎNE TAMAZIGHT</v>
          </cell>
          <cell r="B135" t="str">
            <v>TAMAZIGHT</v>
          </cell>
          <cell r="C135" t="str">
            <v>BC</v>
          </cell>
          <cell r="D135">
            <v>2021</v>
          </cell>
          <cell r="E135" t="str">
            <v>Investissement</v>
          </cell>
          <cell r="F135">
            <v>0</v>
          </cell>
        </row>
        <row r="136">
          <cell r="A136" t="str">
            <v>DIRECTION CENTRALE DE LA PRODUCTION ET DE L'ANTENNE</v>
          </cell>
          <cell r="B136" t="str">
            <v>ALAOULA</v>
          </cell>
          <cell r="C136" t="str">
            <v>BC</v>
          </cell>
          <cell r="D136">
            <v>2021</v>
          </cell>
          <cell r="E136" t="str">
            <v>Investissement</v>
          </cell>
          <cell r="F136">
            <v>0</v>
          </cell>
        </row>
        <row r="137">
          <cell r="A137" t="str">
            <v>DIRECTION DE LA QUATRIEME</v>
          </cell>
          <cell r="B137" t="str">
            <v>QUATRIEME</v>
          </cell>
          <cell r="C137" t="str">
            <v>BC</v>
          </cell>
          <cell r="D137">
            <v>2021</v>
          </cell>
          <cell r="E137" t="str">
            <v>Investissement</v>
          </cell>
          <cell r="F137">
            <v>0.4</v>
          </cell>
        </row>
        <row r="138">
          <cell r="A138" t="str">
            <v>DIRECTION DES CHAÎNES CORANIQUES TV RADIO</v>
          </cell>
          <cell r="B138" t="str">
            <v>ASSADISSA ET RADIO COR</v>
          </cell>
          <cell r="C138" t="str">
            <v>BC</v>
          </cell>
          <cell r="D138">
            <v>2021</v>
          </cell>
          <cell r="E138" t="str">
            <v>Investissement</v>
          </cell>
          <cell r="F138">
            <v>0</v>
          </cell>
        </row>
        <row r="139">
          <cell r="A139" t="str">
            <v>DIRECTION DES SYSTEMES D'INFORMATION</v>
          </cell>
          <cell r="B139" t="str">
            <v>DSI</v>
          </cell>
          <cell r="C139" t="str">
            <v>BC</v>
          </cell>
          <cell r="D139">
            <v>2021</v>
          </cell>
          <cell r="E139" t="str">
            <v>Investissement</v>
          </cell>
          <cell r="F139">
            <v>0.54001200000000005</v>
          </cell>
        </row>
        <row r="140">
          <cell r="A140" t="str">
            <v>DIRECTION TECHNIQUE</v>
          </cell>
          <cell r="B140" t="str">
            <v>TECHNIQUE</v>
          </cell>
          <cell r="C140" t="str">
            <v>BC</v>
          </cell>
          <cell r="D140">
            <v>2016</v>
          </cell>
          <cell r="E140" t="str">
            <v>Fonctionnement</v>
          </cell>
          <cell r="F140">
            <v>1.3752452330000002</v>
          </cell>
        </row>
        <row r="141">
          <cell r="A141" t="str">
            <v>DIRECTION DE LA TELEDIFFUSION</v>
          </cell>
          <cell r="B141" t="str">
            <v>TELEDIFFUSION</v>
          </cell>
          <cell r="C141" t="str">
            <v>BC</v>
          </cell>
          <cell r="D141">
            <v>2016</v>
          </cell>
          <cell r="E141" t="str">
            <v>Fonctionnement</v>
          </cell>
          <cell r="F141">
            <v>0.6586185</v>
          </cell>
        </row>
        <row r="142">
          <cell r="A142" t="str">
            <v>DIRECTION DES ACHATS</v>
          </cell>
          <cell r="B142" t="str">
            <v>ACHATS</v>
          </cell>
          <cell r="C142" t="str">
            <v>BC</v>
          </cell>
          <cell r="D142">
            <v>2016</v>
          </cell>
          <cell r="E142" t="str">
            <v>Fonctionnement</v>
          </cell>
          <cell r="F142">
            <v>0</v>
          </cell>
        </row>
        <row r="143">
          <cell r="A143" t="str">
            <v>DIRECTION FINANCIERE</v>
          </cell>
          <cell r="B143" t="str">
            <v>FINANCES</v>
          </cell>
          <cell r="C143" t="str">
            <v>BC</v>
          </cell>
          <cell r="D143">
            <v>2016</v>
          </cell>
          <cell r="E143" t="str">
            <v>Fonctionnement</v>
          </cell>
          <cell r="F143">
            <v>0.19620000000000001</v>
          </cell>
        </row>
        <row r="144">
          <cell r="A144" t="str">
            <v>DIRECTION DES RESSOURCES HUMAINES</v>
          </cell>
          <cell r="B144" t="str">
            <v>RESSOURCES HUMAINES</v>
          </cell>
          <cell r="C144" t="str">
            <v>BC</v>
          </cell>
          <cell r="D144">
            <v>2016</v>
          </cell>
          <cell r="E144" t="str">
            <v>Fonctionnement</v>
          </cell>
          <cell r="F144">
            <v>0</v>
          </cell>
        </row>
        <row r="145">
          <cell r="A145" t="str">
            <v>DIRECTION DU PATRIMOINE  ET DES MOYENS GENERAUX</v>
          </cell>
          <cell r="B145" t="str">
            <v>DPMG</v>
          </cell>
          <cell r="C145" t="str">
            <v>BC</v>
          </cell>
          <cell r="D145">
            <v>2016</v>
          </cell>
          <cell r="E145" t="str">
            <v>Fonctionnement</v>
          </cell>
          <cell r="F145">
            <v>2.9541125560000001</v>
          </cell>
        </row>
        <row r="146">
          <cell r="A146" t="str">
            <v>DIRECTION JURIDIQUE</v>
          </cell>
          <cell r="B146" t="str">
            <v>JURIDIQUE</v>
          </cell>
          <cell r="C146" t="str">
            <v>BC</v>
          </cell>
          <cell r="D146">
            <v>2016</v>
          </cell>
          <cell r="E146" t="str">
            <v>Fonctionnement</v>
          </cell>
          <cell r="F146">
            <v>0.10734</v>
          </cell>
        </row>
        <row r="147">
          <cell r="A147" t="str">
            <v>DIRECTION CHARGEE DES RELATIONS INTERNATIONALES</v>
          </cell>
          <cell r="B147" t="str">
            <v>DRI</v>
          </cell>
          <cell r="C147" t="str">
            <v>BC</v>
          </cell>
          <cell r="D147">
            <v>2016</v>
          </cell>
          <cell r="E147" t="str">
            <v>Fonctionnement</v>
          </cell>
          <cell r="F147">
            <v>0</v>
          </cell>
        </row>
        <row r="148">
          <cell r="A148" t="str">
            <v>DIRECTION DE L'AUDIT ET DU CONTRÔLE DE LA GESTION</v>
          </cell>
          <cell r="B148" t="str">
            <v>AUDIT ET CONTRÔLE DE LA GESTION</v>
          </cell>
          <cell r="C148" t="str">
            <v>BC</v>
          </cell>
          <cell r="D148">
            <v>2016</v>
          </cell>
          <cell r="E148" t="str">
            <v>Fonctionnement</v>
          </cell>
          <cell r="F148">
            <v>4.6788000000000003E-2</v>
          </cell>
        </row>
        <row r="149">
          <cell r="A149" t="str">
            <v>DIRECTION DE L’INFORMATION RADIO</v>
          </cell>
          <cell r="B149" t="str">
            <v>INFORMATION RADIO</v>
          </cell>
          <cell r="C149" t="str">
            <v>BC</v>
          </cell>
          <cell r="D149">
            <v>2016</v>
          </cell>
          <cell r="E149" t="str">
            <v>Fonctionnement</v>
          </cell>
          <cell r="F149">
            <v>0</v>
          </cell>
        </row>
        <row r="150">
          <cell r="A150" t="str">
            <v>DIRECTION DE L’INFORMATION TV</v>
          </cell>
          <cell r="B150" t="str">
            <v>INFORMATION TV</v>
          </cell>
          <cell r="C150" t="str">
            <v>BC</v>
          </cell>
          <cell r="D150">
            <v>2016</v>
          </cell>
          <cell r="E150" t="str">
            <v>Fonctionnement</v>
          </cell>
          <cell r="F150">
            <v>0.99508259999999993</v>
          </cell>
        </row>
        <row r="151">
          <cell r="A151" t="str">
            <v>DIRECTION DE LA PRODUCTION ET DE LA PROGRAMMATION RADIO</v>
          </cell>
          <cell r="B151" t="str">
            <v>RADIO PROD PROG</v>
          </cell>
          <cell r="C151" t="str">
            <v>BC</v>
          </cell>
          <cell r="D151">
            <v>2016</v>
          </cell>
          <cell r="E151" t="str">
            <v>Fonctionnement</v>
          </cell>
          <cell r="F151">
            <v>4.7590400000000005E-2</v>
          </cell>
        </row>
        <row r="152">
          <cell r="A152" t="str">
            <v>DIRECTION DE LA REGIE PUBLICITAIRE ET DES SOLUTIONS DIGITALES</v>
          </cell>
          <cell r="B152" t="str">
            <v xml:space="preserve">REGIE PUBLICITAIRE </v>
          </cell>
          <cell r="C152" t="str">
            <v>BC</v>
          </cell>
          <cell r="D152">
            <v>2016</v>
          </cell>
          <cell r="E152" t="str">
            <v>Fonctionnement</v>
          </cell>
          <cell r="F152">
            <v>0.51382799999999995</v>
          </cell>
        </row>
        <row r="153">
          <cell r="A153" t="str">
            <v>DIRECTION MARKETING ET PROGRAMATION TV</v>
          </cell>
          <cell r="B153" t="str">
            <v>MARKETING ET PROG TV</v>
          </cell>
          <cell r="C153" t="str">
            <v>BC</v>
          </cell>
          <cell r="D153">
            <v>2016</v>
          </cell>
          <cell r="E153" t="str">
            <v>Fonctionnement</v>
          </cell>
          <cell r="F153">
            <v>4.1264160780000001</v>
          </cell>
        </row>
        <row r="154">
          <cell r="A154" t="str">
            <v>DIRECTION DE LA COMMUNICATION</v>
          </cell>
          <cell r="B154" t="str">
            <v>COMMUNICATION</v>
          </cell>
          <cell r="C154" t="str">
            <v>BC</v>
          </cell>
          <cell r="D154">
            <v>2016</v>
          </cell>
          <cell r="E154" t="str">
            <v>Fonctionnement</v>
          </cell>
          <cell r="F154">
            <v>0.31581599999999999</v>
          </cell>
        </row>
        <row r="155">
          <cell r="A155" t="str">
            <v>DIRECTION ALMAGHRIBIA</v>
          </cell>
          <cell r="B155" t="str">
            <v>ALMAGHRIBIA</v>
          </cell>
          <cell r="C155" t="str">
            <v>BC</v>
          </cell>
          <cell r="D155">
            <v>2016</v>
          </cell>
          <cell r="E155" t="str">
            <v>Fonctionnement</v>
          </cell>
          <cell r="F155">
            <v>0</v>
          </cell>
        </row>
        <row r="156">
          <cell r="A156" t="str">
            <v xml:space="preserve">DIRECTION CENTRALE DE LA CHAINE TV LAAYOUNE </v>
          </cell>
          <cell r="B156" t="str">
            <v xml:space="preserve">LAAYOUNE </v>
          </cell>
          <cell r="C156" t="str">
            <v>BC</v>
          </cell>
          <cell r="D156">
            <v>2016</v>
          </cell>
          <cell r="E156" t="str">
            <v>Fonctionnement</v>
          </cell>
          <cell r="F156">
            <v>0.16250000000000001</v>
          </cell>
        </row>
        <row r="157">
          <cell r="A157" t="str">
            <v>DIRECTION CENTRALE DE LA CHAÎNE ARRYADIA</v>
          </cell>
          <cell r="B157" t="str">
            <v>ARRYADIA</v>
          </cell>
          <cell r="C157" t="str">
            <v>BC</v>
          </cell>
          <cell r="D157">
            <v>2016</v>
          </cell>
          <cell r="E157" t="str">
            <v>Fonctionnement</v>
          </cell>
          <cell r="F157">
            <v>0</v>
          </cell>
        </row>
        <row r="158">
          <cell r="A158" t="str">
            <v>DIRECTION CENTRALE DE LA CHAÎNE TAMAZIGHT</v>
          </cell>
          <cell r="B158" t="str">
            <v>TAMAZIGHT</v>
          </cell>
          <cell r="C158" t="str">
            <v>BC</v>
          </cell>
          <cell r="D158">
            <v>2016</v>
          </cell>
          <cell r="E158" t="str">
            <v>Fonctionnement</v>
          </cell>
          <cell r="F158">
            <v>0.63753599999999999</v>
          </cell>
        </row>
        <row r="159">
          <cell r="A159" t="str">
            <v>DIRECTION CENTRALE DE LA PRODUCTION ET DE L'ANTENNE</v>
          </cell>
          <cell r="B159" t="str">
            <v>ALAOULA</v>
          </cell>
          <cell r="C159" t="str">
            <v>BC</v>
          </cell>
          <cell r="D159">
            <v>2016</v>
          </cell>
          <cell r="E159" t="str">
            <v>Fonctionnement</v>
          </cell>
          <cell r="F159">
            <v>7.0339424389999996</v>
          </cell>
        </row>
        <row r="160">
          <cell r="A160" t="str">
            <v>DIRECTION DE LA QUATRIEME</v>
          </cell>
          <cell r="B160" t="str">
            <v>QUATRIEME</v>
          </cell>
          <cell r="C160" t="str">
            <v>BC</v>
          </cell>
          <cell r="D160">
            <v>2016</v>
          </cell>
          <cell r="E160" t="str">
            <v>Fonctionnement</v>
          </cell>
          <cell r="F160">
            <v>0</v>
          </cell>
        </row>
        <row r="161">
          <cell r="A161" t="str">
            <v>DIRECTION DES CHAÎNES CORANIQUES TV RADIO</v>
          </cell>
          <cell r="B161" t="str">
            <v>ASSADISSA ET RADIO COR</v>
          </cell>
          <cell r="C161" t="str">
            <v>BC</v>
          </cell>
          <cell r="D161">
            <v>2016</v>
          </cell>
          <cell r="E161" t="str">
            <v>Fonctionnement</v>
          </cell>
          <cell r="F161">
            <v>0</v>
          </cell>
        </row>
        <row r="162">
          <cell r="A162" t="str">
            <v>DIRECTION DES SYSTEMES D'INFORMATION</v>
          </cell>
          <cell r="B162" t="str">
            <v>DSI</v>
          </cell>
          <cell r="C162" t="str">
            <v>BC</v>
          </cell>
          <cell r="D162">
            <v>2016</v>
          </cell>
          <cell r="E162" t="str">
            <v>Fonctionnement</v>
          </cell>
          <cell r="F162">
            <v>1.789396</v>
          </cell>
        </row>
        <row r="163">
          <cell r="A163" t="str">
            <v>DIRECTION TECHNIQUE</v>
          </cell>
          <cell r="B163" t="str">
            <v>TECHNIQUE</v>
          </cell>
          <cell r="C163" t="str">
            <v>BC</v>
          </cell>
          <cell r="D163">
            <v>2017</v>
          </cell>
          <cell r="E163" t="str">
            <v>Fonctionnement</v>
          </cell>
          <cell r="F163">
            <v>1.06310164</v>
          </cell>
        </row>
        <row r="164">
          <cell r="A164" t="str">
            <v>DIRECTION DE LA TELEDIFFUSION</v>
          </cell>
          <cell r="B164" t="str">
            <v>TELEDIFFUSION</v>
          </cell>
          <cell r="C164" t="str">
            <v>BC</v>
          </cell>
          <cell r="D164">
            <v>2017</v>
          </cell>
          <cell r="E164" t="str">
            <v>Fonctionnement</v>
          </cell>
          <cell r="F164">
            <v>1.8508315999999998</v>
          </cell>
        </row>
        <row r="165">
          <cell r="A165" t="str">
            <v>DIRECTION DES ACHATS</v>
          </cell>
          <cell r="B165" t="str">
            <v>ACHATS</v>
          </cell>
          <cell r="C165" t="str">
            <v>BC</v>
          </cell>
          <cell r="D165">
            <v>2017</v>
          </cell>
          <cell r="E165" t="str">
            <v>Fonctionnement</v>
          </cell>
          <cell r="F165">
            <v>0.55955999999999995</v>
          </cell>
        </row>
        <row r="166">
          <cell r="A166" t="str">
            <v>DIRECTION FINANCIERE</v>
          </cell>
          <cell r="B166" t="str">
            <v>FINANCES</v>
          </cell>
          <cell r="C166" t="str">
            <v>BC</v>
          </cell>
          <cell r="D166">
            <v>2017</v>
          </cell>
          <cell r="E166" t="str">
            <v>Fonctionnement</v>
          </cell>
          <cell r="F166">
            <v>0.49650240000000001</v>
          </cell>
        </row>
        <row r="167">
          <cell r="A167" t="str">
            <v>DIRECTION DES RESSOURCES HUMAINES</v>
          </cell>
          <cell r="B167" t="str">
            <v>RESSOURCES HUMAINES</v>
          </cell>
          <cell r="C167" t="str">
            <v>BC</v>
          </cell>
          <cell r="D167">
            <v>2017</v>
          </cell>
          <cell r="E167" t="str">
            <v>Fonctionnement</v>
          </cell>
          <cell r="F167">
            <v>0.48778700000000003</v>
          </cell>
        </row>
        <row r="168">
          <cell r="A168" t="str">
            <v>DIRECTION DU PATRIMOINE  ET DES MOYENS GENERAUX</v>
          </cell>
          <cell r="B168" t="str">
            <v>DPMG</v>
          </cell>
          <cell r="C168" t="str">
            <v>BC</v>
          </cell>
          <cell r="D168">
            <v>2017</v>
          </cell>
          <cell r="E168" t="str">
            <v>Fonctionnement</v>
          </cell>
          <cell r="F168">
            <v>2.4603952000000002</v>
          </cell>
        </row>
        <row r="169">
          <cell r="A169" t="str">
            <v>DIRECTION JURIDIQUE</v>
          </cell>
          <cell r="B169" t="str">
            <v>JURIDIQUE</v>
          </cell>
          <cell r="C169" t="str">
            <v>BC</v>
          </cell>
          <cell r="D169">
            <v>2017</v>
          </cell>
          <cell r="E169" t="str">
            <v>Fonctionnement</v>
          </cell>
          <cell r="F169">
            <v>0.10832172800000001</v>
          </cell>
        </row>
        <row r="170">
          <cell r="A170" t="str">
            <v>DIRECTION CHARGEE DES RELATIONS INTERNATIONALES</v>
          </cell>
          <cell r="B170" t="str">
            <v>DRI</v>
          </cell>
          <cell r="C170" t="str">
            <v>BC</v>
          </cell>
          <cell r="D170">
            <v>2017</v>
          </cell>
          <cell r="E170" t="str">
            <v>Fonctionnement</v>
          </cell>
          <cell r="F170">
            <v>1.2406584500000002</v>
          </cell>
        </row>
        <row r="171">
          <cell r="A171" t="str">
            <v>DIRECTION DE L'AUDIT ET DU CONTRÔLE DE LA GESTION</v>
          </cell>
          <cell r="B171" t="str">
            <v>AUDIT ET CONTRÔLE DE LA GESTION</v>
          </cell>
          <cell r="C171" t="str">
            <v>BC</v>
          </cell>
          <cell r="D171">
            <v>2017</v>
          </cell>
          <cell r="E171" t="str">
            <v>Fonctionnement</v>
          </cell>
          <cell r="F171">
            <v>0</v>
          </cell>
        </row>
        <row r="172">
          <cell r="A172" t="str">
            <v>DIRECTION DE L’INFORMATION RADIO</v>
          </cell>
          <cell r="B172" t="str">
            <v>INFORMATION RADIO</v>
          </cell>
          <cell r="C172" t="str">
            <v>BC</v>
          </cell>
          <cell r="D172">
            <v>2017</v>
          </cell>
          <cell r="E172" t="str">
            <v>Fonctionnement</v>
          </cell>
          <cell r="F172">
            <v>9.5877000000000004E-2</v>
          </cell>
        </row>
        <row r="173">
          <cell r="A173" t="str">
            <v>DIRECTION DE L’INFORMATION TV</v>
          </cell>
          <cell r="B173" t="str">
            <v>INFORMATION TV</v>
          </cell>
          <cell r="C173" t="str">
            <v>BC</v>
          </cell>
          <cell r="D173">
            <v>2017</v>
          </cell>
          <cell r="E173" t="str">
            <v>Fonctionnement</v>
          </cell>
          <cell r="F173">
            <v>1.7600337599999998</v>
          </cell>
        </row>
        <row r="174">
          <cell r="A174" t="str">
            <v>DIRECTION DE LA PRODUCTION ET DE LA PROGRAMMATION RADIO</v>
          </cell>
          <cell r="B174" t="str">
            <v>RADIO PROD PROG</v>
          </cell>
          <cell r="C174" t="str">
            <v>BC</v>
          </cell>
          <cell r="D174">
            <v>2017</v>
          </cell>
          <cell r="E174" t="str">
            <v>Fonctionnement</v>
          </cell>
          <cell r="F174">
            <v>0</v>
          </cell>
        </row>
        <row r="175">
          <cell r="A175" t="str">
            <v>DIRECTION DE LA REGIE PUBLICITAIRE ET DES SOLUTIONS DIGITALES</v>
          </cell>
          <cell r="B175" t="str">
            <v xml:space="preserve">REGIE PUBLICITAIRE </v>
          </cell>
          <cell r="C175" t="str">
            <v>BC</v>
          </cell>
          <cell r="D175">
            <v>2017</v>
          </cell>
          <cell r="E175" t="str">
            <v>Fonctionnement</v>
          </cell>
          <cell r="F175">
            <v>1.0403815600000001</v>
          </cell>
        </row>
        <row r="176">
          <cell r="A176" t="str">
            <v>DIRECTION MARKETING ET PROGRAMATION TV</v>
          </cell>
          <cell r="B176" t="str">
            <v>MARKETING ET PROG TV</v>
          </cell>
          <cell r="C176" t="str">
            <v>BC</v>
          </cell>
          <cell r="D176">
            <v>2017</v>
          </cell>
          <cell r="E176" t="str">
            <v>Fonctionnement</v>
          </cell>
          <cell r="F176">
            <v>3.588437592</v>
          </cell>
        </row>
        <row r="177">
          <cell r="A177" t="str">
            <v>DIRECTION DE LA COMMUNICATION</v>
          </cell>
          <cell r="B177" t="str">
            <v>COMMUNICATION</v>
          </cell>
          <cell r="C177" t="str">
            <v>BC</v>
          </cell>
          <cell r="D177">
            <v>2017</v>
          </cell>
          <cell r="E177" t="str">
            <v>Fonctionnement</v>
          </cell>
          <cell r="F177">
            <v>0.44379600000000002</v>
          </cell>
        </row>
        <row r="178">
          <cell r="A178" t="str">
            <v>DIRECTION ALMAGHRIBIA</v>
          </cell>
          <cell r="B178" t="str">
            <v>ALMAGHRIBIA</v>
          </cell>
          <cell r="C178" t="str">
            <v>BC</v>
          </cell>
          <cell r="D178">
            <v>2017</v>
          </cell>
          <cell r="E178" t="str">
            <v>Fonctionnement</v>
          </cell>
          <cell r="F178">
            <v>0</v>
          </cell>
        </row>
        <row r="179">
          <cell r="A179" t="str">
            <v xml:space="preserve">DIRECTION CENTRALE DE LA CHAINE TV LAAYOUNE </v>
          </cell>
          <cell r="B179" t="str">
            <v xml:space="preserve">LAAYOUNE </v>
          </cell>
          <cell r="C179" t="str">
            <v>BC</v>
          </cell>
          <cell r="D179">
            <v>2017</v>
          </cell>
          <cell r="E179" t="str">
            <v>Fonctionnement</v>
          </cell>
          <cell r="F179">
            <v>0.182</v>
          </cell>
        </row>
        <row r="180">
          <cell r="A180" t="str">
            <v>DIRECTION CENTRALE DE LA CHAÎNE ARRYADIA</v>
          </cell>
          <cell r="B180" t="str">
            <v>ARRYADIA</v>
          </cell>
          <cell r="C180" t="str">
            <v>BC</v>
          </cell>
          <cell r="D180">
            <v>2017</v>
          </cell>
          <cell r="E180" t="str">
            <v>Fonctionnement</v>
          </cell>
          <cell r="F180">
            <v>3.6215280499999998</v>
          </cell>
        </row>
        <row r="181">
          <cell r="A181" t="str">
            <v>DIRECTION CENTRALE DE LA CHAÎNE TAMAZIGHT</v>
          </cell>
          <cell r="B181" t="str">
            <v>TAMAZIGHT</v>
          </cell>
          <cell r="C181" t="str">
            <v>BC</v>
          </cell>
          <cell r="D181">
            <v>2017</v>
          </cell>
          <cell r="E181" t="str">
            <v>Fonctionnement</v>
          </cell>
          <cell r="F181">
            <v>1.4474880000000001</v>
          </cell>
        </row>
        <row r="182">
          <cell r="A182" t="str">
            <v>DIRECTION CENTRALE DE LA PRODUCTION ET DE L'ANTENNE</v>
          </cell>
          <cell r="B182" t="str">
            <v>ALAOULA</v>
          </cell>
          <cell r="C182" t="str">
            <v>BC</v>
          </cell>
          <cell r="D182">
            <v>2017</v>
          </cell>
          <cell r="E182" t="str">
            <v>Fonctionnement</v>
          </cell>
          <cell r="F182">
            <v>4.6539564599999999</v>
          </cell>
        </row>
        <row r="183">
          <cell r="A183" t="str">
            <v>DIRECTION DE LA QUATRIEME</v>
          </cell>
          <cell r="B183" t="str">
            <v>QUATRIEME</v>
          </cell>
          <cell r="C183" t="str">
            <v>BC</v>
          </cell>
          <cell r="D183">
            <v>2017</v>
          </cell>
          <cell r="E183" t="str">
            <v>Fonctionnement</v>
          </cell>
          <cell r="F183">
            <v>0</v>
          </cell>
        </row>
        <row r="184">
          <cell r="A184" t="str">
            <v>DIRECTION DES CHAÎNES CORANIQUES TV RADIO</v>
          </cell>
          <cell r="B184" t="str">
            <v>ASSADISSA ET RADIO COR</v>
          </cell>
          <cell r="C184" t="str">
            <v>BC</v>
          </cell>
          <cell r="D184">
            <v>2017</v>
          </cell>
          <cell r="E184" t="str">
            <v>Fonctionnement</v>
          </cell>
          <cell r="F184">
            <v>0</v>
          </cell>
        </row>
        <row r="185">
          <cell r="A185" t="str">
            <v>DIRECTION DES SYSTEMES D'INFORMATION</v>
          </cell>
          <cell r="B185" t="str">
            <v>DSI</v>
          </cell>
          <cell r="C185" t="str">
            <v>BC</v>
          </cell>
          <cell r="D185">
            <v>2017</v>
          </cell>
          <cell r="E185" t="str">
            <v>Fonctionnement</v>
          </cell>
          <cell r="F185">
            <v>1.1780061600000002</v>
          </cell>
        </row>
        <row r="186">
          <cell r="A186" t="str">
            <v>DIRECTION TECHNIQUE</v>
          </cell>
          <cell r="B186" t="str">
            <v>TECHNIQUE</v>
          </cell>
          <cell r="C186" t="str">
            <v>BC</v>
          </cell>
          <cell r="D186">
            <v>2018</v>
          </cell>
          <cell r="E186" t="str">
            <v>Fonctionnement</v>
          </cell>
          <cell r="F186">
            <v>0</v>
          </cell>
        </row>
        <row r="187">
          <cell r="A187" t="str">
            <v>DIRECTION DE LA TELEDIFFUSION</v>
          </cell>
          <cell r="B187" t="str">
            <v>TELEDIFFUSION</v>
          </cell>
          <cell r="C187" t="str">
            <v>BC</v>
          </cell>
          <cell r="D187">
            <v>2018</v>
          </cell>
          <cell r="E187" t="str">
            <v>Fonctionnement</v>
          </cell>
          <cell r="F187">
            <v>3.9570424910400002</v>
          </cell>
        </row>
        <row r="188">
          <cell r="A188" t="str">
            <v>DIRECTION DES ACHATS</v>
          </cell>
          <cell r="B188" t="str">
            <v>ACHATS</v>
          </cell>
          <cell r="C188" t="str">
            <v>BC</v>
          </cell>
          <cell r="D188">
            <v>2018</v>
          </cell>
          <cell r="E188" t="str">
            <v>Fonctionnement</v>
          </cell>
          <cell r="F188">
            <v>0</v>
          </cell>
        </row>
        <row r="189">
          <cell r="A189" t="str">
            <v>DIRECTION FINANCIERE</v>
          </cell>
          <cell r="B189" t="str">
            <v>FINANCES</v>
          </cell>
          <cell r="C189" t="str">
            <v>BC</v>
          </cell>
          <cell r="D189">
            <v>2018</v>
          </cell>
          <cell r="E189" t="str">
            <v>Fonctionnement</v>
          </cell>
          <cell r="F189">
            <v>0.30908400000000003</v>
          </cell>
        </row>
        <row r="190">
          <cell r="A190" t="str">
            <v>DIRECTION DES RESSOURCES HUMAINES</v>
          </cell>
          <cell r="B190" t="str">
            <v>RESSOURCES HUMAINES</v>
          </cell>
          <cell r="C190" t="str">
            <v>BC</v>
          </cell>
          <cell r="D190">
            <v>2018</v>
          </cell>
          <cell r="E190" t="str">
            <v>Fonctionnement</v>
          </cell>
          <cell r="F190">
            <v>0</v>
          </cell>
        </row>
        <row r="191">
          <cell r="A191" t="str">
            <v>DIRECTION DU PATRIMOINE  ET DES MOYENS GENERAUX</v>
          </cell>
          <cell r="B191" t="str">
            <v>DPMG</v>
          </cell>
          <cell r="C191" t="str">
            <v>BC</v>
          </cell>
          <cell r="D191">
            <v>2018</v>
          </cell>
          <cell r="E191" t="str">
            <v>Fonctionnement</v>
          </cell>
          <cell r="F191">
            <v>5.2250390920000003</v>
          </cell>
        </row>
        <row r="192">
          <cell r="A192" t="str">
            <v>DIRECTION JURIDIQUE</v>
          </cell>
          <cell r="B192" t="str">
            <v>JURIDIQUE</v>
          </cell>
          <cell r="C192" t="str">
            <v>BC</v>
          </cell>
          <cell r="D192">
            <v>2018</v>
          </cell>
          <cell r="E192" t="str">
            <v>Fonctionnement</v>
          </cell>
          <cell r="F192">
            <v>6.5339999999999995E-2</v>
          </cell>
        </row>
        <row r="193">
          <cell r="A193" t="str">
            <v>DIRECTION CHARGEE DES RELATIONS INTERNATIONALES</v>
          </cell>
          <cell r="B193" t="str">
            <v>DRI</v>
          </cell>
          <cell r="C193" t="str">
            <v>BC</v>
          </cell>
          <cell r="D193">
            <v>2018</v>
          </cell>
          <cell r="E193" t="str">
            <v>Fonctionnement</v>
          </cell>
          <cell r="F193">
            <v>0.88209359999999992</v>
          </cell>
        </row>
        <row r="194">
          <cell r="A194" t="str">
            <v>DIRECTION DE L'AUDIT ET DU CONTRÔLE DE LA GESTION</v>
          </cell>
          <cell r="B194" t="str">
            <v>AUDIT ET CONTRÔLE DE LA GESTION</v>
          </cell>
          <cell r="C194" t="str">
            <v>BC</v>
          </cell>
          <cell r="D194">
            <v>2018</v>
          </cell>
          <cell r="E194" t="str">
            <v>Fonctionnement</v>
          </cell>
          <cell r="F194">
            <v>0</v>
          </cell>
        </row>
        <row r="195">
          <cell r="A195" t="str">
            <v>DIRECTION DE L’INFORMATION RADIO</v>
          </cell>
          <cell r="B195" t="str">
            <v>INFORMATION RADIO</v>
          </cell>
          <cell r="C195" t="str">
            <v>BC</v>
          </cell>
          <cell r="D195">
            <v>2018</v>
          </cell>
          <cell r="E195" t="str">
            <v>Fonctionnement</v>
          </cell>
          <cell r="F195">
            <v>9.0269100000000005E-2</v>
          </cell>
        </row>
        <row r="196">
          <cell r="A196" t="str">
            <v>DIRECTION DE L’INFORMATION TV</v>
          </cell>
          <cell r="B196" t="str">
            <v>INFORMATION TV</v>
          </cell>
          <cell r="C196" t="str">
            <v>BC</v>
          </cell>
          <cell r="D196">
            <v>2018</v>
          </cell>
          <cell r="E196" t="str">
            <v>Fonctionnement</v>
          </cell>
          <cell r="F196">
            <v>0.78261702308500003</v>
          </cell>
        </row>
        <row r="197">
          <cell r="A197" t="str">
            <v>DIRECTION DE LA PRODUCTION ET DE LA PROGRAMMATION RADIO</v>
          </cell>
          <cell r="B197" t="str">
            <v>RADIO PROD PROG</v>
          </cell>
          <cell r="C197" t="str">
            <v>BC</v>
          </cell>
          <cell r="D197">
            <v>2018</v>
          </cell>
          <cell r="E197" t="str">
            <v>Fonctionnement</v>
          </cell>
          <cell r="F197">
            <v>0</v>
          </cell>
        </row>
        <row r="198">
          <cell r="A198" t="str">
            <v>DIRECTION DE LA REGIE PUBLICITAIRE ET DES SOLUTIONS DIGITALES</v>
          </cell>
          <cell r="B198" t="str">
            <v xml:space="preserve">REGIE PUBLICITAIRE </v>
          </cell>
          <cell r="C198" t="str">
            <v>BC</v>
          </cell>
          <cell r="D198">
            <v>2018</v>
          </cell>
          <cell r="E198" t="str">
            <v>Fonctionnement</v>
          </cell>
          <cell r="F198">
            <v>0.9198173423499999</v>
          </cell>
        </row>
        <row r="199">
          <cell r="A199" t="str">
            <v>DIRECTION MARKETING ET PROGRAMATION TV</v>
          </cell>
          <cell r="B199" t="str">
            <v>MARKETING ET PROG TV</v>
          </cell>
          <cell r="C199" t="str">
            <v>BC</v>
          </cell>
          <cell r="D199">
            <v>2018</v>
          </cell>
          <cell r="E199" t="str">
            <v>Fonctionnement</v>
          </cell>
          <cell r="F199">
            <v>5.6678235764999991</v>
          </cell>
        </row>
        <row r="200">
          <cell r="A200" t="str">
            <v>DIRECTION DE LA COMMUNICATION</v>
          </cell>
          <cell r="B200" t="str">
            <v>COMMUNICATION</v>
          </cell>
          <cell r="C200" t="str">
            <v>BC</v>
          </cell>
          <cell r="D200">
            <v>2018</v>
          </cell>
          <cell r="E200" t="str">
            <v>Fonctionnement</v>
          </cell>
          <cell r="F200">
            <v>0.66256199999999998</v>
          </cell>
        </row>
        <row r="201">
          <cell r="A201" t="str">
            <v>DIRECTION ALMAGHRIBIA</v>
          </cell>
          <cell r="B201" t="str">
            <v>ALMAGHRIBIA</v>
          </cell>
          <cell r="C201" t="str">
            <v>BC</v>
          </cell>
          <cell r="D201">
            <v>2018</v>
          </cell>
          <cell r="E201" t="str">
            <v>Fonctionnement</v>
          </cell>
          <cell r="F201">
            <v>0</v>
          </cell>
        </row>
        <row r="202">
          <cell r="A202" t="str">
            <v xml:space="preserve">DIRECTION CENTRALE DE LA CHAINE TV LAAYOUNE </v>
          </cell>
          <cell r="B202" t="str">
            <v xml:space="preserve">LAAYOUNE </v>
          </cell>
          <cell r="C202" t="str">
            <v>BC</v>
          </cell>
          <cell r="D202">
            <v>2018</v>
          </cell>
          <cell r="E202" t="str">
            <v>Fonctionnement</v>
          </cell>
          <cell r="F202">
            <v>0.61809000000000003</v>
          </cell>
        </row>
        <row r="203">
          <cell r="A203" t="str">
            <v>DIRECTION CENTRALE DE LA CHAÎNE ARRYADIA</v>
          </cell>
          <cell r="B203" t="str">
            <v>ARRYADIA</v>
          </cell>
          <cell r="C203" t="str">
            <v>BC</v>
          </cell>
          <cell r="D203">
            <v>2018</v>
          </cell>
          <cell r="E203" t="str">
            <v>Fonctionnement</v>
          </cell>
          <cell r="F203">
            <v>3.7280828575000005</v>
          </cell>
        </row>
        <row r="204">
          <cell r="A204" t="str">
            <v>DIRECTION CENTRALE DE LA CHAÎNE TAMAZIGHT</v>
          </cell>
          <cell r="B204" t="str">
            <v>TAMAZIGHT</v>
          </cell>
          <cell r="C204" t="str">
            <v>BC</v>
          </cell>
          <cell r="D204">
            <v>2018</v>
          </cell>
          <cell r="E204" t="str">
            <v>Fonctionnement</v>
          </cell>
          <cell r="F204">
            <v>0.26466187000000002</v>
          </cell>
        </row>
        <row r="205">
          <cell r="A205" t="str">
            <v>DIRECTION CENTRALE DE LA PRODUCTION ET DE L'ANTENNE</v>
          </cell>
          <cell r="B205" t="str">
            <v>ALAOULA</v>
          </cell>
          <cell r="C205" t="str">
            <v>BC</v>
          </cell>
          <cell r="D205">
            <v>2018</v>
          </cell>
          <cell r="E205" t="str">
            <v>Fonctionnement</v>
          </cell>
          <cell r="F205">
            <v>3.0499104900000003</v>
          </cell>
        </row>
        <row r="206">
          <cell r="A206" t="str">
            <v>DIRECTION DE LA QUATRIEME</v>
          </cell>
          <cell r="B206" t="str">
            <v>QUATRIEME</v>
          </cell>
          <cell r="C206" t="str">
            <v>BC</v>
          </cell>
          <cell r="D206">
            <v>2018</v>
          </cell>
          <cell r="E206" t="str">
            <v>Fonctionnement</v>
          </cell>
          <cell r="F206">
            <v>0</v>
          </cell>
        </row>
        <row r="207">
          <cell r="A207" t="str">
            <v>DIRECTION DES CHAÎNES CORANIQUES TV RADIO</v>
          </cell>
          <cell r="B207" t="str">
            <v>ASSADISSA ET RADIO COR</v>
          </cell>
          <cell r="C207" t="str">
            <v>BC</v>
          </cell>
          <cell r="D207">
            <v>2018</v>
          </cell>
          <cell r="E207" t="str">
            <v>Fonctionnement</v>
          </cell>
          <cell r="F207">
            <v>0</v>
          </cell>
        </row>
        <row r="208">
          <cell r="A208" t="str">
            <v>DIRECTION DES SYSTEMES D'INFORMATION</v>
          </cell>
          <cell r="B208" t="str">
            <v>DSI</v>
          </cell>
          <cell r="C208" t="str">
            <v>BC</v>
          </cell>
          <cell r="D208">
            <v>2018</v>
          </cell>
          <cell r="E208" t="str">
            <v>Fonctionnement</v>
          </cell>
          <cell r="F208">
            <v>1.4395507181499998</v>
          </cell>
        </row>
        <row r="209">
          <cell r="A209" t="str">
            <v>DIRECTION TECHNIQUE</v>
          </cell>
          <cell r="B209" t="str">
            <v>TECHNIQUE</v>
          </cell>
          <cell r="C209" t="str">
            <v>BC</v>
          </cell>
          <cell r="D209">
            <v>2019</v>
          </cell>
          <cell r="E209" t="str">
            <v>Fonctionnement</v>
          </cell>
          <cell r="F209">
            <v>1.29891796</v>
          </cell>
        </row>
        <row r="210">
          <cell r="A210" t="str">
            <v>DIRECTION DE LA TELEDIFFUSION</v>
          </cell>
          <cell r="B210" t="str">
            <v>TELEDIFFUSION</v>
          </cell>
          <cell r="C210" t="str">
            <v>BC</v>
          </cell>
          <cell r="D210">
            <v>2019</v>
          </cell>
          <cell r="E210" t="str">
            <v>Fonctionnement</v>
          </cell>
          <cell r="F210">
            <v>2.3824046000000001</v>
          </cell>
        </row>
        <row r="211">
          <cell r="A211" t="str">
            <v>DIRECTION DES ACHATS</v>
          </cell>
          <cell r="B211" t="str">
            <v>ACHATS</v>
          </cell>
          <cell r="C211" t="str">
            <v>BC</v>
          </cell>
          <cell r="D211">
            <v>2019</v>
          </cell>
          <cell r="E211" t="str">
            <v>Fonctionnement</v>
          </cell>
          <cell r="F211">
            <v>0.87007572999999994</v>
          </cell>
        </row>
        <row r="212">
          <cell r="A212" t="str">
            <v>DIRECTION FINANCIERE</v>
          </cell>
          <cell r="B212" t="str">
            <v>FINANCES</v>
          </cell>
          <cell r="C212" t="str">
            <v>BC</v>
          </cell>
          <cell r="D212">
            <v>2019</v>
          </cell>
          <cell r="E212" t="str">
            <v>Fonctionnement</v>
          </cell>
          <cell r="F212">
            <v>4.3610400000000001E-2</v>
          </cell>
        </row>
        <row r="213">
          <cell r="A213" t="str">
            <v>DIRECTION DES RESSOURCES HUMAINES</v>
          </cell>
          <cell r="B213" t="str">
            <v>RESSOURCES HUMAINES</v>
          </cell>
          <cell r="C213" t="str">
            <v>BC</v>
          </cell>
          <cell r="D213">
            <v>2019</v>
          </cell>
          <cell r="E213" t="str">
            <v>Fonctionnement</v>
          </cell>
          <cell r="F213">
            <v>9.1679999999999998E-2</v>
          </cell>
        </row>
        <row r="214">
          <cell r="A214" t="str">
            <v>DIRECTION DU PATRIMOINE  ET DES MOYENS GENERAUX</v>
          </cell>
          <cell r="B214" t="str">
            <v>DPMG</v>
          </cell>
          <cell r="C214" t="str">
            <v>BC</v>
          </cell>
          <cell r="D214">
            <v>2019</v>
          </cell>
          <cell r="E214" t="str">
            <v>Fonctionnement</v>
          </cell>
          <cell r="F214">
            <v>3.2852889319999998</v>
          </cell>
        </row>
        <row r="215">
          <cell r="A215" t="str">
            <v>DIRECTION JURIDIQUE</v>
          </cell>
          <cell r="B215" t="str">
            <v>JURIDIQUE</v>
          </cell>
          <cell r="C215" t="str">
            <v>BC</v>
          </cell>
          <cell r="D215">
            <v>2019</v>
          </cell>
          <cell r="E215" t="str">
            <v>Fonctionnement</v>
          </cell>
          <cell r="F215">
            <v>0</v>
          </cell>
        </row>
        <row r="216">
          <cell r="A216" t="str">
            <v>DIRECTION CHARGEE DES RELATIONS INTERNATIONALES</v>
          </cell>
          <cell r="B216" t="str">
            <v>DRI</v>
          </cell>
          <cell r="C216" t="str">
            <v>BC</v>
          </cell>
          <cell r="D216">
            <v>2019</v>
          </cell>
          <cell r="E216" t="str">
            <v>Fonctionnement</v>
          </cell>
          <cell r="F216">
            <v>1.3971530000000001</v>
          </cell>
        </row>
        <row r="217">
          <cell r="A217" t="str">
            <v>DIRECTION DE L'AUDIT ET DU CONTRÔLE DE LA GESTION</v>
          </cell>
          <cell r="B217" t="str">
            <v>AUDIT ET CONTRÔLE DE LA GESTION</v>
          </cell>
          <cell r="C217" t="str">
            <v>BC</v>
          </cell>
          <cell r="D217">
            <v>2019</v>
          </cell>
          <cell r="E217" t="str">
            <v>Fonctionnement</v>
          </cell>
          <cell r="F217">
            <v>0.10467</v>
          </cell>
        </row>
        <row r="218">
          <cell r="A218" t="str">
            <v>DIRECTION DE L’INFORMATION RADIO</v>
          </cell>
          <cell r="B218" t="str">
            <v>INFORMATION RADIO</v>
          </cell>
          <cell r="C218" t="str">
            <v>BC</v>
          </cell>
          <cell r="D218">
            <v>2019</v>
          </cell>
          <cell r="E218" t="str">
            <v>Fonctionnement</v>
          </cell>
          <cell r="F218">
            <v>0</v>
          </cell>
        </row>
        <row r="219">
          <cell r="A219" t="str">
            <v>DIRECTION DE L’INFORMATION TV</v>
          </cell>
          <cell r="B219" t="str">
            <v>INFORMATION TV</v>
          </cell>
          <cell r="C219" t="str">
            <v>BC</v>
          </cell>
          <cell r="D219">
            <v>2019</v>
          </cell>
          <cell r="E219" t="str">
            <v>Fonctionnement</v>
          </cell>
          <cell r="F219">
            <v>2.8554131579999997</v>
          </cell>
        </row>
        <row r="220">
          <cell r="A220" t="str">
            <v>DIRECTION DE LA PRODUCTION ET DE LA PROGRAMMATION RADIO</v>
          </cell>
          <cell r="B220" t="str">
            <v>RADIO PROD PROG</v>
          </cell>
          <cell r="C220" t="str">
            <v>BC</v>
          </cell>
          <cell r="D220">
            <v>2019</v>
          </cell>
          <cell r="E220" t="str">
            <v>Fonctionnement</v>
          </cell>
          <cell r="F220">
            <v>0</v>
          </cell>
        </row>
        <row r="221">
          <cell r="A221" t="str">
            <v>DIRECTION DE LA REGIE PUBLICITAIRE ET DES SOLUTIONS DIGITALES</v>
          </cell>
          <cell r="B221" t="str">
            <v xml:space="preserve">REGIE PUBLICITAIRE </v>
          </cell>
          <cell r="C221" t="str">
            <v>BC</v>
          </cell>
          <cell r="D221">
            <v>2019</v>
          </cell>
          <cell r="E221" t="str">
            <v>Fonctionnement</v>
          </cell>
          <cell r="F221">
            <v>1.1754727999999999</v>
          </cell>
        </row>
        <row r="222">
          <cell r="A222" t="str">
            <v>DIRECTION MARKETING ET PROGRAMATION TV</v>
          </cell>
          <cell r="B222" t="str">
            <v>MARKETING ET PROG TV</v>
          </cell>
          <cell r="C222" t="str">
            <v>BC</v>
          </cell>
          <cell r="D222">
            <v>2019</v>
          </cell>
          <cell r="E222" t="str">
            <v>Fonctionnement</v>
          </cell>
          <cell r="F222">
            <v>4.7037092000000005</v>
          </cell>
        </row>
        <row r="223">
          <cell r="A223" t="str">
            <v>DIRECTION DE LA COMMUNICATION</v>
          </cell>
          <cell r="B223" t="str">
            <v>COMMUNICATION</v>
          </cell>
          <cell r="C223" t="str">
            <v>BC</v>
          </cell>
          <cell r="D223">
            <v>2019</v>
          </cell>
          <cell r="E223" t="str">
            <v>Fonctionnement</v>
          </cell>
          <cell r="F223">
            <v>1.6951992</v>
          </cell>
        </row>
        <row r="224">
          <cell r="A224" t="str">
            <v>DIRECTION ALMAGHRIBIA</v>
          </cell>
          <cell r="B224" t="str">
            <v>ALMAGHRIBIA</v>
          </cell>
          <cell r="C224" t="str">
            <v>BC</v>
          </cell>
          <cell r="D224">
            <v>2019</v>
          </cell>
          <cell r="E224" t="str">
            <v>Fonctionnement</v>
          </cell>
          <cell r="F224">
            <v>0</v>
          </cell>
        </row>
        <row r="225">
          <cell r="A225" t="str">
            <v xml:space="preserve">DIRECTION CENTRALE DE LA CHAINE TV LAAYOUNE </v>
          </cell>
          <cell r="B225" t="str">
            <v xml:space="preserve">LAAYOUNE </v>
          </cell>
          <cell r="C225" t="str">
            <v>BC</v>
          </cell>
          <cell r="D225">
            <v>2019</v>
          </cell>
          <cell r="E225" t="str">
            <v>Fonctionnement</v>
          </cell>
          <cell r="F225">
            <v>0.91060609999999997</v>
          </cell>
        </row>
        <row r="226">
          <cell r="A226" t="str">
            <v>DIRECTION CENTRALE DE LA CHAÎNE ARRYADIA</v>
          </cell>
          <cell r="B226" t="str">
            <v>ARRYADIA</v>
          </cell>
          <cell r="C226" t="str">
            <v>BC</v>
          </cell>
          <cell r="D226">
            <v>2019</v>
          </cell>
          <cell r="E226" t="str">
            <v>Fonctionnement</v>
          </cell>
          <cell r="F226">
            <v>4.2722003599999994</v>
          </cell>
        </row>
        <row r="227">
          <cell r="A227" t="str">
            <v>DIRECTION CENTRALE DE LA CHAÎNE TAMAZIGHT</v>
          </cell>
          <cell r="B227" t="str">
            <v>TAMAZIGHT</v>
          </cell>
          <cell r="C227" t="str">
            <v>BC</v>
          </cell>
          <cell r="D227">
            <v>2019</v>
          </cell>
          <cell r="E227" t="str">
            <v>Fonctionnement</v>
          </cell>
          <cell r="F227">
            <v>0.38236799999999999</v>
          </cell>
        </row>
        <row r="228">
          <cell r="A228" t="str">
            <v>DIRECTION CENTRALE DE LA PRODUCTION ET DE L'ANTENNE</v>
          </cell>
          <cell r="B228" t="str">
            <v>ALAOULA</v>
          </cell>
          <cell r="C228" t="str">
            <v>BC</v>
          </cell>
          <cell r="D228">
            <v>2019</v>
          </cell>
          <cell r="E228" t="str">
            <v>Fonctionnement</v>
          </cell>
          <cell r="F228">
            <v>2.5410659999999998</v>
          </cell>
        </row>
        <row r="229">
          <cell r="A229" t="str">
            <v>DIRECTION DE LA QUATRIEME</v>
          </cell>
          <cell r="B229" t="str">
            <v>QUATRIEME</v>
          </cell>
          <cell r="C229" t="str">
            <v>BC</v>
          </cell>
          <cell r="D229">
            <v>2019</v>
          </cell>
          <cell r="E229" t="str">
            <v>Fonctionnement</v>
          </cell>
          <cell r="F229">
            <v>0.30846000000000001</v>
          </cell>
        </row>
        <row r="230">
          <cell r="A230" t="str">
            <v>DIRECTION DES CHAÎNES CORANIQUES TV RADIO</v>
          </cell>
          <cell r="B230" t="str">
            <v>ASSADISSA ET RADIO COR</v>
          </cell>
          <cell r="C230" t="str">
            <v>BC</v>
          </cell>
          <cell r="D230">
            <v>2019</v>
          </cell>
          <cell r="E230" t="str">
            <v>Fonctionnement</v>
          </cell>
          <cell r="F230">
            <v>2.45328E-2</v>
          </cell>
        </row>
        <row r="231">
          <cell r="A231" t="str">
            <v>DIRECTION DES SYSTEMES D'INFORMATION</v>
          </cell>
          <cell r="B231" t="str">
            <v>DSI</v>
          </cell>
          <cell r="C231" t="str">
            <v>BC</v>
          </cell>
          <cell r="D231">
            <v>2019</v>
          </cell>
          <cell r="E231" t="str">
            <v>Fonctionnement</v>
          </cell>
          <cell r="F231">
            <v>1.846667525</v>
          </cell>
        </row>
        <row r="232">
          <cell r="A232" t="str">
            <v>DIRECTION TECHNIQUE</v>
          </cell>
          <cell r="B232" t="str">
            <v>TECHNIQUE</v>
          </cell>
          <cell r="C232" t="str">
            <v>BC</v>
          </cell>
          <cell r="D232">
            <v>2020</v>
          </cell>
          <cell r="E232" t="str">
            <v>Fonctionnement</v>
          </cell>
          <cell r="F232">
            <v>0.56856252000000007</v>
          </cell>
        </row>
        <row r="233">
          <cell r="A233" t="str">
            <v>DIRECTION DE LA TELEDIFFUSION</v>
          </cell>
          <cell r="B233" t="str">
            <v>TELEDIFFUSION</v>
          </cell>
          <cell r="C233" t="str">
            <v>BC</v>
          </cell>
          <cell r="D233">
            <v>2020</v>
          </cell>
          <cell r="E233" t="str">
            <v>Fonctionnement</v>
          </cell>
          <cell r="F233">
            <v>1.625413</v>
          </cell>
        </row>
        <row r="234">
          <cell r="A234" t="str">
            <v>DIRECTION DES ACHATS</v>
          </cell>
          <cell r="B234" t="str">
            <v>ACHATS</v>
          </cell>
          <cell r="C234" t="str">
            <v>BC</v>
          </cell>
          <cell r="D234">
            <v>2020</v>
          </cell>
          <cell r="E234" t="str">
            <v>Fonctionnement</v>
          </cell>
          <cell r="F234">
            <v>0.126803</v>
          </cell>
        </row>
        <row r="235">
          <cell r="A235" t="str">
            <v>DIRECTION FINANCIERE</v>
          </cell>
          <cell r="B235" t="str">
            <v>FINANCES</v>
          </cell>
          <cell r="C235" t="str">
            <v>BC</v>
          </cell>
          <cell r="D235">
            <v>2020</v>
          </cell>
          <cell r="E235" t="str">
            <v>Fonctionnement</v>
          </cell>
          <cell r="F235">
            <v>9.5999999999999992E-3</v>
          </cell>
        </row>
        <row r="236">
          <cell r="A236" t="str">
            <v>DIRECTION DES RESSOURCES HUMAINES</v>
          </cell>
          <cell r="B236" t="str">
            <v>RESSOURCES HUMAINES</v>
          </cell>
          <cell r="C236" t="str">
            <v>BC</v>
          </cell>
          <cell r="D236">
            <v>2020</v>
          </cell>
          <cell r="E236" t="str">
            <v>Fonctionnement</v>
          </cell>
          <cell r="F236">
            <v>0.61414480000000005</v>
          </cell>
        </row>
        <row r="237">
          <cell r="A237" t="str">
            <v>DIRECTION DU PATRIMOINE  ET DES MOYENS GENERAUX</v>
          </cell>
          <cell r="B237" t="str">
            <v>DPMG</v>
          </cell>
          <cell r="C237" t="str">
            <v>BC</v>
          </cell>
          <cell r="D237">
            <v>2020</v>
          </cell>
          <cell r="E237" t="str">
            <v>Fonctionnement</v>
          </cell>
          <cell r="F237">
            <v>3.6846172089999998</v>
          </cell>
        </row>
        <row r="238">
          <cell r="A238" t="str">
            <v>DIRECTION JURIDIQUE</v>
          </cell>
          <cell r="B238" t="str">
            <v>JURIDIQUE</v>
          </cell>
          <cell r="C238" t="str">
            <v>BC</v>
          </cell>
          <cell r="D238">
            <v>2020</v>
          </cell>
          <cell r="E238" t="str">
            <v>Fonctionnement</v>
          </cell>
          <cell r="F238">
            <v>0</v>
          </cell>
        </row>
        <row r="239">
          <cell r="A239" t="str">
            <v>DIRECTION CHARGEE DES RELATIONS INTERNATIONALES</v>
          </cell>
          <cell r="B239" t="str">
            <v>DRI</v>
          </cell>
          <cell r="C239" t="str">
            <v>BC</v>
          </cell>
          <cell r="D239">
            <v>2020</v>
          </cell>
          <cell r="E239" t="str">
            <v>Fonctionnement</v>
          </cell>
          <cell r="F239">
            <v>0</v>
          </cell>
        </row>
        <row r="240">
          <cell r="A240" t="str">
            <v>DIRECTION DE L'AUDIT ET DU CONTRÔLE DE LA GESTION</v>
          </cell>
          <cell r="B240" t="str">
            <v>AUDIT ET CONTRÔLE DE LA GESTION</v>
          </cell>
          <cell r="C240" t="str">
            <v>BC</v>
          </cell>
          <cell r="D240">
            <v>2020</v>
          </cell>
          <cell r="E240" t="str">
            <v>Fonctionnement</v>
          </cell>
          <cell r="F240">
            <v>0</v>
          </cell>
        </row>
        <row r="241">
          <cell r="A241" t="str">
            <v>DIRECTION DE L’INFORMATION RADIO</v>
          </cell>
          <cell r="B241" t="str">
            <v>INFORMATION RADIO</v>
          </cell>
          <cell r="C241" t="str">
            <v>BC</v>
          </cell>
          <cell r="D241">
            <v>2020</v>
          </cell>
          <cell r="E241" t="str">
            <v>Fonctionnement</v>
          </cell>
          <cell r="F241">
            <v>0</v>
          </cell>
        </row>
        <row r="242">
          <cell r="A242" t="str">
            <v>DIRECTION DE L’INFORMATION TV</v>
          </cell>
          <cell r="B242" t="str">
            <v>INFORMATION TV</v>
          </cell>
          <cell r="C242" t="str">
            <v>BC</v>
          </cell>
          <cell r="D242">
            <v>2020</v>
          </cell>
          <cell r="E242" t="str">
            <v>Fonctionnement</v>
          </cell>
          <cell r="F242">
            <v>0.38279292379999996</v>
          </cell>
        </row>
        <row r="243">
          <cell r="A243" t="str">
            <v>DIRECTION DE LA PRODUCTION ET DE LA PROGRAMMATION RADIO</v>
          </cell>
          <cell r="B243" t="str">
            <v>RADIO PROD PROG</v>
          </cell>
          <cell r="C243" t="str">
            <v>BC</v>
          </cell>
          <cell r="D243">
            <v>2020</v>
          </cell>
          <cell r="E243" t="str">
            <v>Fonctionnement</v>
          </cell>
          <cell r="F243">
            <v>0</v>
          </cell>
        </row>
        <row r="244">
          <cell r="A244" t="str">
            <v>DIRECTION DE LA REGIE PUBLICITAIRE ET DES SOLUTIONS DIGITALES</v>
          </cell>
          <cell r="B244" t="str">
            <v xml:space="preserve">REGIE PUBLICITAIRE </v>
          </cell>
          <cell r="C244" t="str">
            <v>BC</v>
          </cell>
          <cell r="D244">
            <v>2020</v>
          </cell>
          <cell r="E244" t="str">
            <v>Fonctionnement</v>
          </cell>
          <cell r="F244">
            <v>0.42238765499999997</v>
          </cell>
        </row>
        <row r="245">
          <cell r="A245" t="str">
            <v>DIRECTION MARKETING ET PROGRAMATION TV</v>
          </cell>
          <cell r="B245" t="str">
            <v>MARKETING ET PROG TV</v>
          </cell>
          <cell r="C245" t="str">
            <v>BC</v>
          </cell>
          <cell r="D245">
            <v>2020</v>
          </cell>
          <cell r="E245" t="str">
            <v>Fonctionnement</v>
          </cell>
          <cell r="F245">
            <v>2.3173367999999996</v>
          </cell>
        </row>
        <row r="246">
          <cell r="A246" t="str">
            <v>DIRECTION DE LA COMMUNICATION</v>
          </cell>
          <cell r="B246" t="str">
            <v>COMMUNICATION</v>
          </cell>
          <cell r="C246" t="str">
            <v>BC</v>
          </cell>
          <cell r="D246">
            <v>2020</v>
          </cell>
          <cell r="E246" t="str">
            <v>Fonctionnement</v>
          </cell>
          <cell r="F246">
            <v>0.63222</v>
          </cell>
        </row>
        <row r="247">
          <cell r="A247" t="str">
            <v>DIRECTION ALMAGHRIBIA</v>
          </cell>
          <cell r="B247" t="str">
            <v>ALMAGHRIBIA</v>
          </cell>
          <cell r="C247" t="str">
            <v>BC</v>
          </cell>
          <cell r="D247">
            <v>2020</v>
          </cell>
          <cell r="E247" t="str">
            <v>Fonctionnement</v>
          </cell>
          <cell r="F247">
            <v>0</v>
          </cell>
        </row>
        <row r="248">
          <cell r="A248" t="str">
            <v xml:space="preserve">DIRECTION CENTRALE DE LA CHAINE TV LAAYOUNE </v>
          </cell>
          <cell r="B248" t="str">
            <v xml:space="preserve">LAAYOUNE </v>
          </cell>
          <cell r="C248" t="str">
            <v>BC</v>
          </cell>
          <cell r="D248">
            <v>2020</v>
          </cell>
          <cell r="E248" t="str">
            <v>Fonctionnement</v>
          </cell>
          <cell r="F248">
            <v>0.82130980000000009</v>
          </cell>
        </row>
        <row r="249">
          <cell r="A249" t="str">
            <v>DIRECTION CENTRALE DE LA CHAÎNE ARRYADIA</v>
          </cell>
          <cell r="B249" t="str">
            <v>ARRYADIA</v>
          </cell>
          <cell r="C249" t="str">
            <v>BC</v>
          </cell>
          <cell r="D249">
            <v>2020</v>
          </cell>
          <cell r="E249" t="str">
            <v>Fonctionnement</v>
          </cell>
          <cell r="F249">
            <v>0.26915234999999998</v>
          </cell>
        </row>
        <row r="250">
          <cell r="A250" t="str">
            <v>DIRECTION CENTRALE DE LA CHAÎNE TAMAZIGHT</v>
          </cell>
          <cell r="B250" t="str">
            <v>TAMAZIGHT</v>
          </cell>
          <cell r="C250" t="str">
            <v>BC</v>
          </cell>
          <cell r="D250">
            <v>2020</v>
          </cell>
          <cell r="E250" t="str">
            <v>Fonctionnement</v>
          </cell>
          <cell r="F250">
            <v>0.29798635199999995</v>
          </cell>
        </row>
        <row r="251">
          <cell r="A251" t="str">
            <v>DIRECTION CENTRALE DE LA PRODUCTION ET DE L'ANTENNE</v>
          </cell>
          <cell r="B251" t="str">
            <v>ALAOULA</v>
          </cell>
          <cell r="C251" t="str">
            <v>BC</v>
          </cell>
          <cell r="D251">
            <v>2020</v>
          </cell>
          <cell r="E251" t="str">
            <v>Fonctionnement</v>
          </cell>
          <cell r="F251">
            <v>0.32051116999999996</v>
          </cell>
        </row>
        <row r="252">
          <cell r="A252" t="str">
            <v>DIRECTION DE LA QUATRIEME</v>
          </cell>
          <cell r="B252" t="str">
            <v>QUATRIEME</v>
          </cell>
          <cell r="C252" t="str">
            <v>BC</v>
          </cell>
          <cell r="D252">
            <v>2020</v>
          </cell>
          <cell r="E252" t="str">
            <v>Fonctionnement</v>
          </cell>
          <cell r="F252">
            <v>0</v>
          </cell>
        </row>
        <row r="253">
          <cell r="A253" t="str">
            <v>DIRECTION DES CHAÎNES CORANIQUES TV RADIO</v>
          </cell>
          <cell r="B253" t="str">
            <v>ASSADISSA ET RADIO COR</v>
          </cell>
          <cell r="C253" t="str">
            <v>BC</v>
          </cell>
          <cell r="D253">
            <v>2020</v>
          </cell>
          <cell r="E253" t="str">
            <v>Fonctionnement</v>
          </cell>
          <cell r="F253">
            <v>0.15372</v>
          </cell>
        </row>
        <row r="254">
          <cell r="A254" t="str">
            <v>DIRECTION DES SYSTEMES D'INFORMATION</v>
          </cell>
          <cell r="B254" t="str">
            <v>DSI</v>
          </cell>
          <cell r="C254" t="str">
            <v>BC</v>
          </cell>
          <cell r="D254">
            <v>2020</v>
          </cell>
          <cell r="E254" t="str">
            <v>Fonctionnement</v>
          </cell>
          <cell r="F254">
            <v>1.0044515264</v>
          </cell>
        </row>
        <row r="255">
          <cell r="A255" t="str">
            <v>DIRECTION TECHNIQUE</v>
          </cell>
          <cell r="B255" t="str">
            <v>TECHNIQUE</v>
          </cell>
          <cell r="C255" t="str">
            <v>BC</v>
          </cell>
          <cell r="D255">
            <v>2021</v>
          </cell>
          <cell r="E255" t="str">
            <v>Fonctionnement</v>
          </cell>
          <cell r="F255">
            <v>0.57295275000000001</v>
          </cell>
        </row>
        <row r="256">
          <cell r="A256" t="str">
            <v>DIRECTION DE LA TELEDIFFUSION</v>
          </cell>
          <cell r="B256" t="str">
            <v>TELEDIFFUSION</v>
          </cell>
          <cell r="C256" t="str">
            <v>BC</v>
          </cell>
          <cell r="D256">
            <v>2021</v>
          </cell>
          <cell r="E256" t="str">
            <v>Fonctionnement</v>
          </cell>
          <cell r="F256">
            <v>2.1489523999999998</v>
          </cell>
        </row>
        <row r="257">
          <cell r="A257" t="str">
            <v>DIRECTION DES ACHATS</v>
          </cell>
          <cell r="B257" t="str">
            <v>ACHATS</v>
          </cell>
          <cell r="C257" t="str">
            <v>BC</v>
          </cell>
          <cell r="D257">
            <v>2021</v>
          </cell>
          <cell r="E257" t="str">
            <v>Fonctionnement</v>
          </cell>
          <cell r="F257">
            <v>0.27</v>
          </cell>
        </row>
        <row r="258">
          <cell r="A258" t="str">
            <v>DIRECTION FINANCIERE</v>
          </cell>
          <cell r="B258" t="str">
            <v>FINANCES</v>
          </cell>
          <cell r="C258" t="str">
            <v>BC</v>
          </cell>
          <cell r="D258">
            <v>2021</v>
          </cell>
          <cell r="E258" t="str">
            <v>Fonctionnement</v>
          </cell>
          <cell r="F258">
            <v>0.2</v>
          </cell>
        </row>
        <row r="259">
          <cell r="A259" t="str">
            <v>DIRECTION DES RESSOURCES HUMAINES</v>
          </cell>
          <cell r="B259" t="str">
            <v>RESSOURCES HUMAINES</v>
          </cell>
          <cell r="C259" t="str">
            <v>BC</v>
          </cell>
          <cell r="D259">
            <v>2021</v>
          </cell>
          <cell r="E259" t="str">
            <v>Fonctionnement</v>
          </cell>
          <cell r="F259">
            <v>0.93167999999999995</v>
          </cell>
        </row>
        <row r="260">
          <cell r="A260" t="str">
            <v>DIRECTION DU PATRIMOINE  ET DES MOYENS GENERAUX</v>
          </cell>
          <cell r="B260" t="str">
            <v>DPMG</v>
          </cell>
          <cell r="C260" t="str">
            <v>BC</v>
          </cell>
          <cell r="D260">
            <v>2021</v>
          </cell>
          <cell r="E260" t="str">
            <v>Fonctionnement</v>
          </cell>
          <cell r="F260">
            <v>1.7766268000000001</v>
          </cell>
        </row>
        <row r="261">
          <cell r="A261" t="str">
            <v>DIRECTION JURIDIQUE</v>
          </cell>
          <cell r="B261" t="str">
            <v>JURIDIQUE</v>
          </cell>
          <cell r="C261" t="str">
            <v>BC</v>
          </cell>
          <cell r="D261">
            <v>2021</v>
          </cell>
          <cell r="E261" t="str">
            <v>Fonctionnement</v>
          </cell>
          <cell r="F261">
            <v>0</v>
          </cell>
        </row>
        <row r="262">
          <cell r="A262" t="str">
            <v>DIRECTION CHARGEE DES RELATIONS INTERNATIONALES</v>
          </cell>
          <cell r="B262" t="str">
            <v>DRI</v>
          </cell>
          <cell r="C262" t="str">
            <v>BC</v>
          </cell>
          <cell r="D262">
            <v>2021</v>
          </cell>
          <cell r="E262" t="str">
            <v>Fonctionnement</v>
          </cell>
          <cell r="F262">
            <v>0</v>
          </cell>
        </row>
        <row r="263">
          <cell r="A263" t="str">
            <v>DIRECTION DE L'AUDIT ET DU CONTRÔLE DE LA GESTION</v>
          </cell>
          <cell r="B263" t="str">
            <v>AUDIT ET CONTRÔLE DE LA GESTION</v>
          </cell>
          <cell r="C263" t="str">
            <v>BC</v>
          </cell>
          <cell r="D263">
            <v>2021</v>
          </cell>
          <cell r="E263" t="str">
            <v>Fonctionnement</v>
          </cell>
          <cell r="F263">
            <v>0</v>
          </cell>
        </row>
        <row r="264">
          <cell r="A264" t="str">
            <v>DIRECTION DE L’INFORMATION RADIO</v>
          </cell>
          <cell r="B264" t="str">
            <v>INFORMATION RADIO</v>
          </cell>
          <cell r="C264" t="str">
            <v>BC</v>
          </cell>
          <cell r="D264">
            <v>2021</v>
          </cell>
          <cell r="E264" t="str">
            <v>Fonctionnement</v>
          </cell>
          <cell r="F264">
            <v>0</v>
          </cell>
        </row>
        <row r="265">
          <cell r="A265" t="str">
            <v>DIRECTION DE L’INFORMATION TV</v>
          </cell>
          <cell r="B265" t="str">
            <v>INFORMATION TV</v>
          </cell>
          <cell r="C265" t="str">
            <v>BC</v>
          </cell>
          <cell r="D265">
            <v>2021</v>
          </cell>
          <cell r="E265" t="str">
            <v>Fonctionnement</v>
          </cell>
          <cell r="F265">
            <v>0.87</v>
          </cell>
        </row>
        <row r="266">
          <cell r="A266" t="str">
            <v>DIRECTION DE LA PRODUCTION ET DE LA PROGRAMMATION RADIO</v>
          </cell>
          <cell r="B266" t="str">
            <v>RADIO PROD PROG</v>
          </cell>
          <cell r="C266" t="str">
            <v>BC</v>
          </cell>
          <cell r="D266">
            <v>2021</v>
          </cell>
          <cell r="E266" t="str">
            <v>Fonctionnement</v>
          </cell>
          <cell r="F266">
            <v>0</v>
          </cell>
        </row>
        <row r="267">
          <cell r="A267" t="str">
            <v>DIRECTION DE LA REGIE PUBLICITAIRE ET DES SOLUTIONS DIGITALES</v>
          </cell>
          <cell r="B267" t="str">
            <v xml:space="preserve">REGIE PUBLICITAIRE </v>
          </cell>
          <cell r="C267" t="str">
            <v>BC</v>
          </cell>
          <cell r="D267">
            <v>2021</v>
          </cell>
          <cell r="E267" t="str">
            <v>Fonctionnement</v>
          </cell>
          <cell r="F267">
            <v>0.94153818999999994</v>
          </cell>
        </row>
        <row r="268">
          <cell r="A268" t="str">
            <v>DIRECTION MARKETING ET PROGRAMATION TV</v>
          </cell>
          <cell r="B268" t="str">
            <v>MARKETING ET PROG TV</v>
          </cell>
          <cell r="C268" t="str">
            <v>BC</v>
          </cell>
          <cell r="D268">
            <v>2021</v>
          </cell>
          <cell r="E268" t="str">
            <v>Fonctionnement</v>
          </cell>
          <cell r="F268">
            <v>1.3664799999999999</v>
          </cell>
        </row>
        <row r="269">
          <cell r="A269" t="str">
            <v>DIRECTION DE LA COMMUNICATION</v>
          </cell>
          <cell r="B269" t="str">
            <v>COMMUNICATION</v>
          </cell>
          <cell r="C269" t="str">
            <v>BC</v>
          </cell>
          <cell r="D269">
            <v>2021</v>
          </cell>
          <cell r="E269" t="str">
            <v>Fonctionnement</v>
          </cell>
          <cell r="F269">
            <v>0.39289200000000002</v>
          </cell>
        </row>
        <row r="270">
          <cell r="A270" t="str">
            <v>DIRECTION ALMAGHRIBIA</v>
          </cell>
          <cell r="B270" t="str">
            <v>ALMAGHRIBIA</v>
          </cell>
          <cell r="C270" t="str">
            <v>BC</v>
          </cell>
          <cell r="D270">
            <v>2021</v>
          </cell>
          <cell r="E270" t="str">
            <v>Fonctionnement</v>
          </cell>
          <cell r="F270">
            <v>0</v>
          </cell>
        </row>
        <row r="271">
          <cell r="A271" t="str">
            <v xml:space="preserve">DIRECTION CENTRALE DE LA CHAINE TV LAAYOUNE </v>
          </cell>
          <cell r="B271" t="str">
            <v xml:space="preserve">LAAYOUNE </v>
          </cell>
          <cell r="C271" t="str">
            <v>BC</v>
          </cell>
          <cell r="D271">
            <v>2021</v>
          </cell>
          <cell r="E271" t="str">
            <v>Fonctionnement</v>
          </cell>
          <cell r="F271">
            <v>0.82450000000000001</v>
          </cell>
        </row>
        <row r="272">
          <cell r="A272" t="str">
            <v>DIRECTION CENTRALE DE LA CHAÎNE ARRYADIA</v>
          </cell>
          <cell r="B272" t="str">
            <v>ARRYADIA</v>
          </cell>
          <cell r="C272" t="str">
            <v>BC</v>
          </cell>
          <cell r="D272">
            <v>2021</v>
          </cell>
          <cell r="E272" t="str">
            <v>Fonctionnement</v>
          </cell>
          <cell r="F272">
            <v>2.2190379999999998</v>
          </cell>
        </row>
        <row r="273">
          <cell r="A273" t="str">
            <v>DIRECTION CENTRALE DE LA CHAÎNE TAMAZIGHT</v>
          </cell>
          <cell r="B273" t="str">
            <v>TAMAZIGHT</v>
          </cell>
          <cell r="C273" t="str">
            <v>BC</v>
          </cell>
          <cell r="D273">
            <v>2021</v>
          </cell>
          <cell r="E273" t="str">
            <v>Fonctionnement</v>
          </cell>
          <cell r="F273">
            <v>0.16</v>
          </cell>
        </row>
        <row r="274">
          <cell r="A274" t="str">
            <v>DIRECTION CENTRALE DE LA PRODUCTION ET DE L'ANTENNE</v>
          </cell>
          <cell r="B274" t="str">
            <v>ALAOULA</v>
          </cell>
          <cell r="C274" t="str">
            <v>BC</v>
          </cell>
          <cell r="D274">
            <v>2021</v>
          </cell>
          <cell r="E274" t="str">
            <v>Fonctionnement</v>
          </cell>
          <cell r="F274">
            <v>0.41555999999999998</v>
          </cell>
        </row>
        <row r="275">
          <cell r="A275" t="str">
            <v>DIRECTION DE LA QUATRIEME</v>
          </cell>
          <cell r="B275" t="str">
            <v>QUATRIEME</v>
          </cell>
          <cell r="C275" t="str">
            <v>BC</v>
          </cell>
          <cell r="D275">
            <v>2021</v>
          </cell>
          <cell r="E275" t="str">
            <v>Fonctionnement</v>
          </cell>
          <cell r="F275">
            <v>0.45</v>
          </cell>
        </row>
        <row r="276">
          <cell r="A276" t="str">
            <v>DIRECTION DES CHAÎNES CORANIQUES TV RADIO</v>
          </cell>
          <cell r="B276" t="str">
            <v>ASSADISSA ET RADIO COR</v>
          </cell>
          <cell r="C276" t="str">
            <v>BC</v>
          </cell>
          <cell r="D276">
            <v>2021</v>
          </cell>
          <cell r="E276" t="str">
            <v>Fonctionnement</v>
          </cell>
          <cell r="F276">
            <v>0.02</v>
          </cell>
        </row>
        <row r="277">
          <cell r="A277" t="str">
            <v>DIRECTION DES SYSTEMES D'INFORMATION</v>
          </cell>
          <cell r="B277" t="str">
            <v>DSI</v>
          </cell>
          <cell r="C277" t="str">
            <v>BC</v>
          </cell>
          <cell r="D277">
            <v>2021</v>
          </cell>
          <cell r="E277" t="str">
            <v>Fonctionnement</v>
          </cell>
          <cell r="F277">
            <v>0.45764128000000004</v>
          </cell>
        </row>
        <row r="278">
          <cell r="A278" t="str">
            <v>DIRECTION TECHNIQUE</v>
          </cell>
          <cell r="B278" t="str">
            <v>TECHNIQUE</v>
          </cell>
          <cell r="C278" t="str">
            <v>MARCHES</v>
          </cell>
          <cell r="D278">
            <v>2016</v>
          </cell>
          <cell r="E278" t="str">
            <v>Investissement</v>
          </cell>
          <cell r="F278">
            <v>136.57804976360003</v>
          </cell>
        </row>
        <row r="279">
          <cell r="A279" t="str">
            <v>DIRECTION DE LA TELEDIFFUSION</v>
          </cell>
          <cell r="B279" t="str">
            <v>TELEDIFFUSION</v>
          </cell>
          <cell r="C279" t="str">
            <v>MARCHES</v>
          </cell>
          <cell r="D279">
            <v>2016</v>
          </cell>
          <cell r="E279" t="str">
            <v>Investissement</v>
          </cell>
          <cell r="F279">
            <v>81.617096438339999</v>
          </cell>
        </row>
        <row r="280">
          <cell r="A280" t="str">
            <v>DIRECTION DES ACHATS</v>
          </cell>
          <cell r="B280" t="str">
            <v>ACHATS</v>
          </cell>
          <cell r="C280" t="str">
            <v>MARCHES</v>
          </cell>
          <cell r="D280">
            <v>2016</v>
          </cell>
          <cell r="E280" t="str">
            <v>Investissement</v>
          </cell>
          <cell r="F280">
            <v>0</v>
          </cell>
        </row>
        <row r="281">
          <cell r="A281" t="str">
            <v>DIRECTION FINANCIERE</v>
          </cell>
          <cell r="B281" t="str">
            <v>FINANCES</v>
          </cell>
          <cell r="C281" t="str">
            <v>MARCHES</v>
          </cell>
          <cell r="D281">
            <v>2016</v>
          </cell>
          <cell r="E281" t="str">
            <v>Investissement</v>
          </cell>
          <cell r="F281">
            <v>0</v>
          </cell>
        </row>
        <row r="282">
          <cell r="A282" t="str">
            <v>DIRECTION DES RESSOURCES HUMAINES</v>
          </cell>
          <cell r="B282" t="str">
            <v>RESSOURCES HUMAINES</v>
          </cell>
          <cell r="C282" t="str">
            <v>MARCHES</v>
          </cell>
          <cell r="D282">
            <v>2016</v>
          </cell>
          <cell r="E282" t="str">
            <v>Investissement</v>
          </cell>
          <cell r="F282">
            <v>1.9798643999999999</v>
          </cell>
        </row>
        <row r="283">
          <cell r="A283" t="str">
            <v>DIRECTION DU PATRIMOINE  ET DES MOYENS GENERAUX</v>
          </cell>
          <cell r="B283" t="str">
            <v>DPMG</v>
          </cell>
          <cell r="C283" t="str">
            <v>MARCHES</v>
          </cell>
          <cell r="D283">
            <v>2016</v>
          </cell>
          <cell r="E283" t="str">
            <v>Investissement</v>
          </cell>
          <cell r="F283">
            <v>9.3210474000000012</v>
          </cell>
        </row>
        <row r="284">
          <cell r="A284" t="str">
            <v>DIRECTION JURIDIQUE</v>
          </cell>
          <cell r="B284" t="str">
            <v>JURIDIQUE</v>
          </cell>
          <cell r="C284" t="str">
            <v>MARCHES</v>
          </cell>
          <cell r="D284">
            <v>2016</v>
          </cell>
          <cell r="E284" t="str">
            <v>Investissement</v>
          </cell>
          <cell r="F284">
            <v>0</v>
          </cell>
        </row>
        <row r="285">
          <cell r="A285" t="str">
            <v>DIRECTION CHARGEE DES RELATIONS INTERNATIONALES</v>
          </cell>
          <cell r="B285" t="str">
            <v>DRI</v>
          </cell>
          <cell r="C285" t="str">
            <v>MARCHES</v>
          </cell>
          <cell r="D285">
            <v>2016</v>
          </cell>
          <cell r="E285" t="str">
            <v>Investissement</v>
          </cell>
          <cell r="F285">
            <v>0</v>
          </cell>
        </row>
        <row r="286">
          <cell r="A286" t="str">
            <v>DIRECTION DE L'AUDIT ET DU CONTRÔLE DE LA GESTION</v>
          </cell>
          <cell r="B286" t="str">
            <v>AUDIT ET CONTRÔLE DE LA GESTION</v>
          </cell>
          <cell r="C286" t="str">
            <v>MARCHES</v>
          </cell>
          <cell r="D286">
            <v>2016</v>
          </cell>
          <cell r="E286" t="str">
            <v>Investissement</v>
          </cell>
          <cell r="F286">
            <v>0</v>
          </cell>
        </row>
        <row r="287">
          <cell r="A287" t="str">
            <v>DIRECTION DE L’INFORMATION RADIO</v>
          </cell>
          <cell r="B287" t="str">
            <v>INFORMATION RADIO</v>
          </cell>
          <cell r="C287" t="str">
            <v>MARCHES</v>
          </cell>
          <cell r="D287">
            <v>2016</v>
          </cell>
          <cell r="E287" t="str">
            <v>Investissement</v>
          </cell>
          <cell r="F287">
            <v>0</v>
          </cell>
        </row>
        <row r="288">
          <cell r="A288" t="str">
            <v>DIRECTION DE L’INFORMATION TV</v>
          </cell>
          <cell r="B288" t="str">
            <v>INFORMATION TV</v>
          </cell>
          <cell r="C288" t="str">
            <v>MARCHES</v>
          </cell>
          <cell r="D288">
            <v>2016</v>
          </cell>
          <cell r="E288" t="str">
            <v>Investissement</v>
          </cell>
          <cell r="F288">
            <v>0</v>
          </cell>
        </row>
        <row r="289">
          <cell r="A289" t="str">
            <v>DIRECTION DE LA PRODUCTION ET DE LA PROGRAMMATION RADIO</v>
          </cell>
          <cell r="B289" t="str">
            <v>RADIO PROD PROG</v>
          </cell>
          <cell r="C289" t="str">
            <v>MARCHES</v>
          </cell>
          <cell r="D289">
            <v>2016</v>
          </cell>
          <cell r="E289" t="str">
            <v>Investissement</v>
          </cell>
          <cell r="F289">
            <v>0</v>
          </cell>
        </row>
        <row r="290">
          <cell r="A290" t="str">
            <v>DIRECTION DE LA REGIE PUBLICITAIRE ET DES SOLUTIONS DIGITALES</v>
          </cell>
          <cell r="B290" t="str">
            <v xml:space="preserve">REGIE PUBLICITAIRE </v>
          </cell>
          <cell r="C290" t="str">
            <v>MARCHES</v>
          </cell>
          <cell r="D290">
            <v>2016</v>
          </cell>
          <cell r="E290" t="str">
            <v>Investissement</v>
          </cell>
          <cell r="F290">
            <v>3.8314860959999999</v>
          </cell>
        </row>
        <row r="291">
          <cell r="A291" t="str">
            <v>DIRECTION MARKETING ET PROGRAMATION TV</v>
          </cell>
          <cell r="B291" t="str">
            <v>MARKETING ET PROG TV</v>
          </cell>
          <cell r="C291" t="str">
            <v>MARCHES</v>
          </cell>
          <cell r="D291">
            <v>2016</v>
          </cell>
          <cell r="E291" t="str">
            <v>Investissement</v>
          </cell>
          <cell r="F291">
            <v>0</v>
          </cell>
        </row>
        <row r="292">
          <cell r="A292" t="str">
            <v>DIRECTION DE LA COMMUNICATION</v>
          </cell>
          <cell r="B292" t="str">
            <v>COMMUNICATION</v>
          </cell>
          <cell r="C292" t="str">
            <v>MARCHES</v>
          </cell>
          <cell r="D292">
            <v>2016</v>
          </cell>
          <cell r="E292" t="str">
            <v>Investissement</v>
          </cell>
          <cell r="F292">
            <v>0</v>
          </cell>
        </row>
        <row r="293">
          <cell r="A293" t="str">
            <v>DIRECTION ALMAGHRIBIA</v>
          </cell>
          <cell r="B293" t="str">
            <v>ALMAGHRIBIA</v>
          </cell>
          <cell r="C293" t="str">
            <v>MARCHES</v>
          </cell>
          <cell r="D293">
            <v>2016</v>
          </cell>
          <cell r="E293" t="str">
            <v>Investissement</v>
          </cell>
          <cell r="F293">
            <v>0</v>
          </cell>
        </row>
        <row r="294">
          <cell r="A294" t="str">
            <v xml:space="preserve">DIRECTION CENTRALE DE LA CHAINE TV LAAYOUNE </v>
          </cell>
          <cell r="B294" t="str">
            <v xml:space="preserve">LAAYOUNE </v>
          </cell>
          <cell r="C294" t="str">
            <v>MARCHES</v>
          </cell>
          <cell r="D294">
            <v>2016</v>
          </cell>
          <cell r="E294" t="str">
            <v>Investissement</v>
          </cell>
          <cell r="F294">
            <v>0</v>
          </cell>
        </row>
        <row r="295">
          <cell r="A295" t="str">
            <v>DIRECTION CENTRALE DE LA CHAÎNE ARRYADIA</v>
          </cell>
          <cell r="B295" t="str">
            <v>ARRYADIA</v>
          </cell>
          <cell r="C295" t="str">
            <v>MARCHES</v>
          </cell>
          <cell r="D295">
            <v>2016</v>
          </cell>
          <cell r="E295" t="str">
            <v>Investissement</v>
          </cell>
          <cell r="F295">
            <v>0</v>
          </cell>
        </row>
        <row r="296">
          <cell r="A296" t="str">
            <v>DIRECTION CENTRALE DE LA CHAÎNE TAMAZIGHT</v>
          </cell>
          <cell r="B296" t="str">
            <v>TAMAZIGHT</v>
          </cell>
          <cell r="C296" t="str">
            <v>MARCHES</v>
          </cell>
          <cell r="D296">
            <v>2016</v>
          </cell>
          <cell r="E296" t="str">
            <v>Investissement</v>
          </cell>
          <cell r="F296">
            <v>0</v>
          </cell>
        </row>
        <row r="297">
          <cell r="A297" t="str">
            <v>DIRECTION CENTRALE DE LA PRODUCTION ET DE L'ANTENNE</v>
          </cell>
          <cell r="B297" t="str">
            <v>ALAOULA</v>
          </cell>
          <cell r="C297" t="str">
            <v>MARCHES</v>
          </cell>
          <cell r="D297">
            <v>2016</v>
          </cell>
          <cell r="E297" t="str">
            <v>Investissement</v>
          </cell>
          <cell r="F297">
            <v>0</v>
          </cell>
        </row>
        <row r="298">
          <cell r="A298" t="str">
            <v>DIRECTION DE LA QUATRIEME</v>
          </cell>
          <cell r="B298" t="str">
            <v>QUATRIEME</v>
          </cell>
          <cell r="C298" t="str">
            <v>MARCHES</v>
          </cell>
          <cell r="D298">
            <v>2016</v>
          </cell>
          <cell r="E298" t="str">
            <v>Investissement</v>
          </cell>
          <cell r="F298">
            <v>0</v>
          </cell>
        </row>
        <row r="299">
          <cell r="A299" t="str">
            <v>DIRECTION DES CHAÎNES CORANIQUES TV RADIO</v>
          </cell>
          <cell r="B299" t="str">
            <v>ASSADISSA ET RADIO COR</v>
          </cell>
          <cell r="C299" t="str">
            <v>MARCHES</v>
          </cell>
          <cell r="D299">
            <v>2016</v>
          </cell>
          <cell r="E299" t="str">
            <v>Investissement</v>
          </cell>
          <cell r="F299">
            <v>0</v>
          </cell>
        </row>
        <row r="300">
          <cell r="A300" t="str">
            <v>DIRECTION DES SYSTEMES D'INFORMATION</v>
          </cell>
          <cell r="B300" t="str">
            <v>DSI</v>
          </cell>
          <cell r="C300" t="str">
            <v>MARCHES</v>
          </cell>
          <cell r="D300">
            <v>2016</v>
          </cell>
          <cell r="E300" t="str">
            <v>Investissement</v>
          </cell>
          <cell r="F300">
            <v>0</v>
          </cell>
        </row>
        <row r="301">
          <cell r="A301" t="str">
            <v>DIRECTION TECHNIQUE</v>
          </cell>
          <cell r="B301" t="str">
            <v>TECHNIQUE</v>
          </cell>
          <cell r="C301" t="str">
            <v>MARCHES</v>
          </cell>
          <cell r="D301">
            <v>2017</v>
          </cell>
          <cell r="E301" t="str">
            <v>Investissement</v>
          </cell>
          <cell r="F301">
            <v>73.920346883999997</v>
          </cell>
        </row>
        <row r="302">
          <cell r="A302" t="str">
            <v>DIRECTION DE LA TELEDIFFUSION</v>
          </cell>
          <cell r="B302" t="str">
            <v>TELEDIFFUSION</v>
          </cell>
          <cell r="C302" t="str">
            <v>MARCHES</v>
          </cell>
          <cell r="D302">
            <v>2017</v>
          </cell>
          <cell r="E302" t="str">
            <v>Investissement</v>
          </cell>
          <cell r="F302">
            <v>62.116850257599992</v>
          </cell>
        </row>
        <row r="303">
          <cell r="A303" t="str">
            <v>DIRECTION DES ACHATS</v>
          </cell>
          <cell r="B303" t="str">
            <v>ACHATS</v>
          </cell>
          <cell r="C303" t="str">
            <v>MARCHES</v>
          </cell>
          <cell r="D303">
            <v>2017</v>
          </cell>
          <cell r="E303" t="str">
            <v>Investissement</v>
          </cell>
          <cell r="F303">
            <v>0</v>
          </cell>
        </row>
        <row r="304">
          <cell r="A304" t="str">
            <v>DIRECTION FINANCIERE</v>
          </cell>
          <cell r="B304" t="str">
            <v>FINANCES</v>
          </cell>
          <cell r="C304" t="str">
            <v>MARCHES</v>
          </cell>
          <cell r="D304">
            <v>2017</v>
          </cell>
          <cell r="E304" t="str">
            <v>Investissement</v>
          </cell>
          <cell r="F304">
            <v>0</v>
          </cell>
        </row>
        <row r="305">
          <cell r="A305" t="str">
            <v>DIRECTION DES RESSOURCES HUMAINES</v>
          </cell>
          <cell r="B305" t="str">
            <v>RESSOURCES HUMAINES</v>
          </cell>
          <cell r="C305" t="str">
            <v>MARCHES</v>
          </cell>
          <cell r="D305">
            <v>2017</v>
          </cell>
          <cell r="E305" t="str">
            <v>Investissement</v>
          </cell>
          <cell r="F305">
            <v>0</v>
          </cell>
        </row>
        <row r="306">
          <cell r="A306" t="str">
            <v>DIRECTION DU PATRIMOINE  ET DES MOYENS GENERAUX</v>
          </cell>
          <cell r="B306" t="str">
            <v>DPMG</v>
          </cell>
          <cell r="C306" t="str">
            <v>MARCHES</v>
          </cell>
          <cell r="D306">
            <v>2017</v>
          </cell>
          <cell r="E306" t="str">
            <v>Investissement</v>
          </cell>
          <cell r="F306">
            <v>0</v>
          </cell>
        </row>
        <row r="307">
          <cell r="A307" t="str">
            <v>DIRECTION JURIDIQUE</v>
          </cell>
          <cell r="B307" t="str">
            <v>JURIDIQUE</v>
          </cell>
          <cell r="C307" t="str">
            <v>MARCHES</v>
          </cell>
          <cell r="D307">
            <v>2017</v>
          </cell>
          <cell r="E307" t="str">
            <v>Investissement</v>
          </cell>
          <cell r="F307">
            <v>0</v>
          </cell>
        </row>
        <row r="308">
          <cell r="A308" t="str">
            <v>DIRECTION CHARGEE DES RELATIONS INTERNATIONALES</v>
          </cell>
          <cell r="B308" t="str">
            <v>DRI</v>
          </cell>
          <cell r="C308" t="str">
            <v>MARCHES</v>
          </cell>
          <cell r="D308">
            <v>2017</v>
          </cell>
          <cell r="E308" t="str">
            <v>Investissement</v>
          </cell>
          <cell r="F308">
            <v>0</v>
          </cell>
        </row>
        <row r="309">
          <cell r="A309" t="str">
            <v>DIRECTION DE L'AUDIT ET DU CONTRÔLE DE LA GESTION</v>
          </cell>
          <cell r="B309" t="str">
            <v>AUDIT ET CONTRÔLE DE LA GESTION</v>
          </cell>
          <cell r="C309" t="str">
            <v>MARCHES</v>
          </cell>
          <cell r="D309">
            <v>2017</v>
          </cell>
          <cell r="E309" t="str">
            <v>Investissement</v>
          </cell>
          <cell r="F309">
            <v>0</v>
          </cell>
        </row>
        <row r="310">
          <cell r="A310" t="str">
            <v>DIRECTION DE L’INFORMATION RADIO</v>
          </cell>
          <cell r="B310" t="str">
            <v>INFORMATION RADIO</v>
          </cell>
          <cell r="C310" t="str">
            <v>MARCHES</v>
          </cell>
          <cell r="D310">
            <v>2017</v>
          </cell>
          <cell r="E310" t="str">
            <v>Investissement</v>
          </cell>
          <cell r="F310">
            <v>0</v>
          </cell>
        </row>
        <row r="311">
          <cell r="A311" t="str">
            <v>DIRECTION DE L’INFORMATION TV</v>
          </cell>
          <cell r="B311" t="str">
            <v>INFORMATION TV</v>
          </cell>
          <cell r="C311" t="str">
            <v>MARCHES</v>
          </cell>
          <cell r="D311">
            <v>2017</v>
          </cell>
          <cell r="E311" t="str">
            <v>Investissement</v>
          </cell>
          <cell r="F311">
            <v>0</v>
          </cell>
        </row>
        <row r="312">
          <cell r="A312" t="str">
            <v>DIRECTION DE LA PRODUCTION ET DE LA PROGRAMMATION RADIO</v>
          </cell>
          <cell r="B312" t="str">
            <v>RADIO PROD PROG</v>
          </cell>
          <cell r="C312" t="str">
            <v>MARCHES</v>
          </cell>
          <cell r="D312">
            <v>2017</v>
          </cell>
          <cell r="E312" t="str">
            <v>Investissement</v>
          </cell>
          <cell r="F312">
            <v>0</v>
          </cell>
        </row>
        <row r="313">
          <cell r="A313" t="str">
            <v>DIRECTION DE LA REGIE PUBLICITAIRE ET DES SOLUTIONS DIGITALES</v>
          </cell>
          <cell r="B313" t="str">
            <v xml:space="preserve">REGIE PUBLICITAIRE </v>
          </cell>
          <cell r="C313" t="str">
            <v>MARCHES</v>
          </cell>
          <cell r="D313">
            <v>2017</v>
          </cell>
          <cell r="E313" t="str">
            <v>Investissement</v>
          </cell>
          <cell r="F313">
            <v>1.8388475999999998</v>
          </cell>
        </row>
        <row r="314">
          <cell r="A314" t="str">
            <v>DIRECTION MARKETING ET PROGRAMATION TV</v>
          </cell>
          <cell r="B314" t="str">
            <v>MARKETING ET PROG TV</v>
          </cell>
          <cell r="C314" t="str">
            <v>MARCHES</v>
          </cell>
          <cell r="D314">
            <v>2017</v>
          </cell>
          <cell r="E314" t="str">
            <v>Investissement</v>
          </cell>
          <cell r="F314">
            <v>0</v>
          </cell>
        </row>
        <row r="315">
          <cell r="A315" t="str">
            <v>DIRECTION DE LA COMMUNICATION</v>
          </cell>
          <cell r="B315" t="str">
            <v>COMMUNICATION</v>
          </cell>
          <cell r="C315" t="str">
            <v>MARCHES</v>
          </cell>
          <cell r="D315">
            <v>2017</v>
          </cell>
          <cell r="E315" t="str">
            <v>Investissement</v>
          </cell>
          <cell r="F315">
            <v>0</v>
          </cell>
        </row>
        <row r="316">
          <cell r="A316" t="str">
            <v>DIRECTION ALMAGHRIBIA</v>
          </cell>
          <cell r="B316" t="str">
            <v>ALMAGHRIBIA</v>
          </cell>
          <cell r="C316" t="str">
            <v>MARCHES</v>
          </cell>
          <cell r="D316">
            <v>2017</v>
          </cell>
          <cell r="E316" t="str">
            <v>Investissement</v>
          </cell>
          <cell r="F316">
            <v>0</v>
          </cell>
        </row>
        <row r="317">
          <cell r="A317" t="str">
            <v xml:space="preserve">DIRECTION CENTRALE DE LA CHAINE TV LAAYOUNE </v>
          </cell>
          <cell r="B317" t="str">
            <v xml:space="preserve">LAAYOUNE </v>
          </cell>
          <cell r="C317" t="str">
            <v>MARCHES</v>
          </cell>
          <cell r="D317">
            <v>2017</v>
          </cell>
          <cell r="E317" t="str">
            <v>Investissement</v>
          </cell>
          <cell r="F317">
            <v>0</v>
          </cell>
        </row>
        <row r="318">
          <cell r="A318" t="str">
            <v>DIRECTION CENTRALE DE LA CHAÎNE ARRYADIA</v>
          </cell>
          <cell r="B318" t="str">
            <v>ARRYADIA</v>
          </cell>
          <cell r="C318" t="str">
            <v>MARCHES</v>
          </cell>
          <cell r="D318">
            <v>2017</v>
          </cell>
          <cell r="E318" t="str">
            <v>Investissement</v>
          </cell>
          <cell r="F318">
            <v>4.766286</v>
          </cell>
        </row>
        <row r="319">
          <cell r="A319" t="str">
            <v>DIRECTION CENTRALE DE LA CHAÎNE TAMAZIGHT</v>
          </cell>
          <cell r="B319" t="str">
            <v>TAMAZIGHT</v>
          </cell>
          <cell r="C319" t="str">
            <v>MARCHES</v>
          </cell>
          <cell r="D319">
            <v>2017</v>
          </cell>
          <cell r="E319" t="str">
            <v>Investissement</v>
          </cell>
          <cell r="F319">
            <v>0</v>
          </cell>
        </row>
        <row r="320">
          <cell r="A320" t="str">
            <v>DIRECTION CENTRALE DE LA PRODUCTION ET DE L'ANTENNE</v>
          </cell>
          <cell r="B320" t="str">
            <v>ALAOULA</v>
          </cell>
          <cell r="C320" t="str">
            <v>MARCHES</v>
          </cell>
          <cell r="D320">
            <v>2017</v>
          </cell>
          <cell r="E320" t="str">
            <v>Investissement</v>
          </cell>
          <cell r="F320">
            <v>0</v>
          </cell>
        </row>
        <row r="321">
          <cell r="A321" t="str">
            <v>DIRECTION DE LA QUATRIEME</v>
          </cell>
          <cell r="B321" t="str">
            <v>QUATRIEME</v>
          </cell>
          <cell r="C321" t="str">
            <v>MARCHES</v>
          </cell>
          <cell r="D321">
            <v>2017</v>
          </cell>
          <cell r="E321" t="str">
            <v>Investissement</v>
          </cell>
          <cell r="F321">
            <v>0</v>
          </cell>
        </row>
        <row r="322">
          <cell r="A322" t="str">
            <v>DIRECTION DES CHAÎNES CORANIQUES TV RADIO</v>
          </cell>
          <cell r="B322" t="str">
            <v>ASSADISSA ET RADIO COR</v>
          </cell>
          <cell r="C322" t="str">
            <v>MARCHES</v>
          </cell>
          <cell r="D322">
            <v>2017</v>
          </cell>
          <cell r="E322" t="str">
            <v>Investissement</v>
          </cell>
          <cell r="F322">
            <v>0</v>
          </cell>
        </row>
        <row r="323">
          <cell r="A323" t="str">
            <v>DIRECTION DES SYSTEMES D'INFORMATION</v>
          </cell>
          <cell r="B323" t="str">
            <v>DSI</v>
          </cell>
          <cell r="C323" t="str">
            <v>MARCHES</v>
          </cell>
          <cell r="D323">
            <v>2017</v>
          </cell>
          <cell r="E323" t="str">
            <v>Investissement</v>
          </cell>
          <cell r="F323">
            <v>6.2088419999999998</v>
          </cell>
        </row>
        <row r="324">
          <cell r="A324" t="str">
            <v>DIRECTION TECHNIQUE</v>
          </cell>
          <cell r="B324" t="str">
            <v>TECHNIQUE</v>
          </cell>
          <cell r="C324" t="str">
            <v>MARCHES</v>
          </cell>
          <cell r="D324">
            <v>2018</v>
          </cell>
          <cell r="E324" t="str">
            <v>Investissement</v>
          </cell>
          <cell r="F324">
            <v>37.299616939799996</v>
          </cell>
        </row>
        <row r="325">
          <cell r="A325" t="str">
            <v>DIRECTION DE LA TELEDIFFUSION</v>
          </cell>
          <cell r="B325" t="str">
            <v>TELEDIFFUSION</v>
          </cell>
          <cell r="C325" t="str">
            <v>MARCHES</v>
          </cell>
          <cell r="D325">
            <v>2018</v>
          </cell>
          <cell r="E325" t="str">
            <v>Investissement</v>
          </cell>
          <cell r="F325">
            <v>175.17272817036402</v>
          </cell>
        </row>
        <row r="326">
          <cell r="A326" t="str">
            <v>DIRECTION DES ACHATS</v>
          </cell>
          <cell r="B326" t="str">
            <v>ACHATS</v>
          </cell>
          <cell r="C326" t="str">
            <v>MARCHES</v>
          </cell>
          <cell r="D326">
            <v>2018</v>
          </cell>
          <cell r="E326" t="str">
            <v>Investissement</v>
          </cell>
          <cell r="F326">
            <v>0</v>
          </cell>
        </row>
        <row r="327">
          <cell r="A327" t="str">
            <v>DIRECTION FINANCIERE</v>
          </cell>
          <cell r="B327" t="str">
            <v>FINANCES</v>
          </cell>
          <cell r="C327" t="str">
            <v>MARCHES</v>
          </cell>
          <cell r="D327">
            <v>2018</v>
          </cell>
          <cell r="E327" t="str">
            <v>Investissement</v>
          </cell>
          <cell r="F327">
            <v>0</v>
          </cell>
        </row>
        <row r="328">
          <cell r="A328" t="str">
            <v>DIRECTION DES RESSOURCES HUMAINES</v>
          </cell>
          <cell r="B328" t="str">
            <v>RESSOURCES HUMAINES</v>
          </cell>
          <cell r="C328" t="str">
            <v>MARCHES</v>
          </cell>
          <cell r="D328">
            <v>2018</v>
          </cell>
          <cell r="E328" t="str">
            <v>Investissement</v>
          </cell>
          <cell r="F328">
            <v>0</v>
          </cell>
        </row>
        <row r="329">
          <cell r="A329" t="str">
            <v>DIRECTION DU PATRIMOINE  ET DES MOYENS GENERAUX</v>
          </cell>
          <cell r="B329" t="str">
            <v>DPMG</v>
          </cell>
          <cell r="C329" t="str">
            <v>MARCHES</v>
          </cell>
          <cell r="D329">
            <v>2018</v>
          </cell>
          <cell r="E329" t="str">
            <v>Investissement</v>
          </cell>
          <cell r="F329">
            <v>9.3200400000000005</v>
          </cell>
        </row>
        <row r="330">
          <cell r="A330" t="str">
            <v>DIRECTION JURIDIQUE</v>
          </cell>
          <cell r="B330" t="str">
            <v>JURIDIQUE</v>
          </cell>
          <cell r="C330" t="str">
            <v>MARCHES</v>
          </cell>
          <cell r="D330">
            <v>2018</v>
          </cell>
          <cell r="E330" t="str">
            <v>Investissement</v>
          </cell>
          <cell r="F330">
            <v>0</v>
          </cell>
        </row>
        <row r="331">
          <cell r="A331" t="str">
            <v>DIRECTION CHARGEE DES RELATIONS INTERNATIONALES</v>
          </cell>
          <cell r="B331" t="str">
            <v>DRI</v>
          </cell>
          <cell r="C331" t="str">
            <v>MARCHES</v>
          </cell>
          <cell r="D331">
            <v>2018</v>
          </cell>
          <cell r="E331" t="str">
            <v>Investissement</v>
          </cell>
          <cell r="F331">
            <v>0</v>
          </cell>
        </row>
        <row r="332">
          <cell r="A332" t="str">
            <v>DIRECTION DE L'AUDIT ET DU CONTRÔLE DE LA GESTION</v>
          </cell>
          <cell r="B332" t="str">
            <v>AUDIT ET CONTRÔLE DE LA GESTION</v>
          </cell>
          <cell r="C332" t="str">
            <v>MARCHES</v>
          </cell>
          <cell r="D332">
            <v>2018</v>
          </cell>
          <cell r="E332" t="str">
            <v>Investissement</v>
          </cell>
          <cell r="F332">
            <v>0</v>
          </cell>
        </row>
        <row r="333">
          <cell r="A333" t="str">
            <v>DIRECTION DE L’INFORMATION RADIO</v>
          </cell>
          <cell r="B333" t="str">
            <v>INFORMATION RADIO</v>
          </cell>
          <cell r="C333" t="str">
            <v>MARCHES</v>
          </cell>
          <cell r="D333">
            <v>2018</v>
          </cell>
          <cell r="E333" t="str">
            <v>Investissement</v>
          </cell>
          <cell r="F333">
            <v>0</v>
          </cell>
        </row>
        <row r="334">
          <cell r="A334" t="str">
            <v>DIRECTION DE L’INFORMATION TV</v>
          </cell>
          <cell r="B334" t="str">
            <v>INFORMATION TV</v>
          </cell>
          <cell r="C334" t="str">
            <v>MARCHES</v>
          </cell>
          <cell r="D334">
            <v>2018</v>
          </cell>
          <cell r="E334" t="str">
            <v>Investissement</v>
          </cell>
          <cell r="F334">
            <v>0</v>
          </cell>
        </row>
        <row r="335">
          <cell r="A335" t="str">
            <v>DIRECTION DE LA PRODUCTION ET DE LA PROGRAMMATION RADIO</v>
          </cell>
          <cell r="B335" t="str">
            <v>RADIO PROD PROG</v>
          </cell>
          <cell r="C335" t="str">
            <v>MARCHES</v>
          </cell>
          <cell r="D335">
            <v>2018</v>
          </cell>
          <cell r="E335" t="str">
            <v>Investissement</v>
          </cell>
          <cell r="F335">
            <v>0</v>
          </cell>
        </row>
        <row r="336">
          <cell r="A336" t="str">
            <v>DIRECTION DE LA REGIE PUBLICITAIRE ET DES SOLUTIONS DIGITALES</v>
          </cell>
          <cell r="B336" t="str">
            <v xml:space="preserve">REGIE PUBLICITAIRE </v>
          </cell>
          <cell r="C336" t="str">
            <v>MARCHES</v>
          </cell>
          <cell r="D336">
            <v>2018</v>
          </cell>
          <cell r="E336" t="str">
            <v>Investissement</v>
          </cell>
          <cell r="F336">
            <v>0</v>
          </cell>
        </row>
        <row r="337">
          <cell r="A337" t="str">
            <v>DIRECTION MARKETING ET PROGRAMATION TV</v>
          </cell>
          <cell r="B337" t="str">
            <v>MARKETING ET PROG TV</v>
          </cell>
          <cell r="C337" t="str">
            <v>MARCHES</v>
          </cell>
          <cell r="D337">
            <v>2018</v>
          </cell>
          <cell r="E337" t="str">
            <v>Investissement</v>
          </cell>
          <cell r="F337">
            <v>0</v>
          </cell>
        </row>
        <row r="338">
          <cell r="A338" t="str">
            <v>DIRECTION DE LA COMMUNICATION</v>
          </cell>
          <cell r="B338" t="str">
            <v>COMMUNICATION</v>
          </cell>
          <cell r="C338" t="str">
            <v>MARCHES</v>
          </cell>
          <cell r="D338">
            <v>2018</v>
          </cell>
          <cell r="E338" t="str">
            <v>Investissement</v>
          </cell>
          <cell r="F338">
            <v>0</v>
          </cell>
        </row>
        <row r="339">
          <cell r="A339" t="str">
            <v>DIRECTION ALMAGHRIBIA</v>
          </cell>
          <cell r="B339" t="str">
            <v>ALMAGHRIBIA</v>
          </cell>
          <cell r="C339" t="str">
            <v>MARCHES</v>
          </cell>
          <cell r="D339">
            <v>2018</v>
          </cell>
          <cell r="E339" t="str">
            <v>Investissement</v>
          </cell>
          <cell r="F339">
            <v>0</v>
          </cell>
        </row>
        <row r="340">
          <cell r="A340" t="str">
            <v xml:space="preserve">DIRECTION CENTRALE DE LA CHAINE TV LAAYOUNE </v>
          </cell>
          <cell r="B340" t="str">
            <v xml:space="preserve">LAAYOUNE </v>
          </cell>
          <cell r="C340" t="str">
            <v>MARCHES</v>
          </cell>
          <cell r="D340">
            <v>2018</v>
          </cell>
          <cell r="E340" t="str">
            <v>Investissement</v>
          </cell>
          <cell r="F340">
            <v>0</v>
          </cell>
        </row>
        <row r="341">
          <cell r="A341" t="str">
            <v>DIRECTION CENTRALE DE LA CHAÎNE ARRYADIA</v>
          </cell>
          <cell r="B341" t="str">
            <v>ARRYADIA</v>
          </cell>
          <cell r="C341" t="str">
            <v>MARCHES</v>
          </cell>
          <cell r="D341">
            <v>2018</v>
          </cell>
          <cell r="E341" t="str">
            <v>Investissement</v>
          </cell>
          <cell r="F341">
            <v>0</v>
          </cell>
        </row>
        <row r="342">
          <cell r="A342" t="str">
            <v>DIRECTION CENTRALE DE LA CHAÎNE TAMAZIGHT</v>
          </cell>
          <cell r="B342" t="str">
            <v>TAMAZIGHT</v>
          </cell>
          <cell r="C342" t="str">
            <v>MARCHES</v>
          </cell>
          <cell r="D342">
            <v>2018</v>
          </cell>
          <cell r="E342" t="str">
            <v>Investissement</v>
          </cell>
          <cell r="F342">
            <v>0</v>
          </cell>
        </row>
        <row r="343">
          <cell r="A343" t="str">
            <v>DIRECTION CENTRALE DE LA PRODUCTION ET DE L'ANTENNE</v>
          </cell>
          <cell r="B343" t="str">
            <v>ALAOULA</v>
          </cell>
          <cell r="C343" t="str">
            <v>MARCHES</v>
          </cell>
          <cell r="D343">
            <v>2018</v>
          </cell>
          <cell r="E343" t="str">
            <v>Investissement</v>
          </cell>
          <cell r="F343">
            <v>0</v>
          </cell>
        </row>
        <row r="344">
          <cell r="A344" t="str">
            <v>DIRECTION DE LA QUATRIEME</v>
          </cell>
          <cell r="B344" t="str">
            <v>QUATRIEME</v>
          </cell>
          <cell r="C344" t="str">
            <v>MARCHES</v>
          </cell>
          <cell r="D344">
            <v>2018</v>
          </cell>
          <cell r="E344" t="str">
            <v>Investissement</v>
          </cell>
          <cell r="F344">
            <v>0</v>
          </cell>
        </row>
        <row r="345">
          <cell r="A345" t="str">
            <v>DIRECTION DES CHAÎNES CORANIQUES TV RADIO</v>
          </cell>
          <cell r="B345" t="str">
            <v>ASSADISSA ET RADIO COR</v>
          </cell>
          <cell r="C345" t="str">
            <v>MARCHES</v>
          </cell>
          <cell r="D345">
            <v>2018</v>
          </cell>
          <cell r="E345" t="str">
            <v>Investissement</v>
          </cell>
          <cell r="F345">
            <v>0</v>
          </cell>
        </row>
        <row r="346">
          <cell r="A346" t="str">
            <v>DIRECTION DES SYSTEMES D'INFORMATION</v>
          </cell>
          <cell r="B346" t="str">
            <v>DSI</v>
          </cell>
          <cell r="C346" t="str">
            <v>MARCHES</v>
          </cell>
          <cell r="D346">
            <v>2018</v>
          </cell>
          <cell r="E346" t="str">
            <v>Investissement</v>
          </cell>
          <cell r="F346">
            <v>14.3638668</v>
          </cell>
        </row>
        <row r="347">
          <cell r="A347" t="str">
            <v>DIRECTION TECHNIQUE</v>
          </cell>
          <cell r="B347" t="str">
            <v>TECHNIQUE</v>
          </cell>
          <cell r="C347" t="str">
            <v>MARCHES</v>
          </cell>
          <cell r="D347">
            <v>2019</v>
          </cell>
          <cell r="E347" t="str">
            <v>Investissement</v>
          </cell>
          <cell r="F347">
            <v>70.874028172631796</v>
          </cell>
        </row>
        <row r="348">
          <cell r="A348" t="str">
            <v>DIRECTION DE LA TELEDIFFUSION</v>
          </cell>
          <cell r="B348" t="str">
            <v>TELEDIFFUSION</v>
          </cell>
          <cell r="C348" t="str">
            <v>MARCHES</v>
          </cell>
          <cell r="D348">
            <v>2019</v>
          </cell>
          <cell r="E348" t="str">
            <v>Investissement</v>
          </cell>
          <cell r="F348">
            <v>123.57947394361901</v>
          </cell>
        </row>
        <row r="349">
          <cell r="A349" t="str">
            <v>DIRECTION DES ACHATS</v>
          </cell>
          <cell r="B349" t="str">
            <v>ACHATS</v>
          </cell>
          <cell r="C349" t="str">
            <v>MARCHES</v>
          </cell>
          <cell r="D349">
            <v>2019</v>
          </cell>
          <cell r="E349" t="str">
            <v>Investissement</v>
          </cell>
          <cell r="F349">
            <v>0</v>
          </cell>
        </row>
        <row r="350">
          <cell r="A350" t="str">
            <v>DIRECTION FINANCIERE</v>
          </cell>
          <cell r="B350" t="str">
            <v>FINANCES</v>
          </cell>
          <cell r="C350" t="str">
            <v>MARCHES</v>
          </cell>
          <cell r="D350">
            <v>2019</v>
          </cell>
          <cell r="E350" t="str">
            <v>Investissement</v>
          </cell>
          <cell r="F350">
            <v>0</v>
          </cell>
        </row>
        <row r="351">
          <cell r="A351" t="str">
            <v>DIRECTION DES RESSOURCES HUMAINES</v>
          </cell>
          <cell r="B351" t="str">
            <v>RESSOURCES HUMAINES</v>
          </cell>
          <cell r="C351" t="str">
            <v>MARCHES</v>
          </cell>
          <cell r="D351">
            <v>2019</v>
          </cell>
          <cell r="E351" t="str">
            <v>Investissement</v>
          </cell>
          <cell r="F351">
            <v>0</v>
          </cell>
        </row>
        <row r="352">
          <cell r="A352" t="str">
            <v>DIRECTION DU PATRIMOINE  ET DES MOYENS GENERAUX</v>
          </cell>
          <cell r="B352" t="str">
            <v>DPMG</v>
          </cell>
          <cell r="C352" t="str">
            <v>MARCHES</v>
          </cell>
          <cell r="D352">
            <v>2019</v>
          </cell>
          <cell r="E352" t="str">
            <v>Investissement</v>
          </cell>
          <cell r="F352">
            <v>2.8792800000000001</v>
          </cell>
        </row>
        <row r="353">
          <cell r="A353" t="str">
            <v>DIRECTION JURIDIQUE</v>
          </cell>
          <cell r="B353" t="str">
            <v>JURIDIQUE</v>
          </cell>
          <cell r="C353" t="str">
            <v>MARCHES</v>
          </cell>
          <cell r="D353">
            <v>2019</v>
          </cell>
          <cell r="E353" t="str">
            <v>Investissement</v>
          </cell>
          <cell r="F353">
            <v>0</v>
          </cell>
        </row>
        <row r="354">
          <cell r="A354" t="str">
            <v>DIRECTION CHARGEE DES RELATIONS INTERNATIONALES</v>
          </cell>
          <cell r="B354" t="str">
            <v>DRI</v>
          </cell>
          <cell r="C354" t="str">
            <v>MARCHES</v>
          </cell>
          <cell r="D354">
            <v>2019</v>
          </cell>
          <cell r="E354" t="str">
            <v>Investissement</v>
          </cell>
          <cell r="F354">
            <v>0</v>
          </cell>
        </row>
        <row r="355">
          <cell r="A355" t="str">
            <v>DIRECTION DE L'AUDIT ET DU CONTRÔLE DE LA GESTION</v>
          </cell>
          <cell r="B355" t="str">
            <v>AUDIT ET CONTRÔLE DE LA GESTION</v>
          </cell>
          <cell r="C355" t="str">
            <v>MARCHES</v>
          </cell>
          <cell r="D355">
            <v>2019</v>
          </cell>
          <cell r="E355" t="str">
            <v>Investissement</v>
          </cell>
          <cell r="F355">
            <v>0</v>
          </cell>
        </row>
        <row r="356">
          <cell r="A356" t="str">
            <v>DIRECTION DE L’INFORMATION RADIO</v>
          </cell>
          <cell r="B356" t="str">
            <v>INFORMATION RADIO</v>
          </cell>
          <cell r="C356" t="str">
            <v>MARCHES</v>
          </cell>
          <cell r="D356">
            <v>2019</v>
          </cell>
          <cell r="E356" t="str">
            <v>Investissement</v>
          </cell>
          <cell r="F356">
            <v>0</v>
          </cell>
        </row>
        <row r="357">
          <cell r="A357" t="str">
            <v>DIRECTION DE L’INFORMATION TV</v>
          </cell>
          <cell r="B357" t="str">
            <v>INFORMATION TV</v>
          </cell>
          <cell r="C357" t="str">
            <v>MARCHES</v>
          </cell>
          <cell r="D357">
            <v>2019</v>
          </cell>
          <cell r="E357" t="str">
            <v>Investissement</v>
          </cell>
          <cell r="F357">
            <v>0</v>
          </cell>
        </row>
        <row r="358">
          <cell r="A358" t="str">
            <v>DIRECTION DE LA PRODUCTION ET DE LA PROGRAMMATION RADIO</v>
          </cell>
          <cell r="B358" t="str">
            <v>RADIO PROD PROG</v>
          </cell>
          <cell r="C358" t="str">
            <v>MARCHES</v>
          </cell>
          <cell r="D358">
            <v>2019</v>
          </cell>
          <cell r="E358" t="str">
            <v>Investissement</v>
          </cell>
          <cell r="F358">
            <v>0</v>
          </cell>
        </row>
        <row r="359">
          <cell r="A359" t="str">
            <v>DIRECTION DE LA REGIE PUBLICITAIRE ET DES SOLUTIONS DIGITALES</v>
          </cell>
          <cell r="B359" t="str">
            <v xml:space="preserve">REGIE PUBLICITAIRE </v>
          </cell>
          <cell r="C359" t="str">
            <v>MARCHES</v>
          </cell>
          <cell r="D359">
            <v>2019</v>
          </cell>
          <cell r="E359" t="str">
            <v>Investissement</v>
          </cell>
          <cell r="F359">
            <v>0</v>
          </cell>
        </row>
        <row r="360">
          <cell r="A360" t="str">
            <v>DIRECTION MARKETING ET PROGRAMATION TV</v>
          </cell>
          <cell r="B360" t="str">
            <v>MARKETING ET PROG TV</v>
          </cell>
          <cell r="C360" t="str">
            <v>MARCHES</v>
          </cell>
          <cell r="D360">
            <v>2019</v>
          </cell>
          <cell r="E360" t="str">
            <v>Investissement</v>
          </cell>
          <cell r="F360">
            <v>0</v>
          </cell>
        </row>
        <row r="361">
          <cell r="A361" t="str">
            <v>DIRECTION DE LA COMMUNICATION</v>
          </cell>
          <cell r="B361" t="str">
            <v>COMMUNICATION</v>
          </cell>
          <cell r="C361" t="str">
            <v>MARCHES</v>
          </cell>
          <cell r="D361">
            <v>2019</v>
          </cell>
          <cell r="E361" t="str">
            <v>Investissement</v>
          </cell>
          <cell r="F361">
            <v>0</v>
          </cell>
        </row>
        <row r="362">
          <cell r="A362" t="str">
            <v>DIRECTION ALMAGHRIBIA</v>
          </cell>
          <cell r="B362" t="str">
            <v>ALMAGHRIBIA</v>
          </cell>
          <cell r="C362" t="str">
            <v>MARCHES</v>
          </cell>
          <cell r="D362">
            <v>2019</v>
          </cell>
          <cell r="E362" t="str">
            <v>Investissement</v>
          </cell>
          <cell r="F362">
            <v>0</v>
          </cell>
        </row>
        <row r="363">
          <cell r="A363" t="str">
            <v xml:space="preserve">DIRECTION CENTRALE DE LA CHAINE TV LAAYOUNE </v>
          </cell>
          <cell r="B363" t="str">
            <v xml:space="preserve">LAAYOUNE </v>
          </cell>
          <cell r="C363" t="str">
            <v>MARCHES</v>
          </cell>
          <cell r="D363">
            <v>2019</v>
          </cell>
          <cell r="E363" t="str">
            <v>Investissement</v>
          </cell>
          <cell r="F363">
            <v>0</v>
          </cell>
        </row>
        <row r="364">
          <cell r="A364" t="str">
            <v>DIRECTION CENTRALE DE LA CHAÎNE ARRYADIA</v>
          </cell>
          <cell r="B364" t="str">
            <v>ARRYADIA</v>
          </cell>
          <cell r="C364" t="str">
            <v>MARCHES</v>
          </cell>
          <cell r="D364">
            <v>2019</v>
          </cell>
          <cell r="E364" t="str">
            <v>Investissement</v>
          </cell>
          <cell r="F364">
            <v>0</v>
          </cell>
        </row>
        <row r="365">
          <cell r="A365" t="str">
            <v>DIRECTION CENTRALE DE LA CHAÎNE TAMAZIGHT</v>
          </cell>
          <cell r="B365" t="str">
            <v>TAMAZIGHT</v>
          </cell>
          <cell r="C365" t="str">
            <v>MARCHES</v>
          </cell>
          <cell r="D365">
            <v>2019</v>
          </cell>
          <cell r="E365" t="str">
            <v>Investissement</v>
          </cell>
          <cell r="F365">
            <v>0</v>
          </cell>
        </row>
        <row r="366">
          <cell r="A366" t="str">
            <v>DIRECTION CENTRALE DE LA PRODUCTION ET DE L'ANTENNE</v>
          </cell>
          <cell r="B366" t="str">
            <v>ALAOULA</v>
          </cell>
          <cell r="C366" t="str">
            <v>MARCHES</v>
          </cell>
          <cell r="D366">
            <v>2019</v>
          </cell>
          <cell r="E366" t="str">
            <v>Investissement</v>
          </cell>
          <cell r="F366">
            <v>0</v>
          </cell>
        </row>
        <row r="367">
          <cell r="A367" t="str">
            <v>DIRECTION DE LA QUATRIEME</v>
          </cell>
          <cell r="B367" t="str">
            <v>QUATRIEME</v>
          </cell>
          <cell r="C367" t="str">
            <v>MARCHES</v>
          </cell>
          <cell r="D367">
            <v>2019</v>
          </cell>
          <cell r="E367" t="str">
            <v>Investissement</v>
          </cell>
          <cell r="F367">
            <v>0</v>
          </cell>
        </row>
        <row r="368">
          <cell r="A368" t="str">
            <v>DIRECTION DES CHAÎNES CORANIQUES TV RADIO</v>
          </cell>
          <cell r="B368" t="str">
            <v>ASSADISSA ET RADIO COR</v>
          </cell>
          <cell r="C368" t="str">
            <v>MARCHES</v>
          </cell>
          <cell r="D368">
            <v>2019</v>
          </cell>
          <cell r="E368" t="str">
            <v>Investissement</v>
          </cell>
          <cell r="F368">
            <v>0</v>
          </cell>
        </row>
        <row r="369">
          <cell r="A369" t="str">
            <v>DIRECTION DES SYSTEMES D'INFORMATION</v>
          </cell>
          <cell r="B369" t="str">
            <v>DSI</v>
          </cell>
          <cell r="C369" t="str">
            <v>MARCHES</v>
          </cell>
          <cell r="D369">
            <v>2019</v>
          </cell>
          <cell r="E369" t="str">
            <v>Investissement</v>
          </cell>
          <cell r="F369">
            <v>8.1079296000000003</v>
          </cell>
        </row>
        <row r="370">
          <cell r="A370" t="str">
            <v>DIRECTION TECHNIQUE</v>
          </cell>
          <cell r="B370" t="str">
            <v>TECHNIQUE</v>
          </cell>
          <cell r="C370" t="str">
            <v>MARCHES</v>
          </cell>
          <cell r="D370">
            <v>2020</v>
          </cell>
          <cell r="E370" t="str">
            <v>Investissement</v>
          </cell>
          <cell r="F370">
            <v>7.8077119159999997</v>
          </cell>
        </row>
        <row r="371">
          <cell r="A371" t="str">
            <v>DIRECTION DE LA TELEDIFFUSION</v>
          </cell>
          <cell r="B371" t="str">
            <v>TELEDIFFUSION</v>
          </cell>
          <cell r="C371" t="str">
            <v>MARCHES</v>
          </cell>
          <cell r="D371">
            <v>2020</v>
          </cell>
          <cell r="E371" t="str">
            <v>Investissement</v>
          </cell>
          <cell r="F371">
            <v>60.38902822</v>
          </cell>
        </row>
        <row r="372">
          <cell r="A372" t="str">
            <v>DIRECTION DES ACHATS</v>
          </cell>
          <cell r="B372" t="str">
            <v>ACHATS</v>
          </cell>
          <cell r="C372" t="str">
            <v>MARCHES</v>
          </cell>
          <cell r="D372">
            <v>2020</v>
          </cell>
          <cell r="E372" t="str">
            <v>Investissement</v>
          </cell>
          <cell r="F372">
            <v>0</v>
          </cell>
        </row>
        <row r="373">
          <cell r="A373" t="str">
            <v>DIRECTION FINANCIERE</v>
          </cell>
          <cell r="B373" t="str">
            <v>FINANCES</v>
          </cell>
          <cell r="C373" t="str">
            <v>MARCHES</v>
          </cell>
          <cell r="D373">
            <v>2020</v>
          </cell>
          <cell r="E373" t="str">
            <v>Investissement</v>
          </cell>
          <cell r="F373">
            <v>0</v>
          </cell>
        </row>
        <row r="374">
          <cell r="A374" t="str">
            <v>DIRECTION DES RESSOURCES HUMAINES</v>
          </cell>
          <cell r="B374" t="str">
            <v>RESSOURCES HUMAINES</v>
          </cell>
          <cell r="C374" t="str">
            <v>MARCHES</v>
          </cell>
          <cell r="D374">
            <v>2020</v>
          </cell>
          <cell r="E374" t="str">
            <v>Investissement</v>
          </cell>
          <cell r="F374">
            <v>0</v>
          </cell>
        </row>
        <row r="375">
          <cell r="A375" t="str">
            <v>DIRECTION DU PATRIMOINE  ET DES MOYENS GENERAUX</v>
          </cell>
          <cell r="B375" t="str">
            <v>DPMG</v>
          </cell>
          <cell r="C375" t="str">
            <v>MARCHES</v>
          </cell>
          <cell r="D375">
            <v>2020</v>
          </cell>
          <cell r="E375" t="str">
            <v>Investissement</v>
          </cell>
          <cell r="F375">
            <v>0.56738759999999999</v>
          </cell>
        </row>
        <row r="376">
          <cell r="A376" t="str">
            <v>DIRECTION JURIDIQUE</v>
          </cell>
          <cell r="B376" t="str">
            <v>JURIDIQUE</v>
          </cell>
          <cell r="C376" t="str">
            <v>MARCHES</v>
          </cell>
          <cell r="D376">
            <v>2020</v>
          </cell>
          <cell r="E376" t="str">
            <v>Investissement</v>
          </cell>
          <cell r="F376">
            <v>0</v>
          </cell>
        </row>
        <row r="377">
          <cell r="A377" t="str">
            <v>DIRECTION CHARGEE DES RELATIONS INTERNATIONALES</v>
          </cell>
          <cell r="B377" t="str">
            <v>DRI</v>
          </cell>
          <cell r="C377" t="str">
            <v>MARCHES</v>
          </cell>
          <cell r="D377">
            <v>2020</v>
          </cell>
          <cell r="E377" t="str">
            <v>Investissement</v>
          </cell>
          <cell r="F377">
            <v>0</v>
          </cell>
        </row>
        <row r="378">
          <cell r="A378" t="str">
            <v>DIRECTION DE L'AUDIT ET DU CONTRÔLE DE LA GESTION</v>
          </cell>
          <cell r="B378" t="str">
            <v>AUDIT ET CONTRÔLE DE LA GESTION</v>
          </cell>
          <cell r="C378" t="str">
            <v>MARCHES</v>
          </cell>
          <cell r="D378">
            <v>2020</v>
          </cell>
          <cell r="E378" t="str">
            <v>Investissement</v>
          </cell>
          <cell r="F378">
            <v>0</v>
          </cell>
        </row>
        <row r="379">
          <cell r="A379" t="str">
            <v>DIRECTION DE L’INFORMATION RADIO</v>
          </cell>
          <cell r="B379" t="str">
            <v>INFORMATION RADIO</v>
          </cell>
          <cell r="C379" t="str">
            <v>MARCHES</v>
          </cell>
          <cell r="D379">
            <v>2020</v>
          </cell>
          <cell r="E379" t="str">
            <v>Investissement</v>
          </cell>
          <cell r="F379">
            <v>0</v>
          </cell>
        </row>
        <row r="380">
          <cell r="A380" t="str">
            <v>DIRECTION DE L’INFORMATION TV</v>
          </cell>
          <cell r="B380" t="str">
            <v>INFORMATION TV</v>
          </cell>
          <cell r="C380" t="str">
            <v>MARCHES</v>
          </cell>
          <cell r="D380">
            <v>2020</v>
          </cell>
          <cell r="E380" t="str">
            <v>Investissement</v>
          </cell>
          <cell r="F380">
            <v>0</v>
          </cell>
        </row>
        <row r="381">
          <cell r="A381" t="str">
            <v>DIRECTION DE LA PRODUCTION ET DE LA PROGRAMMATION RADIO</v>
          </cell>
          <cell r="B381" t="str">
            <v>RADIO PROD PROG</v>
          </cell>
          <cell r="C381" t="str">
            <v>MARCHES</v>
          </cell>
          <cell r="D381">
            <v>2020</v>
          </cell>
          <cell r="E381" t="str">
            <v>Investissement</v>
          </cell>
          <cell r="F381">
            <v>0</v>
          </cell>
        </row>
        <row r="382">
          <cell r="A382" t="str">
            <v>DIRECTION DE LA REGIE PUBLICITAIRE ET DES SOLUTIONS DIGITALES</v>
          </cell>
          <cell r="B382" t="str">
            <v xml:space="preserve">REGIE PUBLICITAIRE </v>
          </cell>
          <cell r="C382" t="str">
            <v>MARCHES</v>
          </cell>
          <cell r="D382">
            <v>2020</v>
          </cell>
          <cell r="E382" t="str">
            <v>Investissement</v>
          </cell>
          <cell r="F382">
            <v>0.43251600000000001</v>
          </cell>
        </row>
        <row r="383">
          <cell r="A383" t="str">
            <v>DIRECTION MARKETING ET PROGRAMATION TV</v>
          </cell>
          <cell r="B383" t="str">
            <v>MARKETING ET PROG TV</v>
          </cell>
          <cell r="C383" t="str">
            <v>MARCHES</v>
          </cell>
          <cell r="D383">
            <v>2020</v>
          </cell>
          <cell r="E383" t="str">
            <v>Investissement</v>
          </cell>
          <cell r="F383">
            <v>0</v>
          </cell>
        </row>
        <row r="384">
          <cell r="A384" t="str">
            <v>DIRECTION DE LA COMMUNICATION</v>
          </cell>
          <cell r="B384" t="str">
            <v>COMMUNICATION</v>
          </cell>
          <cell r="C384" t="str">
            <v>MARCHES</v>
          </cell>
          <cell r="D384">
            <v>2020</v>
          </cell>
          <cell r="E384" t="str">
            <v>Investissement</v>
          </cell>
          <cell r="F384">
            <v>0</v>
          </cell>
        </row>
        <row r="385">
          <cell r="A385" t="str">
            <v>DIRECTION ALMAGHRIBIA</v>
          </cell>
          <cell r="B385" t="str">
            <v>ALMAGHRIBIA</v>
          </cell>
          <cell r="C385" t="str">
            <v>MARCHES</v>
          </cell>
          <cell r="D385">
            <v>2020</v>
          </cell>
          <cell r="E385" t="str">
            <v>Investissement</v>
          </cell>
          <cell r="F385">
            <v>0</v>
          </cell>
        </row>
        <row r="386">
          <cell r="A386" t="str">
            <v xml:space="preserve">DIRECTION CENTRALE DE LA CHAINE TV LAAYOUNE </v>
          </cell>
          <cell r="B386" t="str">
            <v xml:space="preserve">LAAYOUNE </v>
          </cell>
          <cell r="C386" t="str">
            <v>MARCHES</v>
          </cell>
          <cell r="D386">
            <v>2020</v>
          </cell>
          <cell r="E386" t="str">
            <v>Investissement</v>
          </cell>
          <cell r="F386">
            <v>0</v>
          </cell>
        </row>
        <row r="387">
          <cell r="A387" t="str">
            <v>DIRECTION CENTRALE DE LA CHAÎNE ARRYADIA</v>
          </cell>
          <cell r="B387" t="str">
            <v>ARRYADIA</v>
          </cell>
          <cell r="C387" t="str">
            <v>MARCHES</v>
          </cell>
          <cell r="D387">
            <v>2020</v>
          </cell>
          <cell r="E387" t="str">
            <v>Investissement</v>
          </cell>
          <cell r="F387">
            <v>0</v>
          </cell>
        </row>
        <row r="388">
          <cell r="A388" t="str">
            <v>DIRECTION CENTRALE DE LA CHAÎNE TAMAZIGHT</v>
          </cell>
          <cell r="B388" t="str">
            <v>TAMAZIGHT</v>
          </cell>
          <cell r="C388" t="str">
            <v>MARCHES</v>
          </cell>
          <cell r="D388">
            <v>2020</v>
          </cell>
          <cell r="E388" t="str">
            <v>Investissement</v>
          </cell>
          <cell r="F388">
            <v>0</v>
          </cell>
        </row>
        <row r="389">
          <cell r="A389" t="str">
            <v>DIRECTION CENTRALE DE LA PRODUCTION ET DE L'ANTENNE</v>
          </cell>
          <cell r="B389" t="str">
            <v>ALAOULA</v>
          </cell>
          <cell r="C389" t="str">
            <v>MARCHES</v>
          </cell>
          <cell r="D389">
            <v>2020</v>
          </cell>
          <cell r="E389" t="str">
            <v>Investissement</v>
          </cell>
          <cell r="F389">
            <v>0</v>
          </cell>
        </row>
        <row r="390">
          <cell r="A390" t="str">
            <v>DIRECTION DE LA QUATRIEME</v>
          </cell>
          <cell r="B390" t="str">
            <v>QUATRIEME</v>
          </cell>
          <cell r="C390" t="str">
            <v>MARCHES</v>
          </cell>
          <cell r="D390">
            <v>2020</v>
          </cell>
          <cell r="E390" t="str">
            <v>Investissement</v>
          </cell>
          <cell r="F390">
            <v>0</v>
          </cell>
        </row>
        <row r="391">
          <cell r="A391" t="str">
            <v>DIRECTION DES CHAÎNES CORANIQUES TV RADIO</v>
          </cell>
          <cell r="B391" t="str">
            <v>ASSADISSA ET RADIO COR</v>
          </cell>
          <cell r="C391" t="str">
            <v>MARCHES</v>
          </cell>
          <cell r="D391">
            <v>2020</v>
          </cell>
          <cell r="E391" t="str">
            <v>Investissement</v>
          </cell>
          <cell r="F391">
            <v>0</v>
          </cell>
        </row>
        <row r="392">
          <cell r="A392" t="str">
            <v>DIRECTION DES SYSTEMES D'INFORMATION</v>
          </cell>
          <cell r="B392" t="str">
            <v>DSI</v>
          </cell>
          <cell r="C392" t="str">
            <v>MARCHES</v>
          </cell>
          <cell r="D392">
            <v>2020</v>
          </cell>
          <cell r="E392" t="str">
            <v>Investissement</v>
          </cell>
          <cell r="F392">
            <v>6.8906724000000006</v>
          </cell>
        </row>
        <row r="393">
          <cell r="A393" t="str">
            <v>DIRECTION TECHNIQUE</v>
          </cell>
          <cell r="B393" t="str">
            <v>TECHNIQUE</v>
          </cell>
          <cell r="C393" t="str">
            <v>MARCHES</v>
          </cell>
          <cell r="D393">
            <v>2021</v>
          </cell>
          <cell r="E393" t="str">
            <v>Investissement</v>
          </cell>
          <cell r="F393">
            <v>73.8</v>
          </cell>
        </row>
        <row r="394">
          <cell r="A394" t="str">
            <v>DIRECTION DE LA TELEDIFFUSION</v>
          </cell>
          <cell r="B394" t="str">
            <v>TELEDIFFUSION</v>
          </cell>
          <cell r="C394" t="str">
            <v>MARCHES</v>
          </cell>
          <cell r="D394">
            <v>2021</v>
          </cell>
          <cell r="E394" t="str">
            <v>Investissement</v>
          </cell>
          <cell r="F394">
            <v>125.963180396</v>
          </cell>
        </row>
        <row r="395">
          <cell r="A395" t="str">
            <v>DIRECTION DES ACHATS</v>
          </cell>
          <cell r="B395" t="str">
            <v>ACHATS</v>
          </cell>
          <cell r="C395" t="str">
            <v>MARCHES</v>
          </cell>
          <cell r="D395">
            <v>2021</v>
          </cell>
          <cell r="E395" t="str">
            <v>Investissement</v>
          </cell>
          <cell r="F395">
            <v>0</v>
          </cell>
        </row>
        <row r="396">
          <cell r="A396" t="str">
            <v>DIRECTION FINANCIERE</v>
          </cell>
          <cell r="B396" t="str">
            <v>FINANCES</v>
          </cell>
          <cell r="C396" t="str">
            <v>MARCHES</v>
          </cell>
          <cell r="D396">
            <v>2021</v>
          </cell>
          <cell r="E396" t="str">
            <v>Investissement</v>
          </cell>
          <cell r="F396">
            <v>0</v>
          </cell>
        </row>
        <row r="397">
          <cell r="A397" t="str">
            <v>DIRECTION DES RESSOURCES HUMAINES</v>
          </cell>
          <cell r="B397" t="str">
            <v>RESSOURCES HUMAINES</v>
          </cell>
          <cell r="C397" t="str">
            <v>MARCHES</v>
          </cell>
          <cell r="D397">
            <v>2021</v>
          </cell>
          <cell r="E397" t="str">
            <v>Investissement</v>
          </cell>
          <cell r="F397">
            <v>0</v>
          </cell>
        </row>
        <row r="398">
          <cell r="A398" t="str">
            <v>DIRECTION DU PATRIMOINE  ET DES MOYENS GENERAUX</v>
          </cell>
          <cell r="B398" t="str">
            <v>DPMG</v>
          </cell>
          <cell r="C398" t="str">
            <v>MARCHES</v>
          </cell>
          <cell r="D398">
            <v>2021</v>
          </cell>
          <cell r="E398" t="str">
            <v>Investissement</v>
          </cell>
          <cell r="F398">
            <v>23.150689</v>
          </cell>
        </row>
        <row r="399">
          <cell r="A399" t="str">
            <v>DIRECTION JURIDIQUE</v>
          </cell>
          <cell r="B399" t="str">
            <v>JURIDIQUE</v>
          </cell>
          <cell r="C399" t="str">
            <v>MARCHES</v>
          </cell>
          <cell r="D399">
            <v>2021</v>
          </cell>
          <cell r="E399" t="str">
            <v>Investissement</v>
          </cell>
          <cell r="F399">
            <v>0</v>
          </cell>
        </row>
        <row r="400">
          <cell r="A400" t="str">
            <v>DIRECTION CHARGEE DES RELATIONS INTERNATIONALES</v>
          </cell>
          <cell r="B400" t="str">
            <v>DRI</v>
          </cell>
          <cell r="C400" t="str">
            <v>MARCHES</v>
          </cell>
          <cell r="D400">
            <v>2021</v>
          </cell>
          <cell r="E400" t="str">
            <v>Investissement</v>
          </cell>
          <cell r="F400">
            <v>0</v>
          </cell>
        </row>
        <row r="401">
          <cell r="A401" t="str">
            <v>DIRECTION DE L'AUDIT ET DU CONTRÔLE DE LA GESTION</v>
          </cell>
          <cell r="B401" t="str">
            <v>AUDIT ET CONTRÔLE DE LA GESTION</v>
          </cell>
          <cell r="C401" t="str">
            <v>MARCHES</v>
          </cell>
          <cell r="D401">
            <v>2021</v>
          </cell>
          <cell r="E401" t="str">
            <v>Investissement</v>
          </cell>
          <cell r="F401">
            <v>0</v>
          </cell>
        </row>
        <row r="402">
          <cell r="A402" t="str">
            <v>DIRECTION DE L’INFORMATION RADIO</v>
          </cell>
          <cell r="B402" t="str">
            <v>INFORMATION RADIO</v>
          </cell>
          <cell r="C402" t="str">
            <v>MARCHES</v>
          </cell>
          <cell r="D402">
            <v>2021</v>
          </cell>
          <cell r="E402" t="str">
            <v>Investissement</v>
          </cell>
          <cell r="F402">
            <v>0</v>
          </cell>
        </row>
        <row r="403">
          <cell r="A403" t="str">
            <v>DIRECTION DE L’INFORMATION TV</v>
          </cell>
          <cell r="B403" t="str">
            <v>INFORMATION TV</v>
          </cell>
          <cell r="C403" t="str">
            <v>MARCHES</v>
          </cell>
          <cell r="D403">
            <v>2021</v>
          </cell>
          <cell r="E403" t="str">
            <v>Investissement</v>
          </cell>
          <cell r="F403">
            <v>0</v>
          </cell>
        </row>
        <row r="404">
          <cell r="A404" t="str">
            <v>DIRECTION DE LA PRODUCTION ET DE LA PROGRAMMATION RADIO</v>
          </cell>
          <cell r="B404" t="str">
            <v>RADIO PROD PROG</v>
          </cell>
          <cell r="C404" t="str">
            <v>MARCHES</v>
          </cell>
          <cell r="D404">
            <v>2021</v>
          </cell>
          <cell r="E404" t="str">
            <v>Investissement</v>
          </cell>
          <cell r="F404">
            <v>0</v>
          </cell>
        </row>
        <row r="405">
          <cell r="A405" t="str">
            <v>DIRECTION DE LA REGIE PUBLICITAIRE ET DES SOLUTIONS DIGITALES</v>
          </cell>
          <cell r="B405" t="str">
            <v xml:space="preserve">REGIE PUBLICITAIRE </v>
          </cell>
          <cell r="C405" t="str">
            <v>MARCHES</v>
          </cell>
          <cell r="D405">
            <v>2021</v>
          </cell>
          <cell r="E405" t="str">
            <v>Investissement</v>
          </cell>
          <cell r="F405">
            <v>0</v>
          </cell>
        </row>
        <row r="406">
          <cell r="A406" t="str">
            <v>DIRECTION MARKETING ET PROGRAMATION TV</v>
          </cell>
          <cell r="B406" t="str">
            <v>MARKETING ET PROG TV</v>
          </cell>
          <cell r="C406" t="str">
            <v>MARCHES</v>
          </cell>
          <cell r="D406">
            <v>2021</v>
          </cell>
          <cell r="E406" t="str">
            <v>Investissement</v>
          </cell>
          <cell r="F406">
            <v>0</v>
          </cell>
        </row>
        <row r="407">
          <cell r="A407" t="str">
            <v>DIRECTION DE LA COMMUNICATION</v>
          </cell>
          <cell r="B407" t="str">
            <v>COMMUNICATION</v>
          </cell>
          <cell r="C407" t="str">
            <v>MARCHES</v>
          </cell>
          <cell r="D407">
            <v>2021</v>
          </cell>
          <cell r="E407" t="str">
            <v>Investissement</v>
          </cell>
          <cell r="F407">
            <v>0</v>
          </cell>
        </row>
        <row r="408">
          <cell r="A408" t="str">
            <v>DIRECTION ALMAGHRIBIA</v>
          </cell>
          <cell r="B408" t="str">
            <v>ALMAGHRIBIA</v>
          </cell>
          <cell r="C408" t="str">
            <v>MARCHES</v>
          </cell>
          <cell r="D408">
            <v>2021</v>
          </cell>
          <cell r="E408" t="str">
            <v>Investissement</v>
          </cell>
          <cell r="F408">
            <v>0</v>
          </cell>
        </row>
        <row r="409">
          <cell r="A409" t="str">
            <v xml:space="preserve">DIRECTION CENTRALE DE LA CHAINE TV LAAYOUNE </v>
          </cell>
          <cell r="B409" t="str">
            <v xml:space="preserve">LAAYOUNE </v>
          </cell>
          <cell r="C409" t="str">
            <v>MARCHES</v>
          </cell>
          <cell r="D409">
            <v>2021</v>
          </cell>
          <cell r="E409" t="str">
            <v>Investissement</v>
          </cell>
          <cell r="F409">
            <v>4.0149999999999997</v>
          </cell>
        </row>
        <row r="410">
          <cell r="A410" t="str">
            <v>DIRECTION CENTRALE DE LA CHAÎNE ARRYADIA</v>
          </cell>
          <cell r="B410" t="str">
            <v>ARRYADIA</v>
          </cell>
          <cell r="C410" t="str">
            <v>MARCHES</v>
          </cell>
          <cell r="D410">
            <v>2021</v>
          </cell>
          <cell r="E410" t="str">
            <v>Investissement</v>
          </cell>
          <cell r="F410">
            <v>0</v>
          </cell>
        </row>
        <row r="411">
          <cell r="A411" t="str">
            <v>DIRECTION CENTRALE DE LA CHAÎNE TAMAZIGHT</v>
          </cell>
          <cell r="B411" t="str">
            <v>TAMAZIGHT</v>
          </cell>
          <cell r="C411" t="str">
            <v>MARCHES</v>
          </cell>
          <cell r="D411">
            <v>2021</v>
          </cell>
          <cell r="E411" t="str">
            <v>Investissement</v>
          </cell>
          <cell r="F411">
            <v>1</v>
          </cell>
        </row>
        <row r="412">
          <cell r="A412" t="str">
            <v>DIRECTION CENTRALE DE LA PRODUCTION ET DE L'ANTENNE</v>
          </cell>
          <cell r="B412" t="str">
            <v>ALAOULA</v>
          </cell>
          <cell r="C412" t="str">
            <v>MARCHES</v>
          </cell>
          <cell r="D412">
            <v>2021</v>
          </cell>
          <cell r="E412" t="str">
            <v>Investissement</v>
          </cell>
          <cell r="F412">
            <v>3.6086399999999998</v>
          </cell>
        </row>
        <row r="413">
          <cell r="A413" t="str">
            <v>DIRECTION DE LA QUATRIEME</v>
          </cell>
          <cell r="B413" t="str">
            <v>QUATRIEME</v>
          </cell>
          <cell r="C413" t="str">
            <v>MARCHES</v>
          </cell>
          <cell r="D413">
            <v>2021</v>
          </cell>
          <cell r="E413" t="str">
            <v>Investissement</v>
          </cell>
          <cell r="F413">
            <v>0</v>
          </cell>
        </row>
        <row r="414">
          <cell r="A414" t="str">
            <v>DIRECTION DES CHAÎNES CORANIQUES TV RADIO</v>
          </cell>
          <cell r="B414" t="str">
            <v>ASSADISSA ET RADIO COR</v>
          </cell>
          <cell r="C414" t="str">
            <v>MARCHES</v>
          </cell>
          <cell r="D414">
            <v>2021</v>
          </cell>
          <cell r="E414" t="str">
            <v>Investissement</v>
          </cell>
          <cell r="F414">
            <v>0</v>
          </cell>
        </row>
        <row r="415">
          <cell r="A415" t="str">
            <v>DIRECTION DES SYSTEMES D'INFORMATION</v>
          </cell>
          <cell r="B415" t="str">
            <v>DSI</v>
          </cell>
          <cell r="C415" t="str">
            <v>MARCHES</v>
          </cell>
          <cell r="D415">
            <v>2021</v>
          </cell>
          <cell r="E415" t="str">
            <v>Investissement</v>
          </cell>
          <cell r="F415">
            <v>10.199999999999999</v>
          </cell>
        </row>
        <row r="416">
          <cell r="A416" t="str">
            <v>DIRECTION TECHNIQUE</v>
          </cell>
          <cell r="B416" t="str">
            <v>TECHNIQUE</v>
          </cell>
          <cell r="C416" t="str">
            <v>MARCHES</v>
          </cell>
          <cell r="D416">
            <v>2016</v>
          </cell>
          <cell r="E416" t="str">
            <v>Fonctionnement</v>
          </cell>
          <cell r="F416">
            <v>10.893113452488002</v>
          </cell>
        </row>
        <row r="417">
          <cell r="A417" t="str">
            <v>DIRECTION DE LA TELEDIFFUSION</v>
          </cell>
          <cell r="B417" t="str">
            <v>TELEDIFFUSION</v>
          </cell>
          <cell r="C417" t="str">
            <v>MARCHES</v>
          </cell>
          <cell r="D417">
            <v>2016</v>
          </cell>
          <cell r="E417" t="str">
            <v>Fonctionnement</v>
          </cell>
          <cell r="F417">
            <v>1.6359126959999999</v>
          </cell>
        </row>
        <row r="418">
          <cell r="A418" t="str">
            <v>DIRECTION DES ACHATS</v>
          </cell>
          <cell r="B418" t="str">
            <v>ACHATS</v>
          </cell>
          <cell r="C418" t="str">
            <v>MARCHES</v>
          </cell>
          <cell r="D418">
            <v>2016</v>
          </cell>
          <cell r="E418" t="str">
            <v>Fonctionnement</v>
          </cell>
          <cell r="F418">
            <v>0</v>
          </cell>
        </row>
        <row r="419">
          <cell r="A419" t="str">
            <v>DIRECTION FINANCIERE</v>
          </cell>
          <cell r="B419" t="str">
            <v>FINANCES</v>
          </cell>
          <cell r="C419" t="str">
            <v>MARCHES</v>
          </cell>
          <cell r="D419">
            <v>2016</v>
          </cell>
          <cell r="E419" t="str">
            <v>Fonctionnement</v>
          </cell>
          <cell r="F419">
            <v>0</v>
          </cell>
        </row>
        <row r="420">
          <cell r="A420" t="str">
            <v>DIRECTION DES RESSOURCES HUMAINES</v>
          </cell>
          <cell r="B420" t="str">
            <v>RESSOURCES HUMAINES</v>
          </cell>
          <cell r="C420" t="str">
            <v>MARCHES</v>
          </cell>
          <cell r="D420">
            <v>2016</v>
          </cell>
          <cell r="E420" t="str">
            <v>Fonctionnement</v>
          </cell>
          <cell r="F420">
            <v>0.30424000000000001</v>
          </cell>
        </row>
        <row r="421">
          <cell r="A421" t="str">
            <v>DIRECTION DU PATRIMOINE  ET DES MOYENS GENERAUX</v>
          </cell>
          <cell r="B421" t="str">
            <v>DPMG</v>
          </cell>
          <cell r="C421" t="str">
            <v>MARCHES</v>
          </cell>
          <cell r="D421">
            <v>2016</v>
          </cell>
          <cell r="E421" t="str">
            <v>Fonctionnement</v>
          </cell>
          <cell r="F421">
            <v>38.896827409999993</v>
          </cell>
        </row>
        <row r="422">
          <cell r="A422" t="str">
            <v>DIRECTION JURIDIQUE</v>
          </cell>
          <cell r="B422" t="str">
            <v>JURIDIQUE</v>
          </cell>
          <cell r="C422" t="str">
            <v>MARCHES</v>
          </cell>
          <cell r="D422">
            <v>2016</v>
          </cell>
          <cell r="E422" t="str">
            <v>Fonctionnement</v>
          </cell>
          <cell r="F422">
            <v>0</v>
          </cell>
        </row>
        <row r="423">
          <cell r="A423" t="str">
            <v>DIRECTION CHARGEE DES RELATIONS INTERNATIONALES</v>
          </cell>
          <cell r="B423" t="str">
            <v>DRI</v>
          </cell>
          <cell r="C423" t="str">
            <v>MARCHES</v>
          </cell>
          <cell r="D423">
            <v>2016</v>
          </cell>
          <cell r="E423" t="str">
            <v>Fonctionnement</v>
          </cell>
          <cell r="F423">
            <v>0</v>
          </cell>
        </row>
        <row r="424">
          <cell r="A424" t="str">
            <v>DIRECTION DE L'AUDIT ET DU CONTRÔLE DE LA GESTION</v>
          </cell>
          <cell r="B424" t="str">
            <v>AUDIT ET CONTRÔLE DE LA GESTION</v>
          </cell>
          <cell r="C424" t="str">
            <v>MARCHES</v>
          </cell>
          <cell r="D424">
            <v>2016</v>
          </cell>
          <cell r="E424" t="str">
            <v>Fonctionnement</v>
          </cell>
          <cell r="F424">
            <v>0</v>
          </cell>
        </row>
        <row r="425">
          <cell r="A425" t="str">
            <v>DIRECTION DE L’INFORMATION RADIO</v>
          </cell>
          <cell r="B425" t="str">
            <v>INFORMATION RADIO</v>
          </cell>
          <cell r="C425" t="str">
            <v>MARCHES</v>
          </cell>
          <cell r="D425">
            <v>2016</v>
          </cell>
          <cell r="E425" t="str">
            <v>Fonctionnement</v>
          </cell>
          <cell r="F425">
            <v>0</v>
          </cell>
        </row>
        <row r="426">
          <cell r="A426" t="str">
            <v>DIRECTION DE L’INFORMATION TV</v>
          </cell>
          <cell r="B426" t="str">
            <v>INFORMATION TV</v>
          </cell>
          <cell r="C426" t="str">
            <v>MARCHES</v>
          </cell>
          <cell r="D426">
            <v>2016</v>
          </cell>
          <cell r="E426" t="str">
            <v>Fonctionnement</v>
          </cell>
          <cell r="F426">
            <v>0</v>
          </cell>
        </row>
        <row r="427">
          <cell r="A427" t="str">
            <v>DIRECTION DE LA PRODUCTION ET DE LA PROGRAMMATION RADIO</v>
          </cell>
          <cell r="B427" t="str">
            <v>RADIO PROD PROG</v>
          </cell>
          <cell r="C427" t="str">
            <v>MARCHES</v>
          </cell>
          <cell r="D427">
            <v>2016</v>
          </cell>
          <cell r="E427" t="str">
            <v>Fonctionnement</v>
          </cell>
          <cell r="F427">
            <v>0</v>
          </cell>
        </row>
        <row r="428">
          <cell r="A428" t="str">
            <v>DIRECTION DE LA REGIE PUBLICITAIRE ET DES SOLUTIONS DIGITALES</v>
          </cell>
          <cell r="B428" t="str">
            <v xml:space="preserve">REGIE PUBLICITAIRE </v>
          </cell>
          <cell r="C428" t="str">
            <v>MARCHES</v>
          </cell>
          <cell r="D428">
            <v>2016</v>
          </cell>
          <cell r="E428" t="str">
            <v>Fonctionnement</v>
          </cell>
          <cell r="F428">
            <v>0</v>
          </cell>
        </row>
        <row r="429">
          <cell r="A429" t="str">
            <v>DIRECTION MARKETING ET PROGRAMATION TV</v>
          </cell>
          <cell r="B429" t="str">
            <v>MARKETING ET PROG TV</v>
          </cell>
          <cell r="C429" t="str">
            <v>MARCHES</v>
          </cell>
          <cell r="D429">
            <v>2016</v>
          </cell>
          <cell r="E429" t="str">
            <v>Fonctionnement</v>
          </cell>
          <cell r="F429">
            <v>0</v>
          </cell>
        </row>
        <row r="430">
          <cell r="A430" t="str">
            <v>DIRECTION DE LA COMMUNICATION</v>
          </cell>
          <cell r="B430" t="str">
            <v>COMMUNICATION</v>
          </cell>
          <cell r="C430" t="str">
            <v>MARCHES</v>
          </cell>
          <cell r="D430">
            <v>2016</v>
          </cell>
          <cell r="E430" t="str">
            <v>Fonctionnement</v>
          </cell>
          <cell r="F430">
            <v>0</v>
          </cell>
        </row>
        <row r="431">
          <cell r="A431" t="str">
            <v>DIRECTION ALMAGHRIBIA</v>
          </cell>
          <cell r="B431" t="str">
            <v>ALMAGHRIBIA</v>
          </cell>
          <cell r="C431" t="str">
            <v>MARCHES</v>
          </cell>
          <cell r="D431">
            <v>2016</v>
          </cell>
          <cell r="E431" t="str">
            <v>Fonctionnement</v>
          </cell>
          <cell r="F431">
            <v>0</v>
          </cell>
        </row>
        <row r="432">
          <cell r="A432" t="str">
            <v xml:space="preserve">DIRECTION CENTRALE DE LA CHAINE TV LAAYOUNE </v>
          </cell>
          <cell r="B432" t="str">
            <v xml:space="preserve">LAAYOUNE </v>
          </cell>
          <cell r="C432" t="str">
            <v>MARCHES</v>
          </cell>
          <cell r="D432">
            <v>2016</v>
          </cell>
          <cell r="E432" t="str">
            <v>Fonctionnement</v>
          </cell>
          <cell r="F432">
            <v>0</v>
          </cell>
        </row>
        <row r="433">
          <cell r="A433" t="str">
            <v>DIRECTION CENTRALE DE LA CHAÎNE ARRYADIA</v>
          </cell>
          <cell r="B433" t="str">
            <v>ARRYADIA</v>
          </cell>
          <cell r="C433" t="str">
            <v>MARCHES</v>
          </cell>
          <cell r="D433">
            <v>2016</v>
          </cell>
          <cell r="E433" t="str">
            <v>Fonctionnement</v>
          </cell>
          <cell r="F433">
            <v>0</v>
          </cell>
        </row>
        <row r="434">
          <cell r="A434" t="str">
            <v>DIRECTION CENTRALE DE LA CHAÎNE TAMAZIGHT</v>
          </cell>
          <cell r="B434" t="str">
            <v>TAMAZIGHT</v>
          </cell>
          <cell r="C434" t="str">
            <v>MARCHES</v>
          </cell>
          <cell r="D434">
            <v>2016</v>
          </cell>
          <cell r="E434" t="str">
            <v>Fonctionnement</v>
          </cell>
          <cell r="F434">
            <v>0</v>
          </cell>
        </row>
        <row r="435">
          <cell r="A435" t="str">
            <v>DIRECTION CENTRALE DE LA PRODUCTION ET DE L'ANTENNE</v>
          </cell>
          <cell r="B435" t="str">
            <v>ALAOULA</v>
          </cell>
          <cell r="C435" t="str">
            <v>MARCHES</v>
          </cell>
          <cell r="D435">
            <v>2016</v>
          </cell>
          <cell r="E435" t="str">
            <v>Fonctionnement</v>
          </cell>
          <cell r="F435">
            <v>0</v>
          </cell>
        </row>
        <row r="436">
          <cell r="A436" t="str">
            <v>DIRECTION DE LA QUATRIEME</v>
          </cell>
          <cell r="B436" t="str">
            <v>QUATRIEME</v>
          </cell>
          <cell r="C436" t="str">
            <v>MARCHES</v>
          </cell>
          <cell r="D436">
            <v>2016</v>
          </cell>
          <cell r="E436" t="str">
            <v>Fonctionnement</v>
          </cell>
          <cell r="F436">
            <v>0</v>
          </cell>
        </row>
        <row r="437">
          <cell r="A437" t="str">
            <v>DIRECTION DES CHAÎNES CORANIQUES TV RADIO</v>
          </cell>
          <cell r="B437" t="str">
            <v>ASSADISSA ET RADIO COR</v>
          </cell>
          <cell r="C437" t="str">
            <v>MARCHES</v>
          </cell>
          <cell r="D437">
            <v>2016</v>
          </cell>
          <cell r="E437" t="str">
            <v>Fonctionnement</v>
          </cell>
          <cell r="F437">
            <v>0</v>
          </cell>
        </row>
        <row r="438">
          <cell r="A438" t="str">
            <v>DIRECTION DES SYSTEMES D'INFORMATION</v>
          </cell>
          <cell r="B438" t="str">
            <v>DSI</v>
          </cell>
          <cell r="C438" t="str">
            <v>MARCHES</v>
          </cell>
          <cell r="D438">
            <v>2016</v>
          </cell>
          <cell r="E438" t="str">
            <v>Fonctionnement</v>
          </cell>
          <cell r="F438">
            <v>1.2936551999999999</v>
          </cell>
        </row>
        <row r="439">
          <cell r="A439" t="str">
            <v>DIRECTION TECHNIQUE</v>
          </cell>
          <cell r="B439" t="str">
            <v>TECHNIQUE</v>
          </cell>
          <cell r="C439" t="str">
            <v>MARCHES</v>
          </cell>
          <cell r="D439">
            <v>2017</v>
          </cell>
          <cell r="E439" t="str">
            <v>Fonctionnement</v>
          </cell>
          <cell r="F439">
            <v>3.038305716</v>
          </cell>
        </row>
        <row r="440">
          <cell r="A440" t="str">
            <v>DIRECTION DE LA TELEDIFFUSION</v>
          </cell>
          <cell r="B440" t="str">
            <v>TELEDIFFUSION</v>
          </cell>
          <cell r="C440" t="str">
            <v>MARCHES</v>
          </cell>
          <cell r="D440">
            <v>2017</v>
          </cell>
          <cell r="E440" t="str">
            <v>Fonctionnement</v>
          </cell>
          <cell r="F440">
            <v>0</v>
          </cell>
        </row>
        <row r="441">
          <cell r="A441" t="str">
            <v>DIRECTION DES ACHATS</v>
          </cell>
          <cell r="B441" t="str">
            <v>ACHATS</v>
          </cell>
          <cell r="C441" t="str">
            <v>MARCHES</v>
          </cell>
          <cell r="D441">
            <v>2017</v>
          </cell>
          <cell r="E441" t="str">
            <v>Fonctionnement</v>
          </cell>
          <cell r="F441">
            <v>0</v>
          </cell>
        </row>
        <row r="442">
          <cell r="A442" t="str">
            <v>DIRECTION FINANCIERE</v>
          </cell>
          <cell r="B442" t="str">
            <v>FINANCES</v>
          </cell>
          <cell r="C442" t="str">
            <v>MARCHES</v>
          </cell>
          <cell r="D442">
            <v>2017</v>
          </cell>
          <cell r="E442" t="str">
            <v>Fonctionnement</v>
          </cell>
          <cell r="F442">
            <v>0</v>
          </cell>
        </row>
        <row r="443">
          <cell r="A443" t="str">
            <v>DIRECTION DES RESSOURCES HUMAINES</v>
          </cell>
          <cell r="B443" t="str">
            <v>RESSOURCES HUMAINES</v>
          </cell>
          <cell r="C443" t="str">
            <v>MARCHES</v>
          </cell>
          <cell r="D443">
            <v>2017</v>
          </cell>
          <cell r="E443" t="str">
            <v>Fonctionnement</v>
          </cell>
          <cell r="F443">
            <v>1.17595698</v>
          </cell>
        </row>
        <row r="444">
          <cell r="A444" t="str">
            <v>DIRECTION DU PATRIMOINE  ET DES MOYENS GENERAUX</v>
          </cell>
          <cell r="B444" t="str">
            <v>DPMG</v>
          </cell>
          <cell r="C444" t="str">
            <v>MARCHES</v>
          </cell>
          <cell r="D444">
            <v>2017</v>
          </cell>
          <cell r="E444" t="str">
            <v>Fonctionnement</v>
          </cell>
          <cell r="F444">
            <v>42.035786799999997</v>
          </cell>
        </row>
        <row r="445">
          <cell r="A445" t="str">
            <v>DIRECTION JURIDIQUE</v>
          </cell>
          <cell r="B445" t="str">
            <v>JURIDIQUE</v>
          </cell>
          <cell r="C445" t="str">
            <v>MARCHES</v>
          </cell>
          <cell r="D445">
            <v>2017</v>
          </cell>
          <cell r="E445" t="str">
            <v>Fonctionnement</v>
          </cell>
          <cell r="F445">
            <v>0</v>
          </cell>
        </row>
        <row r="446">
          <cell r="A446" t="str">
            <v>DIRECTION CHARGEE DES RELATIONS INTERNATIONALES</v>
          </cell>
          <cell r="B446" t="str">
            <v>DRI</v>
          </cell>
          <cell r="C446" t="str">
            <v>MARCHES</v>
          </cell>
          <cell r="D446">
            <v>2017</v>
          </cell>
          <cell r="E446" t="str">
            <v>Fonctionnement</v>
          </cell>
          <cell r="F446">
            <v>0</v>
          </cell>
        </row>
        <row r="447">
          <cell r="A447" t="str">
            <v>DIRECTION DE L'AUDIT ET DU CONTRÔLE DE LA GESTION</v>
          </cell>
          <cell r="B447" t="str">
            <v>AUDIT ET CONTRÔLE DE LA GESTION</v>
          </cell>
          <cell r="C447" t="str">
            <v>MARCHES</v>
          </cell>
          <cell r="D447">
            <v>2017</v>
          </cell>
          <cell r="E447" t="str">
            <v>Fonctionnement</v>
          </cell>
          <cell r="F447">
            <v>0</v>
          </cell>
        </row>
        <row r="448">
          <cell r="A448" t="str">
            <v>DIRECTION DE L’INFORMATION RADIO</v>
          </cell>
          <cell r="B448" t="str">
            <v>INFORMATION RADIO</v>
          </cell>
          <cell r="C448" t="str">
            <v>MARCHES</v>
          </cell>
          <cell r="D448">
            <v>2017</v>
          </cell>
          <cell r="E448" t="str">
            <v>Fonctionnement</v>
          </cell>
          <cell r="F448">
            <v>0</v>
          </cell>
        </row>
        <row r="449">
          <cell r="A449" t="str">
            <v>DIRECTION DE L’INFORMATION TV</v>
          </cell>
          <cell r="B449" t="str">
            <v>INFORMATION TV</v>
          </cell>
          <cell r="C449" t="str">
            <v>MARCHES</v>
          </cell>
          <cell r="D449">
            <v>2017</v>
          </cell>
          <cell r="E449" t="str">
            <v>Fonctionnement</v>
          </cell>
          <cell r="F449">
            <v>0</v>
          </cell>
        </row>
        <row r="450">
          <cell r="A450" t="str">
            <v>DIRECTION DE LA PRODUCTION ET DE LA PROGRAMMATION RADIO</v>
          </cell>
          <cell r="B450" t="str">
            <v>RADIO PROD PROG</v>
          </cell>
          <cell r="C450" t="str">
            <v>MARCHES</v>
          </cell>
          <cell r="D450">
            <v>2017</v>
          </cell>
          <cell r="E450" t="str">
            <v>Fonctionnement</v>
          </cell>
          <cell r="F450">
            <v>0</v>
          </cell>
        </row>
        <row r="451">
          <cell r="A451" t="str">
            <v>DIRECTION DE LA REGIE PUBLICITAIRE ET DES SOLUTIONS DIGITALES</v>
          </cell>
          <cell r="B451" t="str">
            <v xml:space="preserve">REGIE PUBLICITAIRE </v>
          </cell>
          <cell r="C451" t="str">
            <v>MARCHES</v>
          </cell>
          <cell r="D451">
            <v>2017</v>
          </cell>
          <cell r="E451" t="str">
            <v>Fonctionnement</v>
          </cell>
          <cell r="F451">
            <v>0</v>
          </cell>
        </row>
        <row r="452">
          <cell r="A452" t="str">
            <v>DIRECTION MARKETING ET PROGRAMATION TV</v>
          </cell>
          <cell r="B452" t="str">
            <v>MARKETING ET PROG TV</v>
          </cell>
          <cell r="C452" t="str">
            <v>MARCHES</v>
          </cell>
          <cell r="D452">
            <v>2017</v>
          </cell>
          <cell r="E452" t="str">
            <v>Fonctionnement</v>
          </cell>
          <cell r="F452">
            <v>23.00461482</v>
          </cell>
        </row>
        <row r="453">
          <cell r="A453" t="str">
            <v>DIRECTION DE LA COMMUNICATION</v>
          </cell>
          <cell r="B453" t="str">
            <v>COMMUNICATION</v>
          </cell>
          <cell r="C453" t="str">
            <v>MARCHES</v>
          </cell>
          <cell r="D453">
            <v>2017</v>
          </cell>
          <cell r="E453" t="str">
            <v>Fonctionnement</v>
          </cell>
          <cell r="F453">
            <v>0</v>
          </cell>
        </row>
        <row r="454">
          <cell r="A454" t="str">
            <v>DIRECTION ALMAGHRIBIA</v>
          </cell>
          <cell r="B454" t="str">
            <v>ALMAGHRIBIA</v>
          </cell>
          <cell r="C454" t="str">
            <v>MARCHES</v>
          </cell>
          <cell r="D454">
            <v>2017</v>
          </cell>
          <cell r="E454" t="str">
            <v>Fonctionnement</v>
          </cell>
          <cell r="F454">
            <v>0</v>
          </cell>
        </row>
        <row r="455">
          <cell r="A455" t="str">
            <v xml:space="preserve">DIRECTION CENTRALE DE LA CHAINE TV LAAYOUNE </v>
          </cell>
          <cell r="B455" t="str">
            <v xml:space="preserve">LAAYOUNE </v>
          </cell>
          <cell r="C455" t="str">
            <v>MARCHES</v>
          </cell>
          <cell r="D455">
            <v>2017</v>
          </cell>
          <cell r="E455" t="str">
            <v>Fonctionnement</v>
          </cell>
          <cell r="F455">
            <v>0</v>
          </cell>
        </row>
        <row r="456">
          <cell r="A456" t="str">
            <v>DIRECTION CENTRALE DE LA CHAÎNE ARRYADIA</v>
          </cell>
          <cell r="B456" t="str">
            <v>ARRYADIA</v>
          </cell>
          <cell r="C456" t="str">
            <v>MARCHES</v>
          </cell>
          <cell r="D456">
            <v>2017</v>
          </cell>
          <cell r="E456" t="str">
            <v>Fonctionnement</v>
          </cell>
          <cell r="F456">
            <v>0</v>
          </cell>
        </row>
        <row r="457">
          <cell r="A457" t="str">
            <v>DIRECTION CENTRALE DE LA CHAÎNE TAMAZIGHT</v>
          </cell>
          <cell r="B457" t="str">
            <v>TAMAZIGHT</v>
          </cell>
          <cell r="C457" t="str">
            <v>MARCHES</v>
          </cell>
          <cell r="D457">
            <v>2017</v>
          </cell>
          <cell r="E457" t="str">
            <v>Fonctionnement</v>
          </cell>
          <cell r="F457">
            <v>0</v>
          </cell>
        </row>
        <row r="458">
          <cell r="A458" t="str">
            <v>DIRECTION CENTRALE DE LA PRODUCTION ET DE L'ANTENNE</v>
          </cell>
          <cell r="B458" t="str">
            <v>ALAOULA</v>
          </cell>
          <cell r="C458" t="str">
            <v>MARCHES</v>
          </cell>
          <cell r="D458">
            <v>2017</v>
          </cell>
          <cell r="E458" t="str">
            <v>Fonctionnement</v>
          </cell>
          <cell r="F458">
            <v>0</v>
          </cell>
        </row>
        <row r="459">
          <cell r="A459" t="str">
            <v>DIRECTION DE LA QUATRIEME</v>
          </cell>
          <cell r="B459" t="str">
            <v>QUATRIEME</v>
          </cell>
          <cell r="C459" t="str">
            <v>MARCHES</v>
          </cell>
          <cell r="D459">
            <v>2017</v>
          </cell>
          <cell r="E459" t="str">
            <v>Fonctionnement</v>
          </cell>
          <cell r="F459">
            <v>0</v>
          </cell>
        </row>
        <row r="460">
          <cell r="A460" t="str">
            <v>DIRECTION DES CHAÎNES CORANIQUES TV RADIO</v>
          </cell>
          <cell r="B460" t="str">
            <v>ASSADISSA ET RADIO COR</v>
          </cell>
          <cell r="C460" t="str">
            <v>MARCHES</v>
          </cell>
          <cell r="D460">
            <v>2017</v>
          </cell>
          <cell r="E460" t="str">
            <v>Fonctionnement</v>
          </cell>
          <cell r="F460">
            <v>0</v>
          </cell>
        </row>
        <row r="461">
          <cell r="A461" t="str">
            <v>DIRECTION DES SYSTEMES D'INFORMATION</v>
          </cell>
          <cell r="B461" t="str">
            <v>DSI</v>
          </cell>
          <cell r="C461" t="str">
            <v>MARCHES</v>
          </cell>
          <cell r="D461">
            <v>2017</v>
          </cell>
          <cell r="E461" t="str">
            <v>Fonctionnement</v>
          </cell>
          <cell r="F461">
            <v>0.99048000000000003</v>
          </cell>
        </row>
        <row r="462">
          <cell r="A462" t="str">
            <v>DIRECTION TECHNIQUE</v>
          </cell>
          <cell r="B462" t="str">
            <v>TECHNIQUE</v>
          </cell>
          <cell r="C462" t="str">
            <v>MARCHES</v>
          </cell>
          <cell r="D462">
            <v>2018</v>
          </cell>
          <cell r="E462" t="str">
            <v>Fonctionnement</v>
          </cell>
          <cell r="F462">
            <v>1.1399999999999999</v>
          </cell>
        </row>
        <row r="463">
          <cell r="A463" t="str">
            <v>DIRECTION DE LA TELEDIFFUSION</v>
          </cell>
          <cell r="B463" t="str">
            <v>TELEDIFFUSION</v>
          </cell>
          <cell r="C463" t="str">
            <v>MARCHES</v>
          </cell>
          <cell r="D463">
            <v>2018</v>
          </cell>
          <cell r="E463" t="str">
            <v>Fonctionnement</v>
          </cell>
          <cell r="F463">
            <v>17.732118310199997</v>
          </cell>
        </row>
        <row r="464">
          <cell r="A464" t="str">
            <v>DIRECTION DES ACHATS</v>
          </cell>
          <cell r="B464" t="str">
            <v>ACHATS</v>
          </cell>
          <cell r="C464" t="str">
            <v>MARCHES</v>
          </cell>
          <cell r="D464">
            <v>2018</v>
          </cell>
          <cell r="E464" t="str">
            <v>Fonctionnement</v>
          </cell>
          <cell r="F464">
            <v>0</v>
          </cell>
        </row>
        <row r="465">
          <cell r="A465" t="str">
            <v>DIRECTION FINANCIERE</v>
          </cell>
          <cell r="B465" t="str">
            <v>FINANCES</v>
          </cell>
          <cell r="C465" t="str">
            <v>MARCHES</v>
          </cell>
          <cell r="D465">
            <v>2018</v>
          </cell>
          <cell r="E465" t="str">
            <v>Fonctionnement</v>
          </cell>
          <cell r="F465">
            <v>0</v>
          </cell>
        </row>
        <row r="466">
          <cell r="A466" t="str">
            <v>DIRECTION DES RESSOURCES HUMAINES</v>
          </cell>
          <cell r="B466" t="str">
            <v>RESSOURCES HUMAINES</v>
          </cell>
          <cell r="C466" t="str">
            <v>MARCHES</v>
          </cell>
          <cell r="D466">
            <v>2018</v>
          </cell>
          <cell r="E466" t="str">
            <v>Fonctionnement</v>
          </cell>
          <cell r="F466">
            <v>1.6259605799999999</v>
          </cell>
        </row>
        <row r="467">
          <cell r="A467" t="str">
            <v>DIRECTION DU PATRIMOINE  ET DES MOYENS GENERAUX</v>
          </cell>
          <cell r="B467" t="str">
            <v>DPMG</v>
          </cell>
          <cell r="C467" t="str">
            <v>MARCHES</v>
          </cell>
          <cell r="D467">
            <v>2018</v>
          </cell>
          <cell r="E467" t="str">
            <v>Fonctionnement</v>
          </cell>
          <cell r="F467">
            <v>47.921474880000012</v>
          </cell>
        </row>
        <row r="468">
          <cell r="A468" t="str">
            <v>DIRECTION JURIDIQUE</v>
          </cell>
          <cell r="B468" t="str">
            <v>JURIDIQUE</v>
          </cell>
          <cell r="C468" t="str">
            <v>MARCHES</v>
          </cell>
          <cell r="D468">
            <v>2018</v>
          </cell>
          <cell r="E468" t="str">
            <v>Fonctionnement</v>
          </cell>
          <cell r="F468">
            <v>2.8919999999999999</v>
          </cell>
        </row>
        <row r="469">
          <cell r="A469" t="str">
            <v>DIRECTION CHARGEE DES RELATIONS INTERNATIONALES</v>
          </cell>
          <cell r="B469" t="str">
            <v>DRI</v>
          </cell>
          <cell r="C469" t="str">
            <v>MARCHES</v>
          </cell>
          <cell r="D469">
            <v>2018</v>
          </cell>
          <cell r="E469" t="str">
            <v>Fonctionnement</v>
          </cell>
          <cell r="F469">
            <v>1.9093199999999999</v>
          </cell>
        </row>
        <row r="470">
          <cell r="A470" t="str">
            <v>DIRECTION DE L'AUDIT ET DU CONTRÔLE DE LA GESTION</v>
          </cell>
          <cell r="B470" t="str">
            <v>AUDIT ET CONTRÔLE DE LA GESTION</v>
          </cell>
          <cell r="C470" t="str">
            <v>MARCHES</v>
          </cell>
          <cell r="D470">
            <v>2018</v>
          </cell>
          <cell r="E470" t="str">
            <v>Fonctionnement</v>
          </cell>
          <cell r="F470">
            <v>0</v>
          </cell>
        </row>
        <row r="471">
          <cell r="A471" t="str">
            <v>DIRECTION DE L’INFORMATION RADIO</v>
          </cell>
          <cell r="B471" t="str">
            <v>INFORMATION RADIO</v>
          </cell>
          <cell r="C471" t="str">
            <v>MARCHES</v>
          </cell>
          <cell r="D471">
            <v>2018</v>
          </cell>
          <cell r="E471" t="str">
            <v>Fonctionnement</v>
          </cell>
          <cell r="F471">
            <v>0</v>
          </cell>
        </row>
        <row r="472">
          <cell r="A472" t="str">
            <v>DIRECTION DE L’INFORMATION TV</v>
          </cell>
          <cell r="B472" t="str">
            <v>INFORMATION TV</v>
          </cell>
          <cell r="C472" t="str">
            <v>MARCHES</v>
          </cell>
          <cell r="D472">
            <v>2018</v>
          </cell>
          <cell r="E472" t="str">
            <v>Fonctionnement</v>
          </cell>
          <cell r="F472">
            <v>0</v>
          </cell>
        </row>
        <row r="473">
          <cell r="A473" t="str">
            <v>DIRECTION DE LA PRODUCTION ET DE LA PROGRAMMATION RADIO</v>
          </cell>
          <cell r="B473" t="str">
            <v>RADIO PROD PROG</v>
          </cell>
          <cell r="C473" t="str">
            <v>MARCHES</v>
          </cell>
          <cell r="D473">
            <v>2018</v>
          </cell>
          <cell r="E473" t="str">
            <v>Fonctionnement</v>
          </cell>
          <cell r="F473">
            <v>0</v>
          </cell>
        </row>
        <row r="474">
          <cell r="A474" t="str">
            <v>DIRECTION DE LA REGIE PUBLICITAIRE ET DES SOLUTIONS DIGITALES</v>
          </cell>
          <cell r="B474" t="str">
            <v xml:space="preserve">REGIE PUBLICITAIRE </v>
          </cell>
          <cell r="C474" t="str">
            <v>MARCHES</v>
          </cell>
          <cell r="D474">
            <v>2018</v>
          </cell>
          <cell r="E474" t="str">
            <v>Fonctionnement</v>
          </cell>
          <cell r="F474">
            <v>2.1013920000000001</v>
          </cell>
        </row>
        <row r="475">
          <cell r="A475" t="str">
            <v>DIRECTION MARKETING ET PROGRAMATION TV</v>
          </cell>
          <cell r="B475" t="str">
            <v>MARKETING ET PROG TV</v>
          </cell>
          <cell r="C475" t="str">
            <v>MARCHES</v>
          </cell>
          <cell r="D475">
            <v>2018</v>
          </cell>
          <cell r="E475" t="str">
            <v>Fonctionnement</v>
          </cell>
          <cell r="F475">
            <v>0</v>
          </cell>
        </row>
        <row r="476">
          <cell r="A476" t="str">
            <v>DIRECTION DE LA COMMUNICATION</v>
          </cell>
          <cell r="B476" t="str">
            <v>COMMUNICATION</v>
          </cell>
          <cell r="C476" t="str">
            <v>MARCHES</v>
          </cell>
          <cell r="D476">
            <v>2018</v>
          </cell>
          <cell r="E476" t="str">
            <v>Fonctionnement</v>
          </cell>
          <cell r="F476">
            <v>0</v>
          </cell>
        </row>
        <row r="477">
          <cell r="A477" t="str">
            <v>DIRECTION ALMAGHRIBIA</v>
          </cell>
          <cell r="B477" t="str">
            <v>ALMAGHRIBIA</v>
          </cell>
          <cell r="C477" t="str">
            <v>MARCHES</v>
          </cell>
          <cell r="D477">
            <v>2018</v>
          </cell>
          <cell r="E477" t="str">
            <v>Fonctionnement</v>
          </cell>
          <cell r="F477">
            <v>0</v>
          </cell>
        </row>
        <row r="478">
          <cell r="A478" t="str">
            <v xml:space="preserve">DIRECTION CENTRALE DE LA CHAINE TV LAAYOUNE </v>
          </cell>
          <cell r="B478" t="str">
            <v xml:space="preserve">LAAYOUNE </v>
          </cell>
          <cell r="C478" t="str">
            <v>MARCHES</v>
          </cell>
          <cell r="D478">
            <v>2018</v>
          </cell>
          <cell r="E478" t="str">
            <v>Fonctionnement</v>
          </cell>
          <cell r="F478">
            <v>0</v>
          </cell>
        </row>
        <row r="479">
          <cell r="A479" t="str">
            <v>DIRECTION CENTRALE DE LA CHAÎNE ARRYADIA</v>
          </cell>
          <cell r="B479" t="str">
            <v>ARRYADIA</v>
          </cell>
          <cell r="C479" t="str">
            <v>MARCHES</v>
          </cell>
          <cell r="D479">
            <v>2018</v>
          </cell>
          <cell r="E479" t="str">
            <v>Fonctionnement</v>
          </cell>
          <cell r="F479">
            <v>0</v>
          </cell>
        </row>
        <row r="480">
          <cell r="A480" t="str">
            <v>DIRECTION CENTRALE DE LA CHAÎNE TAMAZIGHT</v>
          </cell>
          <cell r="B480" t="str">
            <v>TAMAZIGHT</v>
          </cell>
          <cell r="C480" t="str">
            <v>MARCHES</v>
          </cell>
          <cell r="D480">
            <v>2018</v>
          </cell>
          <cell r="E480" t="str">
            <v>Fonctionnement</v>
          </cell>
          <cell r="F480">
            <v>0</v>
          </cell>
        </row>
        <row r="481">
          <cell r="A481" t="str">
            <v>DIRECTION CENTRALE DE LA PRODUCTION ET DE L'ANTENNE</v>
          </cell>
          <cell r="B481" t="str">
            <v>ALAOULA</v>
          </cell>
          <cell r="C481" t="str">
            <v>MARCHES</v>
          </cell>
          <cell r="D481">
            <v>2018</v>
          </cell>
          <cell r="E481" t="str">
            <v>Fonctionnement</v>
          </cell>
          <cell r="F481">
            <v>0</v>
          </cell>
        </row>
        <row r="482">
          <cell r="A482" t="str">
            <v>DIRECTION DE LA QUATRIEME</v>
          </cell>
          <cell r="B482" t="str">
            <v>QUATRIEME</v>
          </cell>
          <cell r="C482" t="str">
            <v>MARCHES</v>
          </cell>
          <cell r="D482">
            <v>2018</v>
          </cell>
          <cell r="E482" t="str">
            <v>Fonctionnement</v>
          </cell>
          <cell r="F482">
            <v>0</v>
          </cell>
        </row>
        <row r="483">
          <cell r="A483" t="str">
            <v>DIRECTION DES CHAÎNES CORANIQUES TV RADIO</v>
          </cell>
          <cell r="B483" t="str">
            <v>ASSADISSA ET RADIO COR</v>
          </cell>
          <cell r="C483" t="str">
            <v>MARCHES</v>
          </cell>
          <cell r="D483">
            <v>2018</v>
          </cell>
          <cell r="E483" t="str">
            <v>Fonctionnement</v>
          </cell>
          <cell r="F483">
            <v>0</v>
          </cell>
        </row>
        <row r="484">
          <cell r="A484" t="str">
            <v>DIRECTION DES SYSTEMES D'INFORMATION</v>
          </cell>
          <cell r="B484" t="str">
            <v>DSI</v>
          </cell>
          <cell r="C484" t="str">
            <v>MARCHES</v>
          </cell>
          <cell r="D484">
            <v>2018</v>
          </cell>
          <cell r="E484" t="str">
            <v>Fonctionnement</v>
          </cell>
          <cell r="F484">
            <v>1.7197844199999999</v>
          </cell>
        </row>
        <row r="485">
          <cell r="A485" t="str">
            <v>DIRECTION TECHNIQUE</v>
          </cell>
          <cell r="B485" t="str">
            <v>TECHNIQUE</v>
          </cell>
          <cell r="C485" t="str">
            <v>MARCHES</v>
          </cell>
          <cell r="D485">
            <v>2019</v>
          </cell>
          <cell r="E485" t="str">
            <v>Fonctionnement</v>
          </cell>
          <cell r="F485">
            <v>0</v>
          </cell>
        </row>
        <row r="486">
          <cell r="A486" t="str">
            <v>DIRECTION DE LA TELEDIFFUSION</v>
          </cell>
          <cell r="B486" t="str">
            <v>TELEDIFFUSION</v>
          </cell>
          <cell r="C486" t="str">
            <v>MARCHES</v>
          </cell>
          <cell r="D486">
            <v>2019</v>
          </cell>
          <cell r="E486" t="str">
            <v>Fonctionnement</v>
          </cell>
          <cell r="F486">
            <v>16.47931711152</v>
          </cell>
        </row>
        <row r="487">
          <cell r="A487" t="str">
            <v>DIRECTION DES ACHATS</v>
          </cell>
          <cell r="B487" t="str">
            <v>ACHATS</v>
          </cell>
          <cell r="C487" t="str">
            <v>MARCHES</v>
          </cell>
          <cell r="D487">
            <v>2019</v>
          </cell>
          <cell r="E487" t="str">
            <v>Fonctionnement</v>
          </cell>
          <cell r="F487">
            <v>0</v>
          </cell>
        </row>
        <row r="488">
          <cell r="A488" t="str">
            <v>DIRECTION FINANCIERE</v>
          </cell>
          <cell r="B488" t="str">
            <v>FINANCES</v>
          </cell>
          <cell r="C488" t="str">
            <v>MARCHES</v>
          </cell>
          <cell r="D488">
            <v>2019</v>
          </cell>
          <cell r="E488" t="str">
            <v>Fonctionnement</v>
          </cell>
          <cell r="F488">
            <v>0</v>
          </cell>
        </row>
        <row r="489">
          <cell r="A489" t="str">
            <v>DIRECTION DES RESSOURCES HUMAINES</v>
          </cell>
          <cell r="B489" t="str">
            <v>RESSOURCES HUMAINES</v>
          </cell>
          <cell r="C489" t="str">
            <v>MARCHES</v>
          </cell>
          <cell r="D489">
            <v>2019</v>
          </cell>
          <cell r="E489" t="str">
            <v>Fonctionnement</v>
          </cell>
          <cell r="F489">
            <v>1.6292605799999997</v>
          </cell>
        </row>
        <row r="490">
          <cell r="A490" t="str">
            <v>DIRECTION DU PATRIMOINE  ET DES MOYENS GENERAUX</v>
          </cell>
          <cell r="B490" t="str">
            <v>DPMG</v>
          </cell>
          <cell r="C490" t="str">
            <v>MARCHES</v>
          </cell>
          <cell r="D490">
            <v>2019</v>
          </cell>
          <cell r="E490" t="str">
            <v>Fonctionnement</v>
          </cell>
          <cell r="F490">
            <v>49.43396382000001</v>
          </cell>
        </row>
        <row r="491">
          <cell r="A491" t="str">
            <v>DIRECTION JURIDIQUE</v>
          </cell>
          <cell r="B491" t="str">
            <v>JURIDIQUE</v>
          </cell>
          <cell r="C491" t="str">
            <v>MARCHES</v>
          </cell>
          <cell r="D491">
            <v>2019</v>
          </cell>
          <cell r="E491" t="str">
            <v>Fonctionnement</v>
          </cell>
          <cell r="F491">
            <v>0</v>
          </cell>
        </row>
        <row r="492">
          <cell r="A492" t="str">
            <v>DIRECTION CHARGEE DES RELATIONS INTERNATIONALES</v>
          </cell>
          <cell r="B492" t="str">
            <v>DRI</v>
          </cell>
          <cell r="C492" t="str">
            <v>MARCHES</v>
          </cell>
          <cell r="D492">
            <v>2019</v>
          </cell>
          <cell r="E492" t="str">
            <v>Fonctionnement</v>
          </cell>
          <cell r="F492">
            <v>0</v>
          </cell>
        </row>
        <row r="493">
          <cell r="A493" t="str">
            <v>DIRECTION DE L'AUDIT ET DU CONTRÔLE DE LA GESTION</v>
          </cell>
          <cell r="B493" t="str">
            <v>AUDIT ET CONTRÔLE DE LA GESTION</v>
          </cell>
          <cell r="C493" t="str">
            <v>MARCHES</v>
          </cell>
          <cell r="D493">
            <v>2019</v>
          </cell>
          <cell r="E493" t="str">
            <v>Fonctionnement</v>
          </cell>
          <cell r="F493">
            <v>0</v>
          </cell>
        </row>
        <row r="494">
          <cell r="A494" t="str">
            <v>DIRECTION DE L’INFORMATION RADIO</v>
          </cell>
          <cell r="B494" t="str">
            <v>INFORMATION RADIO</v>
          </cell>
          <cell r="C494" t="str">
            <v>MARCHES</v>
          </cell>
          <cell r="D494">
            <v>2019</v>
          </cell>
          <cell r="E494" t="str">
            <v>Fonctionnement</v>
          </cell>
          <cell r="F494">
            <v>0</v>
          </cell>
        </row>
        <row r="495">
          <cell r="A495" t="str">
            <v>DIRECTION DE L’INFORMATION TV</v>
          </cell>
          <cell r="B495" t="str">
            <v>INFORMATION TV</v>
          </cell>
          <cell r="C495" t="str">
            <v>MARCHES</v>
          </cell>
          <cell r="D495">
            <v>2019</v>
          </cell>
          <cell r="E495" t="str">
            <v>Fonctionnement</v>
          </cell>
          <cell r="F495">
            <v>0</v>
          </cell>
        </row>
        <row r="496">
          <cell r="A496" t="str">
            <v>DIRECTION DE LA PRODUCTION ET DE LA PROGRAMMATION RADIO</v>
          </cell>
          <cell r="B496" t="str">
            <v>RADIO PROD PROG</v>
          </cell>
          <cell r="C496" t="str">
            <v>MARCHES</v>
          </cell>
          <cell r="D496">
            <v>2019</v>
          </cell>
          <cell r="E496" t="str">
            <v>Fonctionnement</v>
          </cell>
          <cell r="F496">
            <v>0</v>
          </cell>
        </row>
        <row r="497">
          <cell r="A497" t="str">
            <v>DIRECTION DE LA REGIE PUBLICITAIRE ET DES SOLUTIONS DIGITALES</v>
          </cell>
          <cell r="B497" t="str">
            <v xml:space="preserve">REGIE PUBLICITAIRE </v>
          </cell>
          <cell r="C497" t="str">
            <v>MARCHES</v>
          </cell>
          <cell r="D497">
            <v>2019</v>
          </cell>
          <cell r="E497" t="str">
            <v>Fonctionnement</v>
          </cell>
          <cell r="F497">
            <v>0.66187503199999997</v>
          </cell>
        </row>
        <row r="498">
          <cell r="A498" t="str">
            <v>DIRECTION MARKETING ET PROGRAMATION TV</v>
          </cell>
          <cell r="B498" t="str">
            <v>MARKETING ET PROG TV</v>
          </cell>
          <cell r="C498" t="str">
            <v>MARCHES</v>
          </cell>
          <cell r="D498">
            <v>2019</v>
          </cell>
          <cell r="E498" t="str">
            <v>Fonctionnement</v>
          </cell>
          <cell r="F498">
            <v>23.515080000000001</v>
          </cell>
        </row>
        <row r="499">
          <cell r="A499" t="str">
            <v>DIRECTION DE LA COMMUNICATION</v>
          </cell>
          <cell r="B499" t="str">
            <v>COMMUNICATION</v>
          </cell>
          <cell r="C499" t="str">
            <v>MARCHES</v>
          </cell>
          <cell r="D499">
            <v>2019</v>
          </cell>
          <cell r="E499" t="str">
            <v>Fonctionnement</v>
          </cell>
          <cell r="F499">
            <v>0</v>
          </cell>
        </row>
        <row r="500">
          <cell r="A500" t="str">
            <v>DIRECTION ALMAGHRIBIA</v>
          </cell>
          <cell r="B500" t="str">
            <v>ALMAGHRIBIA</v>
          </cell>
          <cell r="C500" t="str">
            <v>MARCHES</v>
          </cell>
          <cell r="D500">
            <v>2019</v>
          </cell>
          <cell r="E500" t="str">
            <v>Fonctionnement</v>
          </cell>
          <cell r="F500">
            <v>0</v>
          </cell>
        </row>
        <row r="501">
          <cell r="A501" t="str">
            <v xml:space="preserve">DIRECTION CENTRALE DE LA CHAINE TV LAAYOUNE </v>
          </cell>
          <cell r="B501" t="str">
            <v xml:space="preserve">LAAYOUNE </v>
          </cell>
          <cell r="C501" t="str">
            <v>MARCHES</v>
          </cell>
          <cell r="D501">
            <v>2019</v>
          </cell>
          <cell r="E501" t="str">
            <v>Fonctionnement</v>
          </cell>
          <cell r="F501">
            <v>0</v>
          </cell>
        </row>
        <row r="502">
          <cell r="A502" t="str">
            <v>DIRECTION CENTRALE DE LA CHAÎNE ARRYADIA</v>
          </cell>
          <cell r="B502" t="str">
            <v>ARRYADIA</v>
          </cell>
          <cell r="C502" t="str">
            <v>MARCHES</v>
          </cell>
          <cell r="D502">
            <v>2019</v>
          </cell>
          <cell r="E502" t="str">
            <v>Fonctionnement</v>
          </cell>
          <cell r="F502">
            <v>0.761463</v>
          </cell>
        </row>
        <row r="503">
          <cell r="A503" t="str">
            <v>DIRECTION CENTRALE DE LA CHAÎNE TAMAZIGHT</v>
          </cell>
          <cell r="B503" t="str">
            <v>TAMAZIGHT</v>
          </cell>
          <cell r="C503" t="str">
            <v>MARCHES</v>
          </cell>
          <cell r="D503">
            <v>2019</v>
          </cell>
          <cell r="E503" t="str">
            <v>Fonctionnement</v>
          </cell>
          <cell r="F503">
            <v>0</v>
          </cell>
        </row>
        <row r="504">
          <cell r="A504" t="str">
            <v>DIRECTION CENTRALE DE LA PRODUCTION ET DE L'ANTENNE</v>
          </cell>
          <cell r="B504" t="str">
            <v>ALAOULA</v>
          </cell>
          <cell r="C504" t="str">
            <v>MARCHES</v>
          </cell>
          <cell r="D504">
            <v>2019</v>
          </cell>
          <cell r="E504" t="str">
            <v>Fonctionnement</v>
          </cell>
          <cell r="F504">
            <v>0</v>
          </cell>
        </row>
        <row r="505">
          <cell r="A505" t="str">
            <v>DIRECTION DE LA QUATRIEME</v>
          </cell>
          <cell r="B505" t="str">
            <v>QUATRIEME</v>
          </cell>
          <cell r="C505" t="str">
            <v>MARCHES</v>
          </cell>
          <cell r="D505">
            <v>2019</v>
          </cell>
          <cell r="E505" t="str">
            <v>Fonctionnement</v>
          </cell>
          <cell r="F505">
            <v>0</v>
          </cell>
        </row>
        <row r="506">
          <cell r="A506" t="str">
            <v>DIRECTION DES CHAÎNES CORANIQUES TV RADIO</v>
          </cell>
          <cell r="B506" t="str">
            <v>ASSADISSA ET RADIO COR</v>
          </cell>
          <cell r="C506" t="str">
            <v>MARCHES</v>
          </cell>
          <cell r="D506">
            <v>2019</v>
          </cell>
          <cell r="E506" t="str">
            <v>Fonctionnement</v>
          </cell>
          <cell r="F506">
            <v>0</v>
          </cell>
        </row>
        <row r="507">
          <cell r="A507" t="str">
            <v>DIRECTION DES SYSTEMES D'INFORMATION</v>
          </cell>
          <cell r="B507" t="str">
            <v>DSI</v>
          </cell>
          <cell r="C507" t="str">
            <v>MARCHES</v>
          </cell>
          <cell r="D507">
            <v>2019</v>
          </cell>
          <cell r="E507" t="str">
            <v>Fonctionnement</v>
          </cell>
          <cell r="F507">
            <v>0.72375682000000008</v>
          </cell>
        </row>
        <row r="508">
          <cell r="A508" t="str">
            <v>DIRECTION TECHNIQUE</v>
          </cell>
          <cell r="B508" t="str">
            <v>TECHNIQUE</v>
          </cell>
          <cell r="C508" t="str">
            <v>MARCHES</v>
          </cell>
          <cell r="D508">
            <v>2020</v>
          </cell>
          <cell r="E508" t="str">
            <v>Fonctionnement</v>
          </cell>
          <cell r="F508">
            <v>0</v>
          </cell>
        </row>
        <row r="509">
          <cell r="A509" t="str">
            <v>DIRECTION DE LA TELEDIFFUSION</v>
          </cell>
          <cell r="B509" t="str">
            <v>TELEDIFFUSION</v>
          </cell>
          <cell r="C509" t="str">
            <v>MARCHES</v>
          </cell>
          <cell r="D509">
            <v>2020</v>
          </cell>
          <cell r="E509" t="str">
            <v>Fonctionnement</v>
          </cell>
          <cell r="F509">
            <v>3.0643199999999999</v>
          </cell>
        </row>
        <row r="510">
          <cell r="A510" t="str">
            <v>DIRECTION DES ACHATS</v>
          </cell>
          <cell r="B510" t="str">
            <v>ACHATS</v>
          </cell>
          <cell r="C510" t="str">
            <v>MARCHES</v>
          </cell>
          <cell r="D510">
            <v>2020</v>
          </cell>
          <cell r="E510" t="str">
            <v>Fonctionnement</v>
          </cell>
          <cell r="F510">
            <v>0</v>
          </cell>
        </row>
        <row r="511">
          <cell r="A511" t="str">
            <v>DIRECTION FINANCIERE</v>
          </cell>
          <cell r="B511" t="str">
            <v>FINANCES</v>
          </cell>
          <cell r="C511" t="str">
            <v>MARCHES</v>
          </cell>
          <cell r="D511">
            <v>2020</v>
          </cell>
          <cell r="E511" t="str">
            <v>Fonctionnement</v>
          </cell>
          <cell r="F511">
            <v>0</v>
          </cell>
        </row>
        <row r="512">
          <cell r="A512" t="str">
            <v>DIRECTION DES RESSOURCES HUMAINES</v>
          </cell>
          <cell r="B512" t="str">
            <v>RESSOURCES HUMAINES</v>
          </cell>
          <cell r="C512" t="str">
            <v>MARCHES</v>
          </cell>
          <cell r="D512">
            <v>2020</v>
          </cell>
          <cell r="E512" t="str">
            <v>Fonctionnement</v>
          </cell>
          <cell r="F512">
            <v>1.4737933799999998</v>
          </cell>
        </row>
        <row r="513">
          <cell r="A513" t="str">
            <v>DIRECTION DU PATRIMOINE  ET DES MOYENS GENERAUX</v>
          </cell>
          <cell r="B513" t="str">
            <v>DPMG</v>
          </cell>
          <cell r="C513" t="str">
            <v>MARCHES</v>
          </cell>
          <cell r="D513">
            <v>2020</v>
          </cell>
          <cell r="E513" t="str">
            <v>Fonctionnement</v>
          </cell>
          <cell r="F513">
            <v>44.410517579999997</v>
          </cell>
        </row>
        <row r="514">
          <cell r="A514" t="str">
            <v>DIRECTION JURIDIQUE</v>
          </cell>
          <cell r="B514" t="str">
            <v>JURIDIQUE</v>
          </cell>
          <cell r="C514" t="str">
            <v>MARCHES</v>
          </cell>
          <cell r="D514">
            <v>2020</v>
          </cell>
          <cell r="E514" t="str">
            <v>Fonctionnement</v>
          </cell>
          <cell r="F514">
            <v>0</v>
          </cell>
        </row>
        <row r="515">
          <cell r="A515" t="str">
            <v>DIRECTION CHARGEE DES RELATIONS INTERNATIONALES</v>
          </cell>
          <cell r="B515" t="str">
            <v>DRI</v>
          </cell>
          <cell r="C515" t="str">
            <v>MARCHES</v>
          </cell>
          <cell r="D515">
            <v>2020</v>
          </cell>
          <cell r="E515" t="str">
            <v>Fonctionnement</v>
          </cell>
          <cell r="F515">
            <v>0</v>
          </cell>
        </row>
        <row r="516">
          <cell r="A516" t="str">
            <v>DIRECTION DE L'AUDIT ET DU CONTRÔLE DE LA GESTION</v>
          </cell>
          <cell r="B516" t="str">
            <v>AUDIT ET CONTRÔLE DE LA GESTION</v>
          </cell>
          <cell r="C516" t="str">
            <v>MARCHES</v>
          </cell>
          <cell r="D516">
            <v>2020</v>
          </cell>
          <cell r="E516" t="str">
            <v>Fonctionnement</v>
          </cell>
          <cell r="F516">
            <v>0</v>
          </cell>
        </row>
        <row r="517">
          <cell r="A517" t="str">
            <v>DIRECTION DE L’INFORMATION RADIO</v>
          </cell>
          <cell r="B517" t="str">
            <v>INFORMATION RADIO</v>
          </cell>
          <cell r="C517" t="str">
            <v>MARCHES</v>
          </cell>
          <cell r="D517">
            <v>2020</v>
          </cell>
          <cell r="E517" t="str">
            <v>Fonctionnement</v>
          </cell>
          <cell r="F517">
            <v>0</v>
          </cell>
        </row>
        <row r="518">
          <cell r="A518" t="str">
            <v>DIRECTION DE L’INFORMATION TV</v>
          </cell>
          <cell r="B518" t="str">
            <v>INFORMATION TV</v>
          </cell>
          <cell r="C518" t="str">
            <v>MARCHES</v>
          </cell>
          <cell r="D518">
            <v>2020</v>
          </cell>
          <cell r="E518" t="str">
            <v>Fonctionnement</v>
          </cell>
          <cell r="F518">
            <v>0</v>
          </cell>
        </row>
        <row r="519">
          <cell r="A519" t="str">
            <v>DIRECTION DE LA PRODUCTION ET DE LA PROGRAMMATION RADIO</v>
          </cell>
          <cell r="B519" t="str">
            <v>RADIO PROD PROG</v>
          </cell>
          <cell r="C519" t="str">
            <v>MARCHES</v>
          </cell>
          <cell r="D519">
            <v>2020</v>
          </cell>
          <cell r="E519" t="str">
            <v>Fonctionnement</v>
          </cell>
          <cell r="F519">
            <v>0</v>
          </cell>
        </row>
        <row r="520">
          <cell r="A520" t="str">
            <v>DIRECTION DE LA REGIE PUBLICITAIRE ET DES SOLUTIONS DIGITALES</v>
          </cell>
          <cell r="B520" t="str">
            <v xml:space="preserve">REGIE PUBLICITAIRE </v>
          </cell>
          <cell r="C520" t="str">
            <v>MARCHES</v>
          </cell>
          <cell r="D520">
            <v>2020</v>
          </cell>
          <cell r="E520" t="str">
            <v>Fonctionnement</v>
          </cell>
          <cell r="F520">
            <v>0.69694076999999999</v>
          </cell>
        </row>
        <row r="521">
          <cell r="A521" t="str">
            <v>DIRECTION MARKETING ET PROGRAMATION TV</v>
          </cell>
          <cell r="B521" t="str">
            <v>MARKETING ET PROG TV</v>
          </cell>
          <cell r="C521" t="str">
            <v>MARCHES</v>
          </cell>
          <cell r="D521">
            <v>2020</v>
          </cell>
          <cell r="E521" t="str">
            <v>Fonctionnement</v>
          </cell>
          <cell r="F521">
            <v>1.7292000000000001</v>
          </cell>
        </row>
        <row r="522">
          <cell r="A522" t="str">
            <v>DIRECTION DE LA COMMUNICATION</v>
          </cell>
          <cell r="B522" t="str">
            <v>COMMUNICATION</v>
          </cell>
          <cell r="C522" t="str">
            <v>MARCHES</v>
          </cell>
          <cell r="D522">
            <v>2020</v>
          </cell>
          <cell r="E522" t="str">
            <v>Fonctionnement</v>
          </cell>
          <cell r="F522">
            <v>0</v>
          </cell>
        </row>
        <row r="523">
          <cell r="A523" t="str">
            <v>DIRECTION ALMAGHRIBIA</v>
          </cell>
          <cell r="B523" t="str">
            <v>ALMAGHRIBIA</v>
          </cell>
          <cell r="C523" t="str">
            <v>MARCHES</v>
          </cell>
          <cell r="D523">
            <v>2020</v>
          </cell>
          <cell r="E523" t="str">
            <v>Fonctionnement</v>
          </cell>
          <cell r="F523">
            <v>0</v>
          </cell>
        </row>
        <row r="524">
          <cell r="A524" t="str">
            <v xml:space="preserve">DIRECTION CENTRALE DE LA CHAINE TV LAAYOUNE </v>
          </cell>
          <cell r="B524" t="str">
            <v xml:space="preserve">LAAYOUNE </v>
          </cell>
          <cell r="C524" t="str">
            <v>MARCHES</v>
          </cell>
          <cell r="D524">
            <v>2020</v>
          </cell>
          <cell r="E524" t="str">
            <v>Fonctionnement</v>
          </cell>
          <cell r="F524">
            <v>0</v>
          </cell>
        </row>
        <row r="525">
          <cell r="A525" t="str">
            <v>DIRECTION CENTRALE DE LA CHAÎNE ARRYADIA</v>
          </cell>
          <cell r="B525" t="str">
            <v>ARRYADIA</v>
          </cell>
          <cell r="C525" t="str">
            <v>MARCHES</v>
          </cell>
          <cell r="D525">
            <v>2020</v>
          </cell>
          <cell r="E525" t="str">
            <v>Fonctionnement</v>
          </cell>
          <cell r="F525">
            <v>0</v>
          </cell>
        </row>
        <row r="526">
          <cell r="A526" t="str">
            <v>DIRECTION CENTRALE DE LA CHAÎNE TAMAZIGHT</v>
          </cell>
          <cell r="B526" t="str">
            <v>TAMAZIGHT</v>
          </cell>
          <cell r="C526" t="str">
            <v>MARCHES</v>
          </cell>
          <cell r="D526">
            <v>2020</v>
          </cell>
          <cell r="E526" t="str">
            <v>Fonctionnement</v>
          </cell>
          <cell r="F526">
            <v>0</v>
          </cell>
        </row>
        <row r="527">
          <cell r="A527" t="str">
            <v>DIRECTION CENTRALE DE LA PRODUCTION ET DE L'ANTENNE</v>
          </cell>
          <cell r="B527" t="str">
            <v>ALAOULA</v>
          </cell>
          <cell r="C527" t="str">
            <v>MARCHES</v>
          </cell>
          <cell r="D527">
            <v>2020</v>
          </cell>
          <cell r="E527" t="str">
            <v>Fonctionnement</v>
          </cell>
          <cell r="F527">
            <v>0</v>
          </cell>
        </row>
        <row r="528">
          <cell r="A528" t="str">
            <v>DIRECTION DE LA QUATRIEME</v>
          </cell>
          <cell r="B528" t="str">
            <v>QUATRIEME</v>
          </cell>
          <cell r="C528" t="str">
            <v>MARCHES</v>
          </cell>
          <cell r="D528">
            <v>2020</v>
          </cell>
          <cell r="E528" t="str">
            <v>Fonctionnement</v>
          </cell>
          <cell r="F528">
            <v>0</v>
          </cell>
        </row>
        <row r="529">
          <cell r="A529" t="str">
            <v>DIRECTION DES CHAÎNES CORANIQUES TV RADIO</v>
          </cell>
          <cell r="B529" t="str">
            <v>ASSADISSA ET RADIO COR</v>
          </cell>
          <cell r="C529" t="str">
            <v>MARCHES</v>
          </cell>
          <cell r="D529">
            <v>2020</v>
          </cell>
          <cell r="E529" t="str">
            <v>Fonctionnement</v>
          </cell>
          <cell r="F529">
            <v>0</v>
          </cell>
        </row>
        <row r="530">
          <cell r="A530" t="str">
            <v>DIRECTION DES SYSTEMES D'INFORMATION</v>
          </cell>
          <cell r="B530" t="str">
            <v>DSI</v>
          </cell>
          <cell r="C530" t="str">
            <v>MARCHES</v>
          </cell>
          <cell r="D530">
            <v>2020</v>
          </cell>
          <cell r="E530" t="str">
            <v>Fonctionnement</v>
          </cell>
          <cell r="F530">
            <v>1.80873682</v>
          </cell>
        </row>
        <row r="531">
          <cell r="A531" t="str">
            <v>DIRECTION TECHNIQUE</v>
          </cell>
          <cell r="B531" t="str">
            <v>TECHNIQUE</v>
          </cell>
          <cell r="C531" t="str">
            <v>MARCHES</v>
          </cell>
          <cell r="D531">
            <v>2021</v>
          </cell>
          <cell r="E531" t="str">
            <v>Fonctionnement</v>
          </cell>
          <cell r="F531">
            <v>3.6</v>
          </cell>
        </row>
        <row r="532">
          <cell r="A532" t="str">
            <v>DIRECTION DE LA TELEDIFFUSION</v>
          </cell>
          <cell r="B532" t="str">
            <v>TELEDIFFUSION</v>
          </cell>
          <cell r="C532" t="str">
            <v>MARCHES</v>
          </cell>
          <cell r="D532">
            <v>2021</v>
          </cell>
          <cell r="E532" t="str">
            <v>Fonctionnement</v>
          </cell>
          <cell r="F532">
            <v>12.820499999999999</v>
          </cell>
        </row>
        <row r="533">
          <cell r="A533" t="str">
            <v>DIRECTION DES ACHATS</v>
          </cell>
          <cell r="B533" t="str">
            <v>ACHATS</v>
          </cell>
          <cell r="C533" t="str">
            <v>MARCHES</v>
          </cell>
          <cell r="D533">
            <v>2021</v>
          </cell>
          <cell r="E533" t="str">
            <v>Fonctionnement</v>
          </cell>
          <cell r="F533">
            <v>0</v>
          </cell>
        </row>
        <row r="534">
          <cell r="A534" t="str">
            <v>DIRECTION FINANCIERE</v>
          </cell>
          <cell r="B534" t="str">
            <v>FINANCES</v>
          </cell>
          <cell r="C534" t="str">
            <v>MARCHES</v>
          </cell>
          <cell r="D534">
            <v>2021</v>
          </cell>
          <cell r="E534" t="str">
            <v>Fonctionnement</v>
          </cell>
          <cell r="F534">
            <v>0</v>
          </cell>
        </row>
        <row r="535">
          <cell r="A535" t="str">
            <v>DIRECTION DES RESSOURCES HUMAINES</v>
          </cell>
          <cell r="B535" t="str">
            <v>RESSOURCES HUMAINES</v>
          </cell>
          <cell r="C535" t="str">
            <v>MARCHES</v>
          </cell>
          <cell r="D535">
            <v>2021</v>
          </cell>
          <cell r="E535" t="str">
            <v>Fonctionnement</v>
          </cell>
          <cell r="F535">
            <v>3.7606000000000002</v>
          </cell>
        </row>
        <row r="536">
          <cell r="A536" t="str">
            <v>DIRECTION DU PATRIMOINE  ET DES MOYENS GENERAUX</v>
          </cell>
          <cell r="B536" t="str">
            <v>DPMG</v>
          </cell>
          <cell r="C536" t="str">
            <v>MARCHES</v>
          </cell>
          <cell r="D536">
            <v>2021</v>
          </cell>
          <cell r="E536" t="str">
            <v>Fonctionnement</v>
          </cell>
          <cell r="F536">
            <v>48.145294249999999</v>
          </cell>
        </row>
        <row r="537">
          <cell r="A537" t="str">
            <v>DIRECTION JURIDIQUE</v>
          </cell>
          <cell r="B537" t="str">
            <v>JURIDIQUE</v>
          </cell>
          <cell r="C537" t="str">
            <v>MARCHES</v>
          </cell>
          <cell r="D537">
            <v>2021</v>
          </cell>
          <cell r="E537" t="str">
            <v>Fonctionnement</v>
          </cell>
          <cell r="F537">
            <v>0</v>
          </cell>
        </row>
        <row r="538">
          <cell r="A538" t="str">
            <v>DIRECTION CHARGEE DES RELATIONS INTERNATIONALES</v>
          </cell>
          <cell r="B538" t="str">
            <v>DRI</v>
          </cell>
          <cell r="C538" t="str">
            <v>MARCHES</v>
          </cell>
          <cell r="D538">
            <v>2021</v>
          </cell>
          <cell r="E538" t="str">
            <v>Fonctionnement</v>
          </cell>
          <cell r="F538">
            <v>0</v>
          </cell>
        </row>
        <row r="539">
          <cell r="A539" t="str">
            <v>DIRECTION DE L'AUDIT ET DU CONTRÔLE DE LA GESTION</v>
          </cell>
          <cell r="B539" t="str">
            <v>AUDIT ET CONTRÔLE DE LA GESTION</v>
          </cell>
          <cell r="C539" t="str">
            <v>MARCHES</v>
          </cell>
          <cell r="D539">
            <v>2021</v>
          </cell>
          <cell r="E539" t="str">
            <v>Fonctionnement</v>
          </cell>
          <cell r="F539">
            <v>0</v>
          </cell>
        </row>
        <row r="540">
          <cell r="A540" t="str">
            <v>DIRECTION DE L’INFORMATION RADIO</v>
          </cell>
          <cell r="B540" t="str">
            <v>INFORMATION RADIO</v>
          </cell>
          <cell r="C540" t="str">
            <v>MARCHES</v>
          </cell>
          <cell r="D540">
            <v>2021</v>
          </cell>
          <cell r="E540" t="str">
            <v>Fonctionnement</v>
          </cell>
          <cell r="F540">
            <v>0</v>
          </cell>
        </row>
        <row r="541">
          <cell r="A541" t="str">
            <v>DIRECTION DE L’INFORMATION TV</v>
          </cell>
          <cell r="B541" t="str">
            <v>INFORMATION TV</v>
          </cell>
          <cell r="C541" t="str">
            <v>MARCHES</v>
          </cell>
          <cell r="D541">
            <v>2021</v>
          </cell>
          <cell r="E541" t="str">
            <v>Fonctionnement</v>
          </cell>
          <cell r="F541">
            <v>0.17843999999999999</v>
          </cell>
        </row>
        <row r="542">
          <cell r="A542" t="str">
            <v>DIRECTION DE LA PRODUCTION ET DE LA PROGRAMMATION RADIO</v>
          </cell>
          <cell r="B542" t="str">
            <v>RADIO PROD PROG</v>
          </cell>
          <cell r="C542" t="str">
            <v>MARCHES</v>
          </cell>
          <cell r="D542">
            <v>2021</v>
          </cell>
          <cell r="E542" t="str">
            <v>Fonctionnement</v>
          </cell>
          <cell r="F542">
            <v>0</v>
          </cell>
        </row>
        <row r="543">
          <cell r="A543" t="str">
            <v>DIRECTION DE LA REGIE PUBLICITAIRE ET DES SOLUTIONS DIGITALES</v>
          </cell>
          <cell r="B543" t="str">
            <v xml:space="preserve">REGIE PUBLICITAIRE </v>
          </cell>
          <cell r="C543" t="str">
            <v>MARCHES</v>
          </cell>
          <cell r="D543">
            <v>2021</v>
          </cell>
          <cell r="E543" t="str">
            <v>Fonctionnement</v>
          </cell>
          <cell r="F543">
            <v>0.24740000000000001</v>
          </cell>
        </row>
        <row r="544">
          <cell r="A544" t="str">
            <v>DIRECTION MARKETING ET PROGRAMATION TV</v>
          </cell>
          <cell r="B544" t="str">
            <v>MARKETING ET PROG TV</v>
          </cell>
          <cell r="C544" t="str">
            <v>MARCHES</v>
          </cell>
          <cell r="D544">
            <v>2021</v>
          </cell>
          <cell r="E544" t="str">
            <v>Fonctionnement</v>
          </cell>
          <cell r="F544">
            <v>15.1214</v>
          </cell>
        </row>
        <row r="545">
          <cell r="A545" t="str">
            <v>DIRECTION DE LA COMMUNICATION</v>
          </cell>
          <cell r="B545" t="str">
            <v>COMMUNICATION</v>
          </cell>
          <cell r="C545" t="str">
            <v>MARCHES</v>
          </cell>
          <cell r="D545">
            <v>2021</v>
          </cell>
          <cell r="E545" t="str">
            <v>Fonctionnement</v>
          </cell>
          <cell r="F545">
            <v>1.976</v>
          </cell>
        </row>
        <row r="546">
          <cell r="A546" t="str">
            <v>DIRECTION ALMAGHRIBIA</v>
          </cell>
          <cell r="B546" t="str">
            <v>ALMAGHRIBIA</v>
          </cell>
          <cell r="C546" t="str">
            <v>MARCHES</v>
          </cell>
          <cell r="D546">
            <v>2021</v>
          </cell>
          <cell r="E546" t="str">
            <v>Fonctionnement</v>
          </cell>
          <cell r="F546">
            <v>0</v>
          </cell>
        </row>
        <row r="547">
          <cell r="A547" t="str">
            <v xml:space="preserve">DIRECTION CENTRALE DE LA CHAINE TV LAAYOUNE </v>
          </cell>
          <cell r="B547" t="str">
            <v xml:space="preserve">LAAYOUNE </v>
          </cell>
          <cell r="C547" t="str">
            <v>MARCHES</v>
          </cell>
          <cell r="D547">
            <v>2021</v>
          </cell>
          <cell r="E547" t="str">
            <v>Fonctionnement</v>
          </cell>
          <cell r="F547">
            <v>0.75114999999999998</v>
          </cell>
        </row>
        <row r="548">
          <cell r="A548" t="str">
            <v>DIRECTION CENTRALE DE LA CHAÎNE ARRYADIA</v>
          </cell>
          <cell r="B548" t="str">
            <v>ARRYADIA</v>
          </cell>
          <cell r="C548" t="str">
            <v>MARCHES</v>
          </cell>
          <cell r="D548">
            <v>2021</v>
          </cell>
          <cell r="E548" t="str">
            <v>Fonctionnement</v>
          </cell>
          <cell r="F548">
            <v>0</v>
          </cell>
        </row>
        <row r="549">
          <cell r="A549" t="str">
            <v>DIRECTION CENTRALE DE LA CHAÎNE TAMAZIGHT</v>
          </cell>
          <cell r="B549" t="str">
            <v>TAMAZIGHT</v>
          </cell>
          <cell r="C549" t="str">
            <v>MARCHES</v>
          </cell>
          <cell r="D549">
            <v>2021</v>
          </cell>
          <cell r="E549" t="str">
            <v>Fonctionnement</v>
          </cell>
          <cell r="F549">
            <v>0</v>
          </cell>
        </row>
        <row r="550">
          <cell r="A550" t="str">
            <v>DIRECTION CENTRALE DE LA PRODUCTION ET DE L'ANTENNE</v>
          </cell>
          <cell r="B550" t="str">
            <v>ALAOULA</v>
          </cell>
          <cell r="C550" t="str">
            <v>MARCHES</v>
          </cell>
          <cell r="D550">
            <v>2021</v>
          </cell>
          <cell r="E550" t="str">
            <v>Fonctionnement</v>
          </cell>
          <cell r="F550">
            <v>2.4</v>
          </cell>
        </row>
        <row r="551">
          <cell r="A551" t="str">
            <v>DIRECTION DE LA QUATRIEME</v>
          </cell>
          <cell r="B551" t="str">
            <v>QUATRIEME</v>
          </cell>
          <cell r="C551" t="str">
            <v>MARCHES</v>
          </cell>
          <cell r="D551">
            <v>2021</v>
          </cell>
          <cell r="E551" t="str">
            <v>Fonctionnement</v>
          </cell>
          <cell r="F551">
            <v>0.18</v>
          </cell>
        </row>
        <row r="552">
          <cell r="A552" t="str">
            <v>DIRECTION DES CHAÎNES CORANIQUES TV RADIO</v>
          </cell>
          <cell r="B552" t="str">
            <v>ASSADISSA ET RADIO COR</v>
          </cell>
          <cell r="C552" t="str">
            <v>MARCHES</v>
          </cell>
          <cell r="D552">
            <v>2021</v>
          </cell>
          <cell r="E552" t="str">
            <v>Fonctionnement</v>
          </cell>
          <cell r="F552">
            <v>0</v>
          </cell>
        </row>
        <row r="553">
          <cell r="A553" t="str">
            <v>DIRECTION DES SYSTEMES D'INFORMATION</v>
          </cell>
          <cell r="B553" t="str">
            <v>DSI</v>
          </cell>
          <cell r="C553" t="str">
            <v>MARCHES</v>
          </cell>
          <cell r="D553">
            <v>2021</v>
          </cell>
          <cell r="E553" t="str">
            <v>Fonctionnement</v>
          </cell>
          <cell r="F553">
            <v>2.4473168199999997</v>
          </cell>
        </row>
        <row r="554">
          <cell r="A554" t="str">
            <v>DIRECTION TECHNIQUE</v>
          </cell>
          <cell r="B554" t="str">
            <v>TECHNIQUE</v>
          </cell>
          <cell r="C554" t="str">
            <v>CONTRAT</v>
          </cell>
          <cell r="D554">
            <v>2016</v>
          </cell>
          <cell r="E554" t="str">
            <v>Investissement</v>
          </cell>
          <cell r="F554">
            <v>0</v>
          </cell>
        </row>
        <row r="555">
          <cell r="A555" t="str">
            <v>DIRECTION DE LA TELEDIFFUSION</v>
          </cell>
          <cell r="B555" t="str">
            <v>TELEDIFFUSION</v>
          </cell>
          <cell r="C555" t="str">
            <v>CONTRAT</v>
          </cell>
          <cell r="D555">
            <v>2016</v>
          </cell>
          <cell r="E555" t="str">
            <v>Investissement</v>
          </cell>
          <cell r="F555">
            <v>0</v>
          </cell>
        </row>
        <row r="556">
          <cell r="A556" t="str">
            <v>DIRECTION DES ACHATS</v>
          </cell>
          <cell r="B556" t="str">
            <v>ACHATS</v>
          </cell>
          <cell r="C556" t="str">
            <v>CONTRAT</v>
          </cell>
          <cell r="D556">
            <v>2016</v>
          </cell>
          <cell r="E556" t="str">
            <v>Investissement</v>
          </cell>
          <cell r="F556">
            <v>0</v>
          </cell>
        </row>
        <row r="557">
          <cell r="A557" t="str">
            <v>DIRECTION FINANCIERE</v>
          </cell>
          <cell r="B557" t="str">
            <v>FINANCES</v>
          </cell>
          <cell r="C557" t="str">
            <v>CONTRAT</v>
          </cell>
          <cell r="D557">
            <v>2016</v>
          </cell>
          <cell r="E557" t="str">
            <v>Investissement</v>
          </cell>
          <cell r="F557">
            <v>0</v>
          </cell>
        </row>
        <row r="558">
          <cell r="A558" t="str">
            <v>DIRECTION DES RESSOURCES HUMAINES</v>
          </cell>
          <cell r="B558" t="str">
            <v>RESSOURCES HUMAINES</v>
          </cell>
          <cell r="C558" t="str">
            <v>CONTRAT</v>
          </cell>
          <cell r="D558">
            <v>2016</v>
          </cell>
          <cell r="E558" t="str">
            <v>Investissement</v>
          </cell>
          <cell r="F558">
            <v>0</v>
          </cell>
        </row>
        <row r="559">
          <cell r="A559" t="str">
            <v>DIRECTION DU PATRIMOINE  ET DES MOYENS GENERAUX</v>
          </cell>
          <cell r="B559" t="str">
            <v>DPMG</v>
          </cell>
          <cell r="C559" t="str">
            <v>CONTRAT</v>
          </cell>
          <cell r="D559">
            <v>2016</v>
          </cell>
          <cell r="E559" t="str">
            <v>Investissement</v>
          </cell>
          <cell r="F559">
            <v>0</v>
          </cell>
        </row>
        <row r="560">
          <cell r="A560" t="str">
            <v>DIRECTION JURIDIQUE</v>
          </cell>
          <cell r="B560" t="str">
            <v>JURIDIQUE</v>
          </cell>
          <cell r="C560" t="str">
            <v>CONTRAT</v>
          </cell>
          <cell r="D560">
            <v>2016</v>
          </cell>
          <cell r="E560" t="str">
            <v>Investissement</v>
          </cell>
          <cell r="F560">
            <v>0</v>
          </cell>
        </row>
        <row r="561">
          <cell r="A561" t="str">
            <v>DIRECTION CHARGEE DES RELATIONS INTERNATIONALES</v>
          </cell>
          <cell r="B561" t="str">
            <v>DRI</v>
          </cell>
          <cell r="C561" t="str">
            <v>CONTRAT</v>
          </cell>
          <cell r="D561">
            <v>2016</v>
          </cell>
          <cell r="E561" t="str">
            <v>Investissement</v>
          </cell>
          <cell r="F561">
            <v>0</v>
          </cell>
        </row>
        <row r="562">
          <cell r="A562" t="str">
            <v>DIRECTION DE L'AUDIT ET DU CONTRÔLE DE LA GESTION</v>
          </cell>
          <cell r="B562" t="str">
            <v>AUDIT ET CONTRÔLE DE LA GESTION</v>
          </cell>
          <cell r="C562" t="str">
            <v>CONTRAT</v>
          </cell>
          <cell r="D562">
            <v>2016</v>
          </cell>
          <cell r="E562" t="str">
            <v>Investissement</v>
          </cell>
          <cell r="F562">
            <v>0</v>
          </cell>
        </row>
        <row r="563">
          <cell r="A563" t="str">
            <v>DIRECTION DE L’INFORMATION RADIO</v>
          </cell>
          <cell r="B563" t="str">
            <v>INFORMATION RADIO</v>
          </cell>
          <cell r="C563" t="str">
            <v>CONTRAT</v>
          </cell>
          <cell r="D563">
            <v>2016</v>
          </cell>
          <cell r="E563" t="str">
            <v>Investissement</v>
          </cell>
          <cell r="F563">
            <v>0</v>
          </cell>
        </row>
        <row r="564">
          <cell r="A564" t="str">
            <v>DIRECTION DE L’INFORMATION TV</v>
          </cell>
          <cell r="B564" t="str">
            <v>INFORMATION TV</v>
          </cell>
          <cell r="C564" t="str">
            <v>CONTRAT</v>
          </cell>
          <cell r="D564">
            <v>2016</v>
          </cell>
          <cell r="E564" t="str">
            <v>Investissement</v>
          </cell>
          <cell r="F564">
            <v>0</v>
          </cell>
        </row>
        <row r="565">
          <cell r="A565" t="str">
            <v>DIRECTION DE LA PRODUCTION ET DE LA PROGRAMMATION RADIO</v>
          </cell>
          <cell r="B565" t="str">
            <v>RADIO PROD PROG</v>
          </cell>
          <cell r="C565" t="str">
            <v>CONTRAT</v>
          </cell>
          <cell r="D565">
            <v>2016</v>
          </cell>
          <cell r="E565" t="str">
            <v>Investissement</v>
          </cell>
          <cell r="F565">
            <v>0</v>
          </cell>
        </row>
        <row r="566">
          <cell r="A566" t="str">
            <v>DIRECTION DE LA REGIE PUBLICITAIRE ET DES SOLUTIONS DIGITALES</v>
          </cell>
          <cell r="B566" t="str">
            <v xml:space="preserve">REGIE PUBLICITAIRE </v>
          </cell>
          <cell r="C566" t="str">
            <v>CONTRAT</v>
          </cell>
          <cell r="D566">
            <v>2016</v>
          </cell>
          <cell r="E566" t="str">
            <v>Investissement</v>
          </cell>
          <cell r="F566">
            <v>0</v>
          </cell>
        </row>
        <row r="567">
          <cell r="A567" t="str">
            <v>DIRECTION MARKETING ET PROGRAMATION TV</v>
          </cell>
          <cell r="B567" t="str">
            <v>MARKETING ET PROG TV</v>
          </cell>
          <cell r="C567" t="str">
            <v>CONTRAT</v>
          </cell>
          <cell r="D567">
            <v>2016</v>
          </cell>
          <cell r="E567" t="str">
            <v>Investissement</v>
          </cell>
          <cell r="F567">
            <v>0</v>
          </cell>
        </row>
        <row r="568">
          <cell r="A568" t="str">
            <v>DIRECTION DE LA COMMUNICATION</v>
          </cell>
          <cell r="B568" t="str">
            <v>COMMUNICATION</v>
          </cell>
          <cell r="C568" t="str">
            <v>CONTRAT</v>
          </cell>
          <cell r="D568">
            <v>2016</v>
          </cell>
          <cell r="E568" t="str">
            <v>Investissement</v>
          </cell>
          <cell r="F568">
            <v>0</v>
          </cell>
        </row>
        <row r="569">
          <cell r="A569" t="str">
            <v>DIRECTION ALMAGHRIBIA</v>
          </cell>
          <cell r="B569" t="str">
            <v>ALMAGHRIBIA</v>
          </cell>
          <cell r="C569" t="str">
            <v>CONTRAT</v>
          </cell>
          <cell r="D569">
            <v>2016</v>
          </cell>
          <cell r="E569" t="str">
            <v>Investissement</v>
          </cell>
          <cell r="F569">
            <v>0</v>
          </cell>
        </row>
        <row r="570">
          <cell r="A570" t="str">
            <v xml:space="preserve">DIRECTION CENTRALE DE LA CHAINE TV LAAYOUNE </v>
          </cell>
          <cell r="B570" t="str">
            <v xml:space="preserve">LAAYOUNE </v>
          </cell>
          <cell r="C570" t="str">
            <v>CONTRAT</v>
          </cell>
          <cell r="D570">
            <v>2016</v>
          </cell>
          <cell r="E570" t="str">
            <v>Investissement</v>
          </cell>
          <cell r="F570">
            <v>0</v>
          </cell>
        </row>
        <row r="571">
          <cell r="A571" t="str">
            <v>DIRECTION CENTRALE DE LA CHAÎNE ARRYADIA</v>
          </cell>
          <cell r="B571" t="str">
            <v>ARRYADIA</v>
          </cell>
          <cell r="C571" t="str">
            <v>CONTRAT</v>
          </cell>
          <cell r="D571">
            <v>2016</v>
          </cell>
          <cell r="E571" t="str">
            <v>Investissement</v>
          </cell>
          <cell r="F571">
            <v>0</v>
          </cell>
        </row>
        <row r="572">
          <cell r="A572" t="str">
            <v>DIRECTION CENTRALE DE LA CHAÎNE TAMAZIGHT</v>
          </cell>
          <cell r="B572" t="str">
            <v>TAMAZIGHT</v>
          </cell>
          <cell r="C572" t="str">
            <v>CONTRAT</v>
          </cell>
          <cell r="D572">
            <v>2016</v>
          </cell>
          <cell r="E572" t="str">
            <v>Investissement</v>
          </cell>
          <cell r="F572">
            <v>0</v>
          </cell>
        </row>
        <row r="573">
          <cell r="A573" t="str">
            <v>DIRECTION CENTRALE DE LA PRODUCTION ET DE L'ANTENNE</v>
          </cell>
          <cell r="B573" t="str">
            <v>ALAOULA</v>
          </cell>
          <cell r="C573" t="str">
            <v>CONTRAT</v>
          </cell>
          <cell r="D573">
            <v>2016</v>
          </cell>
          <cell r="E573" t="str">
            <v>Investissement</v>
          </cell>
          <cell r="F573">
            <v>0</v>
          </cell>
        </row>
        <row r="574">
          <cell r="A574" t="str">
            <v>DIRECTION DE LA QUATRIEME</v>
          </cell>
          <cell r="B574" t="str">
            <v>QUATRIEME</v>
          </cell>
          <cell r="C574" t="str">
            <v>CONTRAT</v>
          </cell>
          <cell r="D574">
            <v>2016</v>
          </cell>
          <cell r="E574" t="str">
            <v>Investissement</v>
          </cell>
          <cell r="F574">
            <v>0</v>
          </cell>
        </row>
        <row r="575">
          <cell r="A575" t="str">
            <v>DIRECTION DES CHAÎNES CORANIQUES TV RADIO</v>
          </cell>
          <cell r="B575" t="str">
            <v>ASSADISSA ET RADIO COR</v>
          </cell>
          <cell r="C575" t="str">
            <v>CONTRAT</v>
          </cell>
          <cell r="D575">
            <v>2016</v>
          </cell>
          <cell r="E575" t="str">
            <v>Investissement</v>
          </cell>
          <cell r="F575">
            <v>0</v>
          </cell>
        </row>
        <row r="576">
          <cell r="A576" t="str">
            <v>DIRECTION DES SYSTEMES D'INFORMATION</v>
          </cell>
          <cell r="B576" t="str">
            <v>DSI</v>
          </cell>
          <cell r="C576" t="str">
            <v>CONTRAT</v>
          </cell>
          <cell r="D576">
            <v>2016</v>
          </cell>
          <cell r="E576" t="str">
            <v>Investissement</v>
          </cell>
          <cell r="F576">
            <v>0</v>
          </cell>
        </row>
        <row r="577">
          <cell r="A577" t="str">
            <v>DIRECTION TECHNIQUE</v>
          </cell>
          <cell r="B577" t="str">
            <v>TECHNIQUE</v>
          </cell>
          <cell r="C577" t="str">
            <v>CONTRAT</v>
          </cell>
          <cell r="D577">
            <v>2017</v>
          </cell>
          <cell r="E577" t="str">
            <v>Investissement</v>
          </cell>
          <cell r="F577">
            <v>0</v>
          </cell>
        </row>
        <row r="578">
          <cell r="A578" t="str">
            <v>DIRECTION DE LA TELEDIFFUSION</v>
          </cell>
          <cell r="B578" t="str">
            <v>TELEDIFFUSION</v>
          </cell>
          <cell r="C578" t="str">
            <v>CONTRAT</v>
          </cell>
          <cell r="D578">
            <v>2017</v>
          </cell>
          <cell r="E578" t="str">
            <v>Investissement</v>
          </cell>
          <cell r="F578">
            <v>0</v>
          </cell>
        </row>
        <row r="579">
          <cell r="A579" t="str">
            <v>DIRECTION DES ACHATS</v>
          </cell>
          <cell r="B579" t="str">
            <v>ACHATS</v>
          </cell>
          <cell r="C579" t="str">
            <v>CONTRAT</v>
          </cell>
          <cell r="D579">
            <v>2017</v>
          </cell>
          <cell r="E579" t="str">
            <v>Investissement</v>
          </cell>
          <cell r="F579">
            <v>0</v>
          </cell>
        </row>
        <row r="580">
          <cell r="A580" t="str">
            <v>DIRECTION FINANCIERE</v>
          </cell>
          <cell r="B580" t="str">
            <v>FINANCES</v>
          </cell>
          <cell r="C580" t="str">
            <v>CONTRAT</v>
          </cell>
          <cell r="D580">
            <v>2017</v>
          </cell>
          <cell r="E580" t="str">
            <v>Investissement</v>
          </cell>
          <cell r="F580">
            <v>0</v>
          </cell>
        </row>
        <row r="581">
          <cell r="A581" t="str">
            <v>DIRECTION DES RESSOURCES HUMAINES</v>
          </cell>
          <cell r="B581" t="str">
            <v>RESSOURCES HUMAINES</v>
          </cell>
          <cell r="C581" t="str">
            <v>CONTRAT</v>
          </cell>
          <cell r="D581">
            <v>2017</v>
          </cell>
          <cell r="E581" t="str">
            <v>Investissement</v>
          </cell>
          <cell r="F581">
            <v>0</v>
          </cell>
        </row>
        <row r="582">
          <cell r="A582" t="str">
            <v>DIRECTION DU PATRIMOINE  ET DES MOYENS GENERAUX</v>
          </cell>
          <cell r="B582" t="str">
            <v>DPMG</v>
          </cell>
          <cell r="C582" t="str">
            <v>CONTRAT</v>
          </cell>
          <cell r="D582">
            <v>2017</v>
          </cell>
          <cell r="E582" t="str">
            <v>Investissement</v>
          </cell>
          <cell r="F582">
            <v>0</v>
          </cell>
        </row>
        <row r="583">
          <cell r="A583" t="str">
            <v>DIRECTION JURIDIQUE</v>
          </cell>
          <cell r="B583" t="str">
            <v>JURIDIQUE</v>
          </cell>
          <cell r="C583" t="str">
            <v>CONTRAT</v>
          </cell>
          <cell r="D583">
            <v>2017</v>
          </cell>
          <cell r="E583" t="str">
            <v>Investissement</v>
          </cell>
          <cell r="F583">
            <v>0</v>
          </cell>
        </row>
        <row r="584">
          <cell r="A584" t="str">
            <v>DIRECTION CHARGEE DES RELATIONS INTERNATIONALES</v>
          </cell>
          <cell r="B584" t="str">
            <v>DRI</v>
          </cell>
          <cell r="C584" t="str">
            <v>CONTRAT</v>
          </cell>
          <cell r="D584">
            <v>2017</v>
          </cell>
          <cell r="E584" t="str">
            <v>Investissement</v>
          </cell>
          <cell r="F584">
            <v>0</v>
          </cell>
        </row>
        <row r="585">
          <cell r="A585" t="str">
            <v>DIRECTION DE L'AUDIT ET DU CONTRÔLE DE LA GESTION</v>
          </cell>
          <cell r="B585" t="str">
            <v>AUDIT ET CONTRÔLE DE LA GESTION</v>
          </cell>
          <cell r="C585" t="str">
            <v>CONTRAT</v>
          </cell>
          <cell r="D585">
            <v>2017</v>
          </cell>
          <cell r="E585" t="str">
            <v>Investissement</v>
          </cell>
          <cell r="F585">
            <v>0</v>
          </cell>
        </row>
        <row r="586">
          <cell r="A586" t="str">
            <v>DIRECTION DE L’INFORMATION RADIO</v>
          </cell>
          <cell r="B586" t="str">
            <v>INFORMATION RADIO</v>
          </cell>
          <cell r="C586" t="str">
            <v>CONTRAT</v>
          </cell>
          <cell r="D586">
            <v>2017</v>
          </cell>
          <cell r="E586" t="str">
            <v>Investissement</v>
          </cell>
          <cell r="F586">
            <v>0</v>
          </cell>
        </row>
        <row r="587">
          <cell r="A587" t="str">
            <v>DIRECTION DE L’INFORMATION TV</v>
          </cell>
          <cell r="B587" t="str">
            <v>INFORMATION TV</v>
          </cell>
          <cell r="C587" t="str">
            <v>CONTRAT</v>
          </cell>
          <cell r="D587">
            <v>2017</v>
          </cell>
          <cell r="E587" t="str">
            <v>Investissement</v>
          </cell>
          <cell r="F587">
            <v>0</v>
          </cell>
        </row>
        <row r="588">
          <cell r="A588" t="str">
            <v>DIRECTION DE LA PRODUCTION ET DE LA PROGRAMMATION RADIO</v>
          </cell>
          <cell r="B588" t="str">
            <v>RADIO PROD PROG</v>
          </cell>
          <cell r="C588" t="str">
            <v>CONTRAT</v>
          </cell>
          <cell r="D588">
            <v>2017</v>
          </cell>
          <cell r="E588" t="str">
            <v>Investissement</v>
          </cell>
          <cell r="F588">
            <v>0</v>
          </cell>
        </row>
        <row r="589">
          <cell r="A589" t="str">
            <v>DIRECTION DE LA REGIE PUBLICITAIRE ET DES SOLUTIONS DIGITALES</v>
          </cell>
          <cell r="B589" t="str">
            <v xml:space="preserve">REGIE PUBLICITAIRE </v>
          </cell>
          <cell r="C589" t="str">
            <v>CONTRAT</v>
          </cell>
          <cell r="D589">
            <v>2017</v>
          </cell>
          <cell r="E589" t="str">
            <v>Investissement</v>
          </cell>
          <cell r="F589">
            <v>0</v>
          </cell>
        </row>
        <row r="590">
          <cell r="A590" t="str">
            <v>DIRECTION MARKETING ET PROGRAMATION TV</v>
          </cell>
          <cell r="B590" t="str">
            <v>MARKETING ET PROG TV</v>
          </cell>
          <cell r="C590" t="str">
            <v>CONTRAT</v>
          </cell>
          <cell r="D590">
            <v>2017</v>
          </cell>
          <cell r="E590" t="str">
            <v>Investissement</v>
          </cell>
          <cell r="F590">
            <v>0</v>
          </cell>
        </row>
        <row r="591">
          <cell r="A591" t="str">
            <v>DIRECTION DE LA COMMUNICATION</v>
          </cell>
          <cell r="B591" t="str">
            <v>COMMUNICATION</v>
          </cell>
          <cell r="C591" t="str">
            <v>CONTRAT</v>
          </cell>
          <cell r="D591">
            <v>2017</v>
          </cell>
          <cell r="E591" t="str">
            <v>Investissement</v>
          </cell>
          <cell r="F591">
            <v>0</v>
          </cell>
        </row>
        <row r="592">
          <cell r="A592" t="str">
            <v>DIRECTION ALMAGHRIBIA</v>
          </cell>
          <cell r="B592" t="str">
            <v>ALMAGHRIBIA</v>
          </cell>
          <cell r="C592" t="str">
            <v>CONTRAT</v>
          </cell>
          <cell r="D592">
            <v>2017</v>
          </cell>
          <cell r="E592" t="str">
            <v>Investissement</v>
          </cell>
          <cell r="F592">
            <v>0</v>
          </cell>
        </row>
        <row r="593">
          <cell r="A593" t="str">
            <v xml:space="preserve">DIRECTION CENTRALE DE LA CHAINE TV LAAYOUNE </v>
          </cell>
          <cell r="B593" t="str">
            <v xml:space="preserve">LAAYOUNE </v>
          </cell>
          <cell r="C593" t="str">
            <v>CONTRAT</v>
          </cell>
          <cell r="D593">
            <v>2017</v>
          </cell>
          <cell r="E593" t="str">
            <v>Investissement</v>
          </cell>
          <cell r="F593">
            <v>0</v>
          </cell>
        </row>
        <row r="594">
          <cell r="A594" t="str">
            <v>DIRECTION CENTRALE DE LA CHAÎNE ARRYADIA</v>
          </cell>
          <cell r="B594" t="str">
            <v>ARRYADIA</v>
          </cell>
          <cell r="C594" t="str">
            <v>CONTRAT</v>
          </cell>
          <cell r="D594">
            <v>2017</v>
          </cell>
          <cell r="E594" t="str">
            <v>Investissement</v>
          </cell>
          <cell r="F594">
            <v>0</v>
          </cell>
        </row>
        <row r="595">
          <cell r="A595" t="str">
            <v>DIRECTION CENTRALE DE LA CHAÎNE TAMAZIGHT</v>
          </cell>
          <cell r="B595" t="str">
            <v>TAMAZIGHT</v>
          </cell>
          <cell r="C595" t="str">
            <v>CONTRAT</v>
          </cell>
          <cell r="D595">
            <v>2017</v>
          </cell>
          <cell r="E595" t="str">
            <v>Investissement</v>
          </cell>
          <cell r="F595">
            <v>0</v>
          </cell>
        </row>
        <row r="596">
          <cell r="A596" t="str">
            <v>DIRECTION CENTRALE DE LA PRODUCTION ET DE L'ANTENNE</v>
          </cell>
          <cell r="B596" t="str">
            <v>ALAOULA</v>
          </cell>
          <cell r="C596" t="str">
            <v>CONTRAT</v>
          </cell>
          <cell r="D596">
            <v>2017</v>
          </cell>
          <cell r="E596" t="str">
            <v>Investissement</v>
          </cell>
          <cell r="F596">
            <v>0</v>
          </cell>
        </row>
        <row r="597">
          <cell r="A597" t="str">
            <v>DIRECTION DE LA QUATRIEME</v>
          </cell>
          <cell r="B597" t="str">
            <v>QUATRIEME</v>
          </cell>
          <cell r="C597" t="str">
            <v>CONTRAT</v>
          </cell>
          <cell r="D597">
            <v>2017</v>
          </cell>
          <cell r="E597" t="str">
            <v>Investissement</v>
          </cell>
          <cell r="F597">
            <v>0</v>
          </cell>
        </row>
        <row r="598">
          <cell r="A598" t="str">
            <v>DIRECTION DES CHAÎNES CORANIQUES TV RADIO</v>
          </cell>
          <cell r="B598" t="str">
            <v>ASSADISSA ET RADIO COR</v>
          </cell>
          <cell r="C598" t="str">
            <v>CONTRAT</v>
          </cell>
          <cell r="D598">
            <v>2017</v>
          </cell>
          <cell r="E598" t="str">
            <v>Investissement</v>
          </cell>
          <cell r="F598">
            <v>0</v>
          </cell>
        </row>
        <row r="599">
          <cell r="A599" t="str">
            <v>DIRECTION DES SYSTEMES D'INFORMATION</v>
          </cell>
          <cell r="B599" t="str">
            <v>DSI</v>
          </cell>
          <cell r="C599" t="str">
            <v>CONTRAT</v>
          </cell>
          <cell r="D599">
            <v>2017</v>
          </cell>
          <cell r="E599" t="str">
            <v>Investissement</v>
          </cell>
          <cell r="F599">
            <v>0</v>
          </cell>
        </row>
        <row r="600">
          <cell r="A600" t="str">
            <v>DIRECTION TECHNIQUE</v>
          </cell>
          <cell r="B600" t="str">
            <v>TECHNIQUE</v>
          </cell>
          <cell r="C600" t="str">
            <v>CONTRAT</v>
          </cell>
          <cell r="D600">
            <v>2018</v>
          </cell>
          <cell r="E600" t="str">
            <v>Investissement</v>
          </cell>
          <cell r="F600">
            <v>0</v>
          </cell>
        </row>
        <row r="601">
          <cell r="A601" t="str">
            <v>DIRECTION DE LA TELEDIFFUSION</v>
          </cell>
          <cell r="B601" t="str">
            <v>TELEDIFFUSION</v>
          </cell>
          <cell r="C601" t="str">
            <v>CONTRAT</v>
          </cell>
          <cell r="D601">
            <v>2018</v>
          </cell>
          <cell r="E601" t="str">
            <v>Investissement</v>
          </cell>
          <cell r="F601">
            <v>2.8806420400000001</v>
          </cell>
        </row>
        <row r="602">
          <cell r="A602" t="str">
            <v>DIRECTION DES ACHATS</v>
          </cell>
          <cell r="B602" t="str">
            <v>ACHATS</v>
          </cell>
          <cell r="C602" t="str">
            <v>CONTRAT</v>
          </cell>
          <cell r="D602">
            <v>2018</v>
          </cell>
          <cell r="E602" t="str">
            <v>Investissement</v>
          </cell>
          <cell r="F602">
            <v>0</v>
          </cell>
        </row>
        <row r="603">
          <cell r="A603" t="str">
            <v>DIRECTION FINANCIERE</v>
          </cell>
          <cell r="B603" t="str">
            <v>FINANCES</v>
          </cell>
          <cell r="C603" t="str">
            <v>CONTRAT</v>
          </cell>
          <cell r="D603">
            <v>2018</v>
          </cell>
          <cell r="E603" t="str">
            <v>Investissement</v>
          </cell>
          <cell r="F603">
            <v>0</v>
          </cell>
        </row>
        <row r="604">
          <cell r="A604" t="str">
            <v>DIRECTION DES RESSOURCES HUMAINES</v>
          </cell>
          <cell r="B604" t="str">
            <v>RESSOURCES HUMAINES</v>
          </cell>
          <cell r="C604" t="str">
            <v>CONTRAT</v>
          </cell>
          <cell r="D604">
            <v>2018</v>
          </cell>
          <cell r="E604" t="str">
            <v>Investissement</v>
          </cell>
          <cell r="F604">
            <v>0</v>
          </cell>
        </row>
        <row r="605">
          <cell r="A605" t="str">
            <v>DIRECTION DU PATRIMOINE  ET DES MOYENS GENERAUX</v>
          </cell>
          <cell r="B605" t="str">
            <v>DPMG</v>
          </cell>
          <cell r="C605" t="str">
            <v>CONTRAT</v>
          </cell>
          <cell r="D605">
            <v>2018</v>
          </cell>
          <cell r="E605" t="str">
            <v>Investissement</v>
          </cell>
          <cell r="F605">
            <v>0</v>
          </cell>
        </row>
        <row r="606">
          <cell r="A606" t="str">
            <v>DIRECTION JURIDIQUE</v>
          </cell>
          <cell r="B606" t="str">
            <v>JURIDIQUE</v>
          </cell>
          <cell r="C606" t="str">
            <v>CONTRAT</v>
          </cell>
          <cell r="D606">
            <v>2018</v>
          </cell>
          <cell r="E606" t="str">
            <v>Investissement</v>
          </cell>
          <cell r="F606">
            <v>0</v>
          </cell>
        </row>
        <row r="607">
          <cell r="A607" t="str">
            <v>DIRECTION CHARGEE DES RELATIONS INTERNATIONALES</v>
          </cell>
          <cell r="B607" t="str">
            <v>DRI</v>
          </cell>
          <cell r="C607" t="str">
            <v>CONTRAT</v>
          </cell>
          <cell r="D607">
            <v>2018</v>
          </cell>
          <cell r="E607" t="str">
            <v>Investissement</v>
          </cell>
          <cell r="F607">
            <v>0</v>
          </cell>
        </row>
        <row r="608">
          <cell r="A608" t="str">
            <v>DIRECTION DE L'AUDIT ET DU CONTRÔLE DE LA GESTION</v>
          </cell>
          <cell r="B608" t="str">
            <v>AUDIT ET CONTRÔLE DE LA GESTION</v>
          </cell>
          <cell r="C608" t="str">
            <v>CONTRAT</v>
          </cell>
          <cell r="D608">
            <v>2018</v>
          </cell>
          <cell r="E608" t="str">
            <v>Investissement</v>
          </cell>
          <cell r="F608">
            <v>0</v>
          </cell>
        </row>
        <row r="609">
          <cell r="A609" t="str">
            <v>DIRECTION DE L’INFORMATION RADIO</v>
          </cell>
          <cell r="B609" t="str">
            <v>INFORMATION RADIO</v>
          </cell>
          <cell r="C609" t="str">
            <v>CONTRAT</v>
          </cell>
          <cell r="D609">
            <v>2018</v>
          </cell>
          <cell r="E609" t="str">
            <v>Investissement</v>
          </cell>
          <cell r="F609">
            <v>0</v>
          </cell>
        </row>
        <row r="610">
          <cell r="A610" t="str">
            <v>DIRECTION DE L’INFORMATION TV</v>
          </cell>
          <cell r="B610" t="str">
            <v>INFORMATION TV</v>
          </cell>
          <cell r="C610" t="str">
            <v>CONTRAT</v>
          </cell>
          <cell r="D610">
            <v>2018</v>
          </cell>
          <cell r="E610" t="str">
            <v>Investissement</v>
          </cell>
          <cell r="F610">
            <v>0</v>
          </cell>
        </row>
        <row r="611">
          <cell r="A611" t="str">
            <v>DIRECTION DE LA PRODUCTION ET DE LA PROGRAMMATION RADIO</v>
          </cell>
          <cell r="B611" t="str">
            <v>RADIO PROD PROG</v>
          </cell>
          <cell r="C611" t="str">
            <v>CONTRAT</v>
          </cell>
          <cell r="D611">
            <v>2018</v>
          </cell>
          <cell r="E611" t="str">
            <v>Investissement</v>
          </cell>
          <cell r="F611">
            <v>0</v>
          </cell>
        </row>
        <row r="612">
          <cell r="A612" t="str">
            <v>DIRECTION DE LA REGIE PUBLICITAIRE ET DES SOLUTIONS DIGITALES</v>
          </cell>
          <cell r="B612" t="str">
            <v xml:space="preserve">REGIE PUBLICITAIRE </v>
          </cell>
          <cell r="C612" t="str">
            <v>CONTRAT</v>
          </cell>
          <cell r="D612">
            <v>2018</v>
          </cell>
          <cell r="E612" t="str">
            <v>Investissement</v>
          </cell>
          <cell r="F612">
            <v>0</v>
          </cell>
        </row>
        <row r="613">
          <cell r="A613" t="str">
            <v>DIRECTION MARKETING ET PROGRAMATION TV</v>
          </cell>
          <cell r="B613" t="str">
            <v>MARKETING ET PROG TV</v>
          </cell>
          <cell r="C613" t="str">
            <v>CONTRAT</v>
          </cell>
          <cell r="D613">
            <v>2018</v>
          </cell>
          <cell r="E613" t="str">
            <v>Investissement</v>
          </cell>
          <cell r="F613">
            <v>0</v>
          </cell>
        </row>
        <row r="614">
          <cell r="A614" t="str">
            <v>DIRECTION DE LA COMMUNICATION</v>
          </cell>
          <cell r="B614" t="str">
            <v>COMMUNICATION</v>
          </cell>
          <cell r="C614" t="str">
            <v>CONTRAT</v>
          </cell>
          <cell r="D614">
            <v>2018</v>
          </cell>
          <cell r="E614" t="str">
            <v>Investissement</v>
          </cell>
          <cell r="F614">
            <v>0</v>
          </cell>
        </row>
        <row r="615">
          <cell r="A615" t="str">
            <v>DIRECTION ALMAGHRIBIA</v>
          </cell>
          <cell r="B615" t="str">
            <v>ALMAGHRIBIA</v>
          </cell>
          <cell r="C615" t="str">
            <v>CONTRAT</v>
          </cell>
          <cell r="D615">
            <v>2018</v>
          </cell>
          <cell r="E615" t="str">
            <v>Investissement</v>
          </cell>
          <cell r="F615">
            <v>0</v>
          </cell>
        </row>
        <row r="616">
          <cell r="A616" t="str">
            <v xml:space="preserve">DIRECTION CENTRALE DE LA CHAINE TV LAAYOUNE </v>
          </cell>
          <cell r="B616" t="str">
            <v xml:space="preserve">LAAYOUNE </v>
          </cell>
          <cell r="C616" t="str">
            <v>CONTRAT</v>
          </cell>
          <cell r="D616">
            <v>2018</v>
          </cell>
          <cell r="E616" t="str">
            <v>Investissement</v>
          </cell>
          <cell r="F616">
            <v>0</v>
          </cell>
        </row>
        <row r="617">
          <cell r="A617" t="str">
            <v>DIRECTION CENTRALE DE LA CHAÎNE ARRYADIA</v>
          </cell>
          <cell r="B617" t="str">
            <v>ARRYADIA</v>
          </cell>
          <cell r="C617" t="str">
            <v>CONTRAT</v>
          </cell>
          <cell r="D617">
            <v>2018</v>
          </cell>
          <cell r="E617" t="str">
            <v>Investissement</v>
          </cell>
          <cell r="F617">
            <v>0</v>
          </cell>
        </row>
        <row r="618">
          <cell r="A618" t="str">
            <v>DIRECTION CENTRALE DE LA CHAÎNE TAMAZIGHT</v>
          </cell>
          <cell r="B618" t="str">
            <v>TAMAZIGHT</v>
          </cell>
          <cell r="C618" t="str">
            <v>CONTRAT</v>
          </cell>
          <cell r="D618">
            <v>2018</v>
          </cell>
          <cell r="E618" t="str">
            <v>Investissement</v>
          </cell>
          <cell r="F618">
            <v>0</v>
          </cell>
        </row>
        <row r="619">
          <cell r="A619" t="str">
            <v>DIRECTION CENTRALE DE LA PRODUCTION ET DE L'ANTENNE</v>
          </cell>
          <cell r="B619" t="str">
            <v>ALAOULA</v>
          </cell>
          <cell r="C619" t="str">
            <v>CONTRAT</v>
          </cell>
          <cell r="D619">
            <v>2018</v>
          </cell>
          <cell r="E619" t="str">
            <v>Investissement</v>
          </cell>
          <cell r="F619">
            <v>0</v>
          </cell>
        </row>
        <row r="620">
          <cell r="A620" t="str">
            <v>DIRECTION DE LA QUATRIEME</v>
          </cell>
          <cell r="B620" t="str">
            <v>QUATRIEME</v>
          </cell>
          <cell r="C620" t="str">
            <v>CONTRAT</v>
          </cell>
          <cell r="D620">
            <v>2018</v>
          </cell>
          <cell r="E620" t="str">
            <v>Investissement</v>
          </cell>
          <cell r="F620">
            <v>0</v>
          </cell>
        </row>
        <row r="621">
          <cell r="A621" t="str">
            <v>DIRECTION DES CHAÎNES CORANIQUES TV RADIO</v>
          </cell>
          <cell r="B621" t="str">
            <v>ASSADISSA ET RADIO COR</v>
          </cell>
          <cell r="C621" t="str">
            <v>CONTRAT</v>
          </cell>
          <cell r="D621">
            <v>2018</v>
          </cell>
          <cell r="E621" t="str">
            <v>Investissement</v>
          </cell>
          <cell r="F621">
            <v>0</v>
          </cell>
        </row>
        <row r="622">
          <cell r="A622" t="str">
            <v>DIRECTION DES SYSTEMES D'INFORMATION</v>
          </cell>
          <cell r="B622" t="str">
            <v>DSI</v>
          </cell>
          <cell r="C622" t="str">
            <v>CONTRAT</v>
          </cell>
          <cell r="D622">
            <v>2018</v>
          </cell>
          <cell r="E622" t="str">
            <v>Investissement</v>
          </cell>
          <cell r="F622">
            <v>0</v>
          </cell>
        </row>
        <row r="623">
          <cell r="A623" t="str">
            <v>DIRECTION TECHNIQUE</v>
          </cell>
          <cell r="B623" t="str">
            <v>TECHNIQUE</v>
          </cell>
          <cell r="C623" t="str">
            <v>CONTRAT</v>
          </cell>
          <cell r="D623">
            <v>2019</v>
          </cell>
          <cell r="E623" t="str">
            <v>Investissement</v>
          </cell>
          <cell r="F623">
            <v>0</v>
          </cell>
        </row>
        <row r="624">
          <cell r="A624" t="str">
            <v>DIRECTION DE LA TELEDIFFUSION</v>
          </cell>
          <cell r="B624" t="str">
            <v>TELEDIFFUSION</v>
          </cell>
          <cell r="C624" t="str">
            <v>CONTRAT</v>
          </cell>
          <cell r="D624">
            <v>2019</v>
          </cell>
          <cell r="E624" t="str">
            <v>Investissement</v>
          </cell>
          <cell r="F624">
            <v>0.32454147999999999</v>
          </cell>
        </row>
        <row r="625">
          <cell r="A625" t="str">
            <v>DIRECTION DES ACHATS</v>
          </cell>
          <cell r="B625" t="str">
            <v>ACHATS</v>
          </cell>
          <cell r="C625" t="str">
            <v>CONTRAT</v>
          </cell>
          <cell r="D625">
            <v>2019</v>
          </cell>
          <cell r="E625" t="str">
            <v>Investissement</v>
          </cell>
          <cell r="F625">
            <v>0</v>
          </cell>
        </row>
        <row r="626">
          <cell r="A626" t="str">
            <v>DIRECTION FINANCIERE</v>
          </cell>
          <cell r="B626" t="str">
            <v>FINANCES</v>
          </cell>
          <cell r="C626" t="str">
            <v>CONTRAT</v>
          </cell>
          <cell r="D626">
            <v>2019</v>
          </cell>
          <cell r="E626" t="str">
            <v>Investissement</v>
          </cell>
          <cell r="F626">
            <v>0</v>
          </cell>
        </row>
        <row r="627">
          <cell r="A627" t="str">
            <v>DIRECTION DES RESSOURCES HUMAINES</v>
          </cell>
          <cell r="B627" t="str">
            <v>RESSOURCES HUMAINES</v>
          </cell>
          <cell r="C627" t="str">
            <v>CONTRAT</v>
          </cell>
          <cell r="D627">
            <v>2019</v>
          </cell>
          <cell r="E627" t="str">
            <v>Investissement</v>
          </cell>
          <cell r="F627">
            <v>0</v>
          </cell>
        </row>
        <row r="628">
          <cell r="A628" t="str">
            <v>DIRECTION DU PATRIMOINE  ET DES MOYENS GENERAUX</v>
          </cell>
          <cell r="B628" t="str">
            <v>DPMG</v>
          </cell>
          <cell r="C628" t="str">
            <v>CONTRAT</v>
          </cell>
          <cell r="D628">
            <v>2019</v>
          </cell>
          <cell r="E628" t="str">
            <v>Investissement</v>
          </cell>
          <cell r="F628">
            <v>0</v>
          </cell>
        </row>
        <row r="629">
          <cell r="A629" t="str">
            <v>DIRECTION JURIDIQUE</v>
          </cell>
          <cell r="B629" t="str">
            <v>JURIDIQUE</v>
          </cell>
          <cell r="C629" t="str">
            <v>CONTRAT</v>
          </cell>
          <cell r="D629">
            <v>2019</v>
          </cell>
          <cell r="E629" t="str">
            <v>Investissement</v>
          </cell>
          <cell r="F629">
            <v>0</v>
          </cell>
        </row>
        <row r="630">
          <cell r="A630" t="str">
            <v>DIRECTION CHARGEE DES RELATIONS INTERNATIONALES</v>
          </cell>
          <cell r="B630" t="str">
            <v>DRI</v>
          </cell>
          <cell r="C630" t="str">
            <v>CONTRAT</v>
          </cell>
          <cell r="D630">
            <v>2019</v>
          </cell>
          <cell r="E630" t="str">
            <v>Investissement</v>
          </cell>
          <cell r="F630">
            <v>0</v>
          </cell>
        </row>
        <row r="631">
          <cell r="A631" t="str">
            <v>DIRECTION DE L'AUDIT ET DU CONTRÔLE DE LA GESTION</v>
          </cell>
          <cell r="B631" t="str">
            <v>AUDIT ET CONTRÔLE DE LA GESTION</v>
          </cell>
          <cell r="C631" t="str">
            <v>CONTRAT</v>
          </cell>
          <cell r="D631">
            <v>2019</v>
          </cell>
          <cell r="E631" t="str">
            <v>Investissement</v>
          </cell>
          <cell r="F631">
            <v>0</v>
          </cell>
        </row>
        <row r="632">
          <cell r="A632" t="str">
            <v>DIRECTION DE L’INFORMATION RADIO</v>
          </cell>
          <cell r="B632" t="str">
            <v>INFORMATION RADIO</v>
          </cell>
          <cell r="C632" t="str">
            <v>CONTRAT</v>
          </cell>
          <cell r="D632">
            <v>2019</v>
          </cell>
          <cell r="E632" t="str">
            <v>Investissement</v>
          </cell>
          <cell r="F632">
            <v>0</v>
          </cell>
        </row>
        <row r="633">
          <cell r="A633" t="str">
            <v>DIRECTION DE L’INFORMATION TV</v>
          </cell>
          <cell r="B633" t="str">
            <v>INFORMATION TV</v>
          </cell>
          <cell r="C633" t="str">
            <v>CONTRAT</v>
          </cell>
          <cell r="D633">
            <v>2019</v>
          </cell>
          <cell r="E633" t="str">
            <v>Investissement</v>
          </cell>
          <cell r="F633">
            <v>0</v>
          </cell>
        </row>
        <row r="634">
          <cell r="A634" t="str">
            <v>DIRECTION DE LA PRODUCTION ET DE LA PROGRAMMATION RADIO</v>
          </cell>
          <cell r="B634" t="str">
            <v>RADIO PROD PROG</v>
          </cell>
          <cell r="C634" t="str">
            <v>CONTRAT</v>
          </cell>
          <cell r="D634">
            <v>2019</v>
          </cell>
          <cell r="E634" t="str">
            <v>Investissement</v>
          </cell>
          <cell r="F634">
            <v>0</v>
          </cell>
        </row>
        <row r="635">
          <cell r="A635" t="str">
            <v>DIRECTION DE LA REGIE PUBLICITAIRE ET DES SOLUTIONS DIGITALES</v>
          </cell>
          <cell r="B635" t="str">
            <v xml:space="preserve">REGIE PUBLICITAIRE </v>
          </cell>
          <cell r="C635" t="str">
            <v>CONTRAT</v>
          </cell>
          <cell r="D635">
            <v>2019</v>
          </cell>
          <cell r="E635" t="str">
            <v>Investissement</v>
          </cell>
          <cell r="F635">
            <v>0</v>
          </cell>
        </row>
        <row r="636">
          <cell r="A636" t="str">
            <v>DIRECTION MARKETING ET PROGRAMATION TV</v>
          </cell>
          <cell r="B636" t="str">
            <v>MARKETING ET PROG TV</v>
          </cell>
          <cell r="C636" t="str">
            <v>CONTRAT</v>
          </cell>
          <cell r="D636">
            <v>2019</v>
          </cell>
          <cell r="E636" t="str">
            <v>Investissement</v>
          </cell>
          <cell r="F636">
            <v>0</v>
          </cell>
        </row>
        <row r="637">
          <cell r="A637" t="str">
            <v>DIRECTION DE LA COMMUNICATION</v>
          </cell>
          <cell r="B637" t="str">
            <v>COMMUNICATION</v>
          </cell>
          <cell r="C637" t="str">
            <v>CONTRAT</v>
          </cell>
          <cell r="D637">
            <v>2019</v>
          </cell>
          <cell r="E637" t="str">
            <v>Investissement</v>
          </cell>
          <cell r="F637">
            <v>0</v>
          </cell>
        </row>
        <row r="638">
          <cell r="A638" t="str">
            <v>DIRECTION ALMAGHRIBIA</v>
          </cell>
          <cell r="B638" t="str">
            <v>ALMAGHRIBIA</v>
          </cell>
          <cell r="C638" t="str">
            <v>CONTRAT</v>
          </cell>
          <cell r="D638">
            <v>2019</v>
          </cell>
          <cell r="E638" t="str">
            <v>Investissement</v>
          </cell>
          <cell r="F638">
            <v>0</v>
          </cell>
        </row>
        <row r="639">
          <cell r="A639" t="str">
            <v xml:space="preserve">DIRECTION CENTRALE DE LA CHAINE TV LAAYOUNE </v>
          </cell>
          <cell r="B639" t="str">
            <v xml:space="preserve">LAAYOUNE </v>
          </cell>
          <cell r="C639" t="str">
            <v>CONTRAT</v>
          </cell>
          <cell r="D639">
            <v>2019</v>
          </cell>
          <cell r="E639" t="str">
            <v>Investissement</v>
          </cell>
          <cell r="F639">
            <v>0</v>
          </cell>
        </row>
        <row r="640">
          <cell r="A640" t="str">
            <v>DIRECTION CENTRALE DE LA CHAÎNE ARRYADIA</v>
          </cell>
          <cell r="B640" t="str">
            <v>ARRYADIA</v>
          </cell>
          <cell r="C640" t="str">
            <v>CONTRAT</v>
          </cell>
          <cell r="D640">
            <v>2019</v>
          </cell>
          <cell r="E640" t="str">
            <v>Investissement</v>
          </cell>
          <cell r="F640">
            <v>0</v>
          </cell>
        </row>
        <row r="641">
          <cell r="A641" t="str">
            <v>DIRECTION CENTRALE DE LA CHAÎNE TAMAZIGHT</v>
          </cell>
          <cell r="B641" t="str">
            <v>TAMAZIGHT</v>
          </cell>
          <cell r="C641" t="str">
            <v>CONTRAT</v>
          </cell>
          <cell r="D641">
            <v>2019</v>
          </cell>
          <cell r="E641" t="str">
            <v>Investissement</v>
          </cell>
          <cell r="F641">
            <v>0</v>
          </cell>
        </row>
        <row r="642">
          <cell r="A642" t="str">
            <v>DIRECTION CENTRALE DE LA PRODUCTION ET DE L'ANTENNE</v>
          </cell>
          <cell r="B642" t="str">
            <v>ALAOULA</v>
          </cell>
          <cell r="C642" t="str">
            <v>CONTRAT</v>
          </cell>
          <cell r="D642">
            <v>2019</v>
          </cell>
          <cell r="E642" t="str">
            <v>Investissement</v>
          </cell>
          <cell r="F642">
            <v>0</v>
          </cell>
        </row>
        <row r="643">
          <cell r="A643" t="str">
            <v>DIRECTION DE LA QUATRIEME</v>
          </cell>
          <cell r="B643" t="str">
            <v>QUATRIEME</v>
          </cell>
          <cell r="C643" t="str">
            <v>CONTRAT</v>
          </cell>
          <cell r="D643">
            <v>2019</v>
          </cell>
          <cell r="E643" t="str">
            <v>Investissement</v>
          </cell>
          <cell r="F643">
            <v>0</v>
          </cell>
        </row>
        <row r="644">
          <cell r="A644" t="str">
            <v>DIRECTION DES CHAÎNES CORANIQUES TV RADIO</v>
          </cell>
          <cell r="B644" t="str">
            <v>ASSADISSA ET RADIO COR</v>
          </cell>
          <cell r="C644" t="str">
            <v>CONTRAT</v>
          </cell>
          <cell r="D644">
            <v>2019</v>
          </cell>
          <cell r="E644" t="str">
            <v>Investissement</v>
          </cell>
          <cell r="F644">
            <v>0</v>
          </cell>
        </row>
        <row r="645">
          <cell r="A645" t="str">
            <v>DIRECTION DES SYSTEMES D'INFORMATION</v>
          </cell>
          <cell r="B645" t="str">
            <v>DSI</v>
          </cell>
          <cell r="C645" t="str">
            <v>CONTRAT</v>
          </cell>
          <cell r="D645">
            <v>2019</v>
          </cell>
          <cell r="E645" t="str">
            <v>Investissement</v>
          </cell>
          <cell r="F645">
            <v>0</v>
          </cell>
        </row>
        <row r="646">
          <cell r="A646" t="str">
            <v>DIRECTION TECHNIQUE</v>
          </cell>
          <cell r="B646" t="str">
            <v>TECHNIQUE</v>
          </cell>
          <cell r="C646" t="str">
            <v>CONTRAT</v>
          </cell>
          <cell r="D646">
            <v>2020</v>
          </cell>
          <cell r="E646" t="str">
            <v>Investissement</v>
          </cell>
          <cell r="F646">
            <v>0</v>
          </cell>
        </row>
        <row r="647">
          <cell r="A647" t="str">
            <v>DIRECTION DE LA TELEDIFFUSION</v>
          </cell>
          <cell r="B647" t="str">
            <v>TELEDIFFUSION</v>
          </cell>
          <cell r="C647" t="str">
            <v>CONTRAT</v>
          </cell>
          <cell r="D647">
            <v>2020</v>
          </cell>
          <cell r="E647" t="str">
            <v>Investissement</v>
          </cell>
          <cell r="F647">
            <v>0.27249863000000002</v>
          </cell>
        </row>
        <row r="648">
          <cell r="A648" t="str">
            <v>DIRECTION DES ACHATS</v>
          </cell>
          <cell r="B648" t="str">
            <v>ACHATS</v>
          </cell>
          <cell r="C648" t="str">
            <v>CONTRAT</v>
          </cell>
          <cell r="D648">
            <v>2020</v>
          </cell>
          <cell r="E648" t="str">
            <v>Investissement</v>
          </cell>
          <cell r="F648">
            <v>0</v>
          </cell>
        </row>
        <row r="649">
          <cell r="A649" t="str">
            <v>DIRECTION FINANCIERE</v>
          </cell>
          <cell r="B649" t="str">
            <v>FINANCES</v>
          </cell>
          <cell r="C649" t="str">
            <v>CONTRAT</v>
          </cell>
          <cell r="D649">
            <v>2020</v>
          </cell>
          <cell r="E649" t="str">
            <v>Investissement</v>
          </cell>
          <cell r="F649">
            <v>0</v>
          </cell>
        </row>
        <row r="650">
          <cell r="A650" t="str">
            <v>DIRECTION DES RESSOURCES HUMAINES</v>
          </cell>
          <cell r="B650" t="str">
            <v>RESSOURCES HUMAINES</v>
          </cell>
          <cell r="C650" t="str">
            <v>CONTRAT</v>
          </cell>
          <cell r="D650">
            <v>2020</v>
          </cell>
          <cell r="E650" t="str">
            <v>Investissement</v>
          </cell>
          <cell r="F650">
            <v>0</v>
          </cell>
        </row>
        <row r="651">
          <cell r="A651" t="str">
            <v>DIRECTION DU PATRIMOINE  ET DES MOYENS GENERAUX</v>
          </cell>
          <cell r="B651" t="str">
            <v>DPMG</v>
          </cell>
          <cell r="C651" t="str">
            <v>CONTRAT</v>
          </cell>
          <cell r="D651">
            <v>2020</v>
          </cell>
          <cell r="E651" t="str">
            <v>Investissement</v>
          </cell>
          <cell r="F651">
            <v>0</v>
          </cell>
        </row>
        <row r="652">
          <cell r="A652" t="str">
            <v>DIRECTION JURIDIQUE</v>
          </cell>
          <cell r="B652" t="str">
            <v>JURIDIQUE</v>
          </cell>
          <cell r="C652" t="str">
            <v>CONTRAT</v>
          </cell>
          <cell r="D652">
            <v>2020</v>
          </cell>
          <cell r="E652" t="str">
            <v>Investissement</v>
          </cell>
          <cell r="F652">
            <v>0</v>
          </cell>
        </row>
        <row r="653">
          <cell r="A653" t="str">
            <v>DIRECTION CHARGEE DES RELATIONS INTERNATIONALES</v>
          </cell>
          <cell r="B653" t="str">
            <v>DRI</v>
          </cell>
          <cell r="C653" t="str">
            <v>CONTRAT</v>
          </cell>
          <cell r="D653">
            <v>2020</v>
          </cell>
          <cell r="E653" t="str">
            <v>Investissement</v>
          </cell>
          <cell r="F653">
            <v>0</v>
          </cell>
        </row>
        <row r="654">
          <cell r="A654" t="str">
            <v>DIRECTION DE L'AUDIT ET DU CONTRÔLE DE LA GESTION</v>
          </cell>
          <cell r="B654" t="str">
            <v>AUDIT ET CONTRÔLE DE LA GESTION</v>
          </cell>
          <cell r="C654" t="str">
            <v>CONTRAT</v>
          </cell>
          <cell r="D654">
            <v>2020</v>
          </cell>
          <cell r="E654" t="str">
            <v>Investissement</v>
          </cell>
          <cell r="F654">
            <v>0</v>
          </cell>
        </row>
        <row r="655">
          <cell r="A655" t="str">
            <v>DIRECTION DE L’INFORMATION RADIO</v>
          </cell>
          <cell r="B655" t="str">
            <v>INFORMATION RADIO</v>
          </cell>
          <cell r="C655" t="str">
            <v>CONTRAT</v>
          </cell>
          <cell r="D655">
            <v>2020</v>
          </cell>
          <cell r="E655" t="str">
            <v>Investissement</v>
          </cell>
          <cell r="F655">
            <v>0</v>
          </cell>
        </row>
        <row r="656">
          <cell r="A656" t="str">
            <v>DIRECTION DE L’INFORMATION TV</v>
          </cell>
          <cell r="B656" t="str">
            <v>INFORMATION TV</v>
          </cell>
          <cell r="C656" t="str">
            <v>CONTRAT</v>
          </cell>
          <cell r="D656">
            <v>2020</v>
          </cell>
          <cell r="E656" t="str">
            <v>Investissement</v>
          </cell>
          <cell r="F656">
            <v>0</v>
          </cell>
        </row>
        <row r="657">
          <cell r="A657" t="str">
            <v>DIRECTION DE LA PRODUCTION ET DE LA PROGRAMMATION RADIO</v>
          </cell>
          <cell r="B657" t="str">
            <v>RADIO PROD PROG</v>
          </cell>
          <cell r="C657" t="str">
            <v>CONTRAT</v>
          </cell>
          <cell r="D657">
            <v>2020</v>
          </cell>
          <cell r="E657" t="str">
            <v>Investissement</v>
          </cell>
          <cell r="F657">
            <v>0</v>
          </cell>
        </row>
        <row r="658">
          <cell r="A658" t="str">
            <v>DIRECTION DE LA REGIE PUBLICITAIRE ET DES SOLUTIONS DIGITALES</v>
          </cell>
          <cell r="B658" t="str">
            <v xml:space="preserve">REGIE PUBLICITAIRE </v>
          </cell>
          <cell r="C658" t="str">
            <v>CONTRAT</v>
          </cell>
          <cell r="D658">
            <v>2020</v>
          </cell>
          <cell r="E658" t="str">
            <v>Investissement</v>
          </cell>
          <cell r="F658">
            <v>0</v>
          </cell>
        </row>
        <row r="659">
          <cell r="A659" t="str">
            <v>DIRECTION MARKETING ET PROGRAMATION TV</v>
          </cell>
          <cell r="B659" t="str">
            <v>MARKETING ET PROG TV</v>
          </cell>
          <cell r="C659" t="str">
            <v>CONTRAT</v>
          </cell>
          <cell r="D659">
            <v>2020</v>
          </cell>
          <cell r="E659" t="str">
            <v>Investissement</v>
          </cell>
          <cell r="F659">
            <v>0</v>
          </cell>
        </row>
        <row r="660">
          <cell r="A660" t="str">
            <v>DIRECTION DE LA COMMUNICATION</v>
          </cell>
          <cell r="B660" t="str">
            <v>COMMUNICATION</v>
          </cell>
          <cell r="C660" t="str">
            <v>CONTRAT</v>
          </cell>
          <cell r="D660">
            <v>2020</v>
          </cell>
          <cell r="E660" t="str">
            <v>Investissement</v>
          </cell>
          <cell r="F660">
            <v>0</v>
          </cell>
        </row>
        <row r="661">
          <cell r="A661" t="str">
            <v>DIRECTION ALMAGHRIBIA</v>
          </cell>
          <cell r="B661" t="str">
            <v>ALMAGHRIBIA</v>
          </cell>
          <cell r="C661" t="str">
            <v>CONTRAT</v>
          </cell>
          <cell r="D661">
            <v>2020</v>
          </cell>
          <cell r="E661" t="str">
            <v>Investissement</v>
          </cell>
          <cell r="F661">
            <v>0</v>
          </cell>
        </row>
        <row r="662">
          <cell r="A662" t="str">
            <v xml:space="preserve">DIRECTION CENTRALE DE LA CHAINE TV LAAYOUNE </v>
          </cell>
          <cell r="B662" t="str">
            <v xml:space="preserve">LAAYOUNE </v>
          </cell>
          <cell r="C662" t="str">
            <v>CONTRAT</v>
          </cell>
          <cell r="D662">
            <v>2020</v>
          </cell>
          <cell r="E662" t="str">
            <v>Investissement</v>
          </cell>
          <cell r="F662">
            <v>0</v>
          </cell>
        </row>
        <row r="663">
          <cell r="A663" t="str">
            <v>DIRECTION CENTRALE DE LA CHAÎNE ARRYADIA</v>
          </cell>
          <cell r="B663" t="str">
            <v>ARRYADIA</v>
          </cell>
          <cell r="C663" t="str">
            <v>CONTRAT</v>
          </cell>
          <cell r="D663">
            <v>2020</v>
          </cell>
          <cell r="E663" t="str">
            <v>Investissement</v>
          </cell>
          <cell r="F663">
            <v>0</v>
          </cell>
        </row>
        <row r="664">
          <cell r="A664" t="str">
            <v>DIRECTION CENTRALE DE LA CHAÎNE TAMAZIGHT</v>
          </cell>
          <cell r="B664" t="str">
            <v>TAMAZIGHT</v>
          </cell>
          <cell r="C664" t="str">
            <v>CONTRAT</v>
          </cell>
          <cell r="D664">
            <v>2020</v>
          </cell>
          <cell r="E664" t="str">
            <v>Investissement</v>
          </cell>
          <cell r="F664">
            <v>0</v>
          </cell>
        </row>
        <row r="665">
          <cell r="A665" t="str">
            <v>DIRECTION CENTRALE DE LA PRODUCTION ET DE L'ANTENNE</v>
          </cell>
          <cell r="B665" t="str">
            <v>ALAOULA</v>
          </cell>
          <cell r="C665" t="str">
            <v>CONTRAT</v>
          </cell>
          <cell r="D665">
            <v>2020</v>
          </cell>
          <cell r="E665" t="str">
            <v>Investissement</v>
          </cell>
          <cell r="F665">
            <v>0</v>
          </cell>
        </row>
        <row r="666">
          <cell r="A666" t="str">
            <v>DIRECTION DE LA QUATRIEME</v>
          </cell>
          <cell r="B666" t="str">
            <v>QUATRIEME</v>
          </cell>
          <cell r="C666" t="str">
            <v>CONTRAT</v>
          </cell>
          <cell r="D666">
            <v>2020</v>
          </cell>
          <cell r="E666" t="str">
            <v>Investissement</v>
          </cell>
          <cell r="F666">
            <v>0</v>
          </cell>
        </row>
        <row r="667">
          <cell r="A667" t="str">
            <v>DIRECTION DES CHAÎNES CORANIQUES TV RADIO</v>
          </cell>
          <cell r="B667" t="str">
            <v>ASSADISSA ET RADIO COR</v>
          </cell>
          <cell r="C667" t="str">
            <v>CONTRAT</v>
          </cell>
          <cell r="D667">
            <v>2020</v>
          </cell>
          <cell r="E667" t="str">
            <v>Investissement</v>
          </cell>
          <cell r="F667">
            <v>0</v>
          </cell>
        </row>
        <row r="668">
          <cell r="A668" t="str">
            <v>DIRECTION DES SYSTEMES D'INFORMATION</v>
          </cell>
          <cell r="B668" t="str">
            <v>DSI</v>
          </cell>
          <cell r="C668" t="str">
            <v>CONTRAT</v>
          </cell>
          <cell r="D668">
            <v>2020</v>
          </cell>
          <cell r="E668" t="str">
            <v>Investissement</v>
          </cell>
          <cell r="F668">
            <v>0</v>
          </cell>
        </row>
        <row r="669">
          <cell r="A669" t="str">
            <v>DIRECTION TECHNIQUE</v>
          </cell>
          <cell r="B669" t="str">
            <v>TECHNIQUE</v>
          </cell>
          <cell r="C669" t="str">
            <v>CONTRAT</v>
          </cell>
          <cell r="D669">
            <v>2021</v>
          </cell>
          <cell r="E669" t="str">
            <v>Investissement</v>
          </cell>
          <cell r="F669">
            <v>0</v>
          </cell>
        </row>
        <row r="670">
          <cell r="A670" t="str">
            <v>DIRECTION DE LA TELEDIFFUSION</v>
          </cell>
          <cell r="B670" t="str">
            <v>TELEDIFFUSION</v>
          </cell>
          <cell r="C670" t="str">
            <v>CONTRAT</v>
          </cell>
          <cell r="D670">
            <v>2021</v>
          </cell>
          <cell r="E670" t="str">
            <v>Investissement</v>
          </cell>
          <cell r="F670">
            <v>3.5555930600000005</v>
          </cell>
        </row>
        <row r="671">
          <cell r="A671" t="str">
            <v>DIRECTION DES ACHATS</v>
          </cell>
          <cell r="B671" t="str">
            <v>ACHATS</v>
          </cell>
          <cell r="C671" t="str">
            <v>CONTRAT</v>
          </cell>
          <cell r="D671">
            <v>2021</v>
          </cell>
          <cell r="E671" t="str">
            <v>Investissement</v>
          </cell>
          <cell r="F671">
            <v>0</v>
          </cell>
        </row>
        <row r="672">
          <cell r="A672" t="str">
            <v>DIRECTION FINANCIERE</v>
          </cell>
          <cell r="B672" t="str">
            <v>FINANCES</v>
          </cell>
          <cell r="C672" t="str">
            <v>CONTRAT</v>
          </cell>
          <cell r="D672">
            <v>2021</v>
          </cell>
          <cell r="E672" t="str">
            <v>Investissement</v>
          </cell>
          <cell r="F672">
            <v>0</v>
          </cell>
        </row>
        <row r="673">
          <cell r="A673" t="str">
            <v>DIRECTION DES RESSOURCES HUMAINES</v>
          </cell>
          <cell r="B673" t="str">
            <v>RESSOURCES HUMAINES</v>
          </cell>
          <cell r="C673" t="str">
            <v>CONTRAT</v>
          </cell>
          <cell r="D673">
            <v>2021</v>
          </cell>
          <cell r="E673" t="str">
            <v>Investissement</v>
          </cell>
          <cell r="F673">
            <v>0</v>
          </cell>
        </row>
        <row r="674">
          <cell r="A674" t="str">
            <v>DIRECTION DU PATRIMOINE  ET DES MOYENS GENERAUX</v>
          </cell>
          <cell r="B674" t="str">
            <v>DPMG</v>
          </cell>
          <cell r="C674" t="str">
            <v>CONTRAT</v>
          </cell>
          <cell r="D674">
            <v>2021</v>
          </cell>
          <cell r="E674" t="str">
            <v>Investissement</v>
          </cell>
          <cell r="F674">
            <v>0</v>
          </cell>
        </row>
        <row r="675">
          <cell r="A675" t="str">
            <v>DIRECTION JURIDIQUE</v>
          </cell>
          <cell r="B675" t="str">
            <v>JURIDIQUE</v>
          </cell>
          <cell r="C675" t="str">
            <v>CONTRAT</v>
          </cell>
          <cell r="D675">
            <v>2021</v>
          </cell>
          <cell r="E675" t="str">
            <v>Investissement</v>
          </cell>
          <cell r="F675">
            <v>0</v>
          </cell>
        </row>
        <row r="676">
          <cell r="A676" t="str">
            <v>DIRECTION CHARGEE DES RELATIONS INTERNATIONALES</v>
          </cell>
          <cell r="B676" t="str">
            <v>DRI</v>
          </cell>
          <cell r="C676" t="str">
            <v>CONTRAT</v>
          </cell>
          <cell r="D676">
            <v>2021</v>
          </cell>
          <cell r="E676" t="str">
            <v>Investissement</v>
          </cell>
          <cell r="F676">
            <v>0</v>
          </cell>
        </row>
        <row r="677">
          <cell r="A677" t="str">
            <v>DIRECTION DE L'AUDIT ET DU CONTRÔLE DE LA GESTION</v>
          </cell>
          <cell r="B677" t="str">
            <v>AUDIT ET CONTRÔLE DE LA GESTION</v>
          </cell>
          <cell r="C677" t="str">
            <v>CONTRAT</v>
          </cell>
          <cell r="D677">
            <v>2021</v>
          </cell>
          <cell r="E677" t="str">
            <v>Investissement</v>
          </cell>
          <cell r="F677">
            <v>0</v>
          </cell>
        </row>
        <row r="678">
          <cell r="A678" t="str">
            <v>DIRECTION DE L’INFORMATION RADIO</v>
          </cell>
          <cell r="B678" t="str">
            <v>INFORMATION RADIO</v>
          </cell>
          <cell r="C678" t="str">
            <v>CONTRAT</v>
          </cell>
          <cell r="D678">
            <v>2021</v>
          </cell>
          <cell r="E678" t="str">
            <v>Investissement</v>
          </cell>
          <cell r="F678">
            <v>0</v>
          </cell>
        </row>
        <row r="679">
          <cell r="A679" t="str">
            <v>DIRECTION DE L’INFORMATION TV</v>
          </cell>
          <cell r="B679" t="str">
            <v>INFORMATION TV</v>
          </cell>
          <cell r="C679" t="str">
            <v>CONTRAT</v>
          </cell>
          <cell r="D679">
            <v>2021</v>
          </cell>
          <cell r="E679" t="str">
            <v>Investissement</v>
          </cell>
          <cell r="F679">
            <v>0</v>
          </cell>
        </row>
        <row r="680">
          <cell r="A680" t="str">
            <v>DIRECTION DE LA PRODUCTION ET DE LA PROGRAMMATION RADIO</v>
          </cell>
          <cell r="B680" t="str">
            <v>RADIO PROD PROG</v>
          </cell>
          <cell r="C680" t="str">
            <v>CONTRAT</v>
          </cell>
          <cell r="D680">
            <v>2021</v>
          </cell>
          <cell r="E680" t="str">
            <v>Investissement</v>
          </cell>
          <cell r="F680">
            <v>0</v>
          </cell>
        </row>
        <row r="681">
          <cell r="A681" t="str">
            <v>DIRECTION DE LA REGIE PUBLICITAIRE ET DES SOLUTIONS DIGITALES</v>
          </cell>
          <cell r="B681" t="str">
            <v xml:space="preserve">REGIE PUBLICITAIRE </v>
          </cell>
          <cell r="C681" t="str">
            <v>CONTRAT</v>
          </cell>
          <cell r="D681">
            <v>2021</v>
          </cell>
          <cell r="E681" t="str">
            <v>Investissement</v>
          </cell>
          <cell r="F681">
            <v>0</v>
          </cell>
        </row>
        <row r="682">
          <cell r="A682" t="str">
            <v>DIRECTION MARKETING ET PROGRAMATION TV</v>
          </cell>
          <cell r="B682" t="str">
            <v>MARKETING ET PROG TV</v>
          </cell>
          <cell r="C682" t="str">
            <v>CONTRAT</v>
          </cell>
          <cell r="D682">
            <v>2021</v>
          </cell>
          <cell r="E682" t="str">
            <v>Investissement</v>
          </cell>
          <cell r="F682">
            <v>0</v>
          </cell>
        </row>
        <row r="683">
          <cell r="A683" t="str">
            <v>DIRECTION DE LA COMMUNICATION</v>
          </cell>
          <cell r="B683" t="str">
            <v>COMMUNICATION</v>
          </cell>
          <cell r="C683" t="str">
            <v>CONTRAT</v>
          </cell>
          <cell r="D683">
            <v>2021</v>
          </cell>
          <cell r="E683" t="str">
            <v>Investissement</v>
          </cell>
          <cell r="F683">
            <v>0</v>
          </cell>
        </row>
        <row r="684">
          <cell r="A684" t="str">
            <v>DIRECTION ALMAGHRIBIA</v>
          </cell>
          <cell r="B684" t="str">
            <v>ALMAGHRIBIA</v>
          </cell>
          <cell r="C684" t="str">
            <v>CONTRAT</v>
          </cell>
          <cell r="D684">
            <v>2021</v>
          </cell>
          <cell r="E684" t="str">
            <v>Investissement</v>
          </cell>
          <cell r="F684">
            <v>0</v>
          </cell>
        </row>
        <row r="685">
          <cell r="A685" t="str">
            <v xml:space="preserve">DIRECTION CENTRALE DE LA CHAINE TV LAAYOUNE </v>
          </cell>
          <cell r="B685" t="str">
            <v xml:space="preserve">LAAYOUNE </v>
          </cell>
          <cell r="C685" t="str">
            <v>CONTRAT</v>
          </cell>
          <cell r="D685">
            <v>2021</v>
          </cell>
          <cell r="E685" t="str">
            <v>Investissement</v>
          </cell>
          <cell r="F685">
            <v>0</v>
          </cell>
        </row>
        <row r="686">
          <cell r="A686" t="str">
            <v>DIRECTION CENTRALE DE LA CHAÎNE ARRYADIA</v>
          </cell>
          <cell r="B686" t="str">
            <v>ARRYADIA</v>
          </cell>
          <cell r="C686" t="str">
            <v>CONTRAT</v>
          </cell>
          <cell r="D686">
            <v>2021</v>
          </cell>
          <cell r="E686" t="str">
            <v>Investissement</v>
          </cell>
          <cell r="F686">
            <v>0</v>
          </cell>
        </row>
        <row r="687">
          <cell r="A687" t="str">
            <v>DIRECTION CENTRALE DE LA CHAÎNE TAMAZIGHT</v>
          </cell>
          <cell r="B687" t="str">
            <v>TAMAZIGHT</v>
          </cell>
          <cell r="C687" t="str">
            <v>CONTRAT</v>
          </cell>
          <cell r="D687">
            <v>2021</v>
          </cell>
          <cell r="E687" t="str">
            <v>Investissement</v>
          </cell>
          <cell r="F687">
            <v>0</v>
          </cell>
        </row>
        <row r="688">
          <cell r="A688" t="str">
            <v>DIRECTION CENTRALE DE LA PRODUCTION ET DE L'ANTENNE</v>
          </cell>
          <cell r="B688" t="str">
            <v>ALAOULA</v>
          </cell>
          <cell r="C688" t="str">
            <v>CONTRAT</v>
          </cell>
          <cell r="D688">
            <v>2021</v>
          </cell>
          <cell r="E688" t="str">
            <v>Investissement</v>
          </cell>
          <cell r="F688">
            <v>0</v>
          </cell>
        </row>
        <row r="689">
          <cell r="A689" t="str">
            <v>DIRECTION DE LA QUATRIEME</v>
          </cell>
          <cell r="B689" t="str">
            <v>QUATRIEME</v>
          </cell>
          <cell r="C689" t="str">
            <v>CONTRAT</v>
          </cell>
          <cell r="D689">
            <v>2021</v>
          </cell>
          <cell r="E689" t="str">
            <v>Investissement</v>
          </cell>
          <cell r="F689">
            <v>0</v>
          </cell>
        </row>
        <row r="690">
          <cell r="A690" t="str">
            <v>DIRECTION DES CHAÎNES CORANIQUES TV RADIO</v>
          </cell>
          <cell r="B690" t="str">
            <v>ASSADISSA ET RADIO COR</v>
          </cell>
          <cell r="C690" t="str">
            <v>CONTRAT</v>
          </cell>
          <cell r="D690">
            <v>2021</v>
          </cell>
          <cell r="E690" t="str">
            <v>Investissement</v>
          </cell>
          <cell r="F690">
            <v>0</v>
          </cell>
        </row>
        <row r="691">
          <cell r="A691" t="str">
            <v>DIRECTION DES SYSTEMES D'INFORMATION</v>
          </cell>
          <cell r="B691" t="str">
            <v>DSI</v>
          </cell>
          <cell r="C691" t="str">
            <v>CONTRAT</v>
          </cell>
          <cell r="D691">
            <v>2021</v>
          </cell>
          <cell r="E691" t="str">
            <v>Investissement</v>
          </cell>
          <cell r="F691">
            <v>0</v>
          </cell>
        </row>
        <row r="692">
          <cell r="A692" t="str">
            <v>DIRECTION TECHNIQUE</v>
          </cell>
          <cell r="B692" t="str">
            <v>TECHNIQUE</v>
          </cell>
          <cell r="C692" t="str">
            <v>CONTRAT</v>
          </cell>
          <cell r="D692">
            <v>2016</v>
          </cell>
          <cell r="E692" t="str">
            <v>Fonctionnement</v>
          </cell>
          <cell r="F692">
            <v>0.42</v>
          </cell>
        </row>
        <row r="693">
          <cell r="A693" t="str">
            <v>DIRECTION DE LA TELEDIFFUSION</v>
          </cell>
          <cell r="B693" t="str">
            <v>TELEDIFFUSION</v>
          </cell>
          <cell r="C693" t="str">
            <v>CONTRAT</v>
          </cell>
          <cell r="D693">
            <v>2016</v>
          </cell>
          <cell r="E693" t="str">
            <v>Fonctionnement</v>
          </cell>
          <cell r="F693">
            <v>123.11222637000002</v>
          </cell>
        </row>
        <row r="694">
          <cell r="A694" t="str">
            <v>DIRECTION DES ACHATS</v>
          </cell>
          <cell r="B694" t="str">
            <v>ACHATS</v>
          </cell>
          <cell r="C694" t="str">
            <v>CONTRAT</v>
          </cell>
          <cell r="D694">
            <v>2016</v>
          </cell>
          <cell r="E694" t="str">
            <v>Fonctionnement</v>
          </cell>
          <cell r="F694">
            <v>0.916688736</v>
          </cell>
        </row>
        <row r="695">
          <cell r="A695" t="str">
            <v>DIRECTION FINANCIERE</v>
          </cell>
          <cell r="B695" t="str">
            <v>FINANCES</v>
          </cell>
          <cell r="C695" t="str">
            <v>CONTRAT</v>
          </cell>
          <cell r="D695">
            <v>2016</v>
          </cell>
          <cell r="E695" t="str">
            <v>Fonctionnement</v>
          </cell>
          <cell r="F695">
            <v>0</v>
          </cell>
        </row>
        <row r="696">
          <cell r="A696" t="str">
            <v>DIRECTION DES RESSOURCES HUMAINES</v>
          </cell>
          <cell r="B696" t="str">
            <v>RESSOURCES HUMAINES</v>
          </cell>
          <cell r="C696" t="str">
            <v>CONTRAT</v>
          </cell>
          <cell r="D696">
            <v>2016</v>
          </cell>
          <cell r="E696" t="str">
            <v>Fonctionnement</v>
          </cell>
          <cell r="F696">
            <v>2.5560193600000001</v>
          </cell>
        </row>
        <row r="697">
          <cell r="A697" t="str">
            <v>DIRECTION DU PATRIMOINE  ET DES MOYENS GENERAUX</v>
          </cell>
          <cell r="B697" t="str">
            <v>DPMG</v>
          </cell>
          <cell r="C697" t="str">
            <v>CONTRAT</v>
          </cell>
          <cell r="D697">
            <v>2016</v>
          </cell>
          <cell r="E697" t="str">
            <v>Fonctionnement</v>
          </cell>
          <cell r="F697">
            <v>0</v>
          </cell>
        </row>
        <row r="698">
          <cell r="A698" t="str">
            <v>DIRECTION JURIDIQUE</v>
          </cell>
          <cell r="B698" t="str">
            <v>JURIDIQUE</v>
          </cell>
          <cell r="C698" t="str">
            <v>CONTRAT</v>
          </cell>
          <cell r="D698">
            <v>2016</v>
          </cell>
          <cell r="E698" t="str">
            <v>Fonctionnement</v>
          </cell>
          <cell r="F698">
            <v>0</v>
          </cell>
        </row>
        <row r="699">
          <cell r="A699" t="str">
            <v>DIRECTION CHARGEE DES RELATIONS INTERNATIONALES</v>
          </cell>
          <cell r="B699" t="str">
            <v>DRI</v>
          </cell>
          <cell r="C699" t="str">
            <v>CONTRAT</v>
          </cell>
          <cell r="D699">
            <v>2016</v>
          </cell>
          <cell r="E699" t="str">
            <v>Fonctionnement</v>
          </cell>
          <cell r="F699">
            <v>3.6265308300000001</v>
          </cell>
        </row>
        <row r="700">
          <cell r="A700" t="str">
            <v>DIRECTION DE L'AUDIT ET DU CONTRÔLE DE LA GESTION</v>
          </cell>
          <cell r="B700" t="str">
            <v>AUDIT ET CONTRÔLE DE LA GESTION</v>
          </cell>
          <cell r="C700" t="str">
            <v>CONTRAT</v>
          </cell>
          <cell r="D700">
            <v>2016</v>
          </cell>
          <cell r="E700" t="str">
            <v>Fonctionnement</v>
          </cell>
          <cell r="F700">
            <v>0</v>
          </cell>
        </row>
        <row r="701">
          <cell r="A701" t="str">
            <v>DIRECTION DE L’INFORMATION RADIO</v>
          </cell>
          <cell r="B701" t="str">
            <v>INFORMATION RADIO</v>
          </cell>
          <cell r="C701" t="str">
            <v>CONTRAT</v>
          </cell>
          <cell r="D701">
            <v>2016</v>
          </cell>
          <cell r="E701" t="str">
            <v>Fonctionnement</v>
          </cell>
          <cell r="F701">
            <v>0.79200000000000004</v>
          </cell>
        </row>
        <row r="702">
          <cell r="A702" t="str">
            <v>DIRECTION DE L’INFORMATION TV</v>
          </cell>
          <cell r="B702" t="str">
            <v>INFORMATION TV</v>
          </cell>
          <cell r="C702" t="str">
            <v>CONTRAT</v>
          </cell>
          <cell r="D702">
            <v>2016</v>
          </cell>
          <cell r="E702" t="str">
            <v>Fonctionnement</v>
          </cell>
          <cell r="F702">
            <v>6.1859033700000001</v>
          </cell>
        </row>
        <row r="703">
          <cell r="A703" t="str">
            <v>DIRECTION DE LA PRODUCTION ET DE LA PROGRAMMATION RADIO</v>
          </cell>
          <cell r="B703" t="str">
            <v>RADIO PROD PROG</v>
          </cell>
          <cell r="C703" t="str">
            <v>CONTRAT</v>
          </cell>
          <cell r="D703">
            <v>2016</v>
          </cell>
          <cell r="E703" t="str">
            <v>Fonctionnement</v>
          </cell>
          <cell r="F703">
            <v>6.6699940099999973</v>
          </cell>
        </row>
        <row r="704">
          <cell r="A704" t="str">
            <v>DIRECTION DE LA REGIE PUBLICITAIRE ET DES SOLUTIONS DIGITALES</v>
          </cell>
          <cell r="B704" t="str">
            <v xml:space="preserve">REGIE PUBLICITAIRE </v>
          </cell>
          <cell r="C704" t="str">
            <v>CONTRAT</v>
          </cell>
          <cell r="D704">
            <v>2016</v>
          </cell>
          <cell r="E704" t="str">
            <v>Fonctionnement</v>
          </cell>
          <cell r="F704">
            <v>0.13416934</v>
          </cell>
        </row>
        <row r="705">
          <cell r="A705" t="str">
            <v>DIRECTION MARKETING ET PROGRAMATION TV</v>
          </cell>
          <cell r="B705" t="str">
            <v>MARKETING ET PROG TV</v>
          </cell>
          <cell r="C705" t="str">
            <v>CONTRAT</v>
          </cell>
          <cell r="D705">
            <v>2016</v>
          </cell>
          <cell r="E705" t="str">
            <v>Fonctionnement</v>
          </cell>
          <cell r="F705">
            <v>0.28399999999999997</v>
          </cell>
        </row>
        <row r="706">
          <cell r="A706" t="str">
            <v>DIRECTION DE LA COMMUNICATION</v>
          </cell>
          <cell r="B706" t="str">
            <v>COMMUNICATION</v>
          </cell>
          <cell r="C706" t="str">
            <v>CONTRAT</v>
          </cell>
          <cell r="D706">
            <v>2016</v>
          </cell>
          <cell r="E706" t="str">
            <v>Fonctionnement</v>
          </cell>
          <cell r="F706">
            <v>0</v>
          </cell>
        </row>
        <row r="707">
          <cell r="A707" t="str">
            <v>DIRECTION ALMAGHRIBIA</v>
          </cell>
          <cell r="B707" t="str">
            <v>ALMAGHRIBIA</v>
          </cell>
          <cell r="C707" t="str">
            <v>CONTRAT</v>
          </cell>
          <cell r="D707">
            <v>2016</v>
          </cell>
          <cell r="E707" t="str">
            <v>Fonctionnement</v>
          </cell>
          <cell r="F707">
            <v>0</v>
          </cell>
        </row>
        <row r="708">
          <cell r="A708" t="str">
            <v xml:space="preserve">DIRECTION CENTRALE DE LA CHAINE TV LAAYOUNE </v>
          </cell>
          <cell r="B708" t="str">
            <v xml:space="preserve">LAAYOUNE </v>
          </cell>
          <cell r="C708" t="str">
            <v>CONTRAT</v>
          </cell>
          <cell r="D708">
            <v>2016</v>
          </cell>
          <cell r="E708" t="str">
            <v>Fonctionnement</v>
          </cell>
          <cell r="F708">
            <v>0.97142918</v>
          </cell>
        </row>
        <row r="709">
          <cell r="A709" t="str">
            <v>DIRECTION CENTRALE DE LA CHAÎNE ARRYADIA</v>
          </cell>
          <cell r="B709" t="str">
            <v>ARRYADIA</v>
          </cell>
          <cell r="C709" t="str">
            <v>CONTRAT</v>
          </cell>
          <cell r="D709">
            <v>2016</v>
          </cell>
          <cell r="E709" t="str">
            <v>Fonctionnement</v>
          </cell>
          <cell r="F709">
            <v>124.14327837</v>
          </cell>
        </row>
        <row r="710">
          <cell r="A710" t="str">
            <v>DIRECTION CENTRALE DE LA CHAÎNE TAMAZIGHT</v>
          </cell>
          <cell r="B710" t="str">
            <v>TAMAZIGHT</v>
          </cell>
          <cell r="C710" t="str">
            <v>CONTRAT</v>
          </cell>
          <cell r="D710">
            <v>2016</v>
          </cell>
          <cell r="E710" t="str">
            <v>Fonctionnement</v>
          </cell>
          <cell r="F710">
            <v>8.0048998599999965</v>
          </cell>
        </row>
        <row r="711">
          <cell r="A711" t="str">
            <v>DIRECTION CENTRALE DE LA PRODUCTION ET DE L'ANTENNE</v>
          </cell>
          <cell r="B711" t="str">
            <v>ALAOULA</v>
          </cell>
          <cell r="C711" t="str">
            <v>CONTRAT</v>
          </cell>
          <cell r="D711">
            <v>2016</v>
          </cell>
          <cell r="E711" t="str">
            <v>Fonctionnement</v>
          </cell>
          <cell r="F711">
            <v>44.883258892000001</v>
          </cell>
        </row>
        <row r="712">
          <cell r="A712" t="str">
            <v>DIRECTION DE LA QUATRIEME</v>
          </cell>
          <cell r="B712" t="str">
            <v>QUATRIEME</v>
          </cell>
          <cell r="C712" t="str">
            <v>CONTRAT</v>
          </cell>
          <cell r="D712">
            <v>2016</v>
          </cell>
          <cell r="E712" t="str">
            <v>Fonctionnement</v>
          </cell>
          <cell r="F712">
            <v>0</v>
          </cell>
        </row>
        <row r="713">
          <cell r="A713" t="str">
            <v>DIRECTION DES CHAÎNES CORANIQUES TV RADIO</v>
          </cell>
          <cell r="B713" t="str">
            <v>ASSADISSA ET RADIO COR</v>
          </cell>
          <cell r="C713" t="str">
            <v>CONTRAT</v>
          </cell>
          <cell r="D713">
            <v>2016</v>
          </cell>
          <cell r="E713" t="str">
            <v>Fonctionnement</v>
          </cell>
          <cell r="F713">
            <v>5.5418500000000002</v>
          </cell>
        </row>
        <row r="714">
          <cell r="A714" t="str">
            <v>DIRECTION DES SYSTEMES D'INFORMATION</v>
          </cell>
          <cell r="B714" t="str">
            <v>DSI</v>
          </cell>
          <cell r="C714" t="str">
            <v>CONTRAT</v>
          </cell>
          <cell r="D714">
            <v>2016</v>
          </cell>
          <cell r="E714" t="str">
            <v>Fonctionnement</v>
          </cell>
          <cell r="F714">
            <v>0</v>
          </cell>
        </row>
        <row r="715">
          <cell r="A715" t="str">
            <v>DIRECTION TECHNIQUE</v>
          </cell>
          <cell r="B715" t="str">
            <v>TECHNIQUE</v>
          </cell>
          <cell r="C715" t="str">
            <v>CONTRAT</v>
          </cell>
          <cell r="D715">
            <v>2017</v>
          </cell>
          <cell r="E715" t="str">
            <v>Fonctionnement</v>
          </cell>
          <cell r="F715">
            <v>0.42</v>
          </cell>
        </row>
        <row r="716">
          <cell r="A716" t="str">
            <v>DIRECTION DE LA TELEDIFFUSION</v>
          </cell>
          <cell r="B716" t="str">
            <v>TELEDIFFUSION</v>
          </cell>
          <cell r="C716" t="str">
            <v>CONTRAT</v>
          </cell>
          <cell r="D716">
            <v>2017</v>
          </cell>
          <cell r="E716" t="str">
            <v>Fonctionnement</v>
          </cell>
          <cell r="F716">
            <v>126.05929811559184</v>
          </cell>
        </row>
        <row r="717">
          <cell r="A717" t="str">
            <v>DIRECTION DES ACHATS</v>
          </cell>
          <cell r="B717" t="str">
            <v>ACHATS</v>
          </cell>
          <cell r="C717" t="str">
            <v>CONTRAT</v>
          </cell>
          <cell r="D717">
            <v>2017</v>
          </cell>
          <cell r="E717" t="str">
            <v>Fonctionnement</v>
          </cell>
          <cell r="F717">
            <v>0.12403311</v>
          </cell>
        </row>
        <row r="718">
          <cell r="A718" t="str">
            <v>DIRECTION FINANCIERE</v>
          </cell>
          <cell r="B718" t="str">
            <v>FINANCES</v>
          </cell>
          <cell r="C718" t="str">
            <v>CONTRAT</v>
          </cell>
          <cell r="D718">
            <v>2017</v>
          </cell>
          <cell r="E718" t="str">
            <v>Fonctionnement</v>
          </cell>
          <cell r="F718">
            <v>0</v>
          </cell>
        </row>
        <row r="719">
          <cell r="A719" t="str">
            <v>DIRECTION DES RESSOURCES HUMAINES</v>
          </cell>
          <cell r="B719" t="str">
            <v>RESSOURCES HUMAINES</v>
          </cell>
          <cell r="C719" t="str">
            <v>CONTRAT</v>
          </cell>
          <cell r="D719">
            <v>2017</v>
          </cell>
          <cell r="E719" t="str">
            <v>Fonctionnement</v>
          </cell>
          <cell r="F719">
            <v>1.5728789299999999</v>
          </cell>
        </row>
        <row r="720">
          <cell r="A720" t="str">
            <v>DIRECTION DU PATRIMOINE  ET DES MOYENS GENERAUX</v>
          </cell>
          <cell r="B720" t="str">
            <v>DPMG</v>
          </cell>
          <cell r="C720" t="str">
            <v>CONTRAT</v>
          </cell>
          <cell r="D720">
            <v>2017</v>
          </cell>
          <cell r="E720" t="str">
            <v>Fonctionnement</v>
          </cell>
          <cell r="F720">
            <v>3.6809869499999985</v>
          </cell>
        </row>
        <row r="721">
          <cell r="A721" t="str">
            <v>DIRECTION JURIDIQUE</v>
          </cell>
          <cell r="B721" t="str">
            <v>JURIDIQUE</v>
          </cell>
          <cell r="C721" t="str">
            <v>CONTRAT</v>
          </cell>
          <cell r="D721">
            <v>2017</v>
          </cell>
          <cell r="E721" t="str">
            <v>Fonctionnement</v>
          </cell>
          <cell r="F721">
            <v>0</v>
          </cell>
        </row>
        <row r="722">
          <cell r="A722" t="str">
            <v>DIRECTION CHARGEE DES RELATIONS INTERNATIONALES</v>
          </cell>
          <cell r="B722" t="str">
            <v>DRI</v>
          </cell>
          <cell r="C722" t="str">
            <v>CONTRAT</v>
          </cell>
          <cell r="D722">
            <v>2017</v>
          </cell>
          <cell r="E722" t="str">
            <v>Fonctionnement</v>
          </cell>
          <cell r="F722">
            <v>3.1993068300000003</v>
          </cell>
        </row>
        <row r="723">
          <cell r="A723" t="str">
            <v>DIRECTION DE L'AUDIT ET DU CONTRÔLE DE LA GESTION</v>
          </cell>
          <cell r="B723" t="str">
            <v>AUDIT ET CONTRÔLE DE LA GESTION</v>
          </cell>
          <cell r="C723" t="str">
            <v>CONTRAT</v>
          </cell>
          <cell r="D723">
            <v>2017</v>
          </cell>
          <cell r="E723" t="str">
            <v>Fonctionnement</v>
          </cell>
          <cell r="F723">
            <v>0</v>
          </cell>
        </row>
        <row r="724">
          <cell r="A724" t="str">
            <v>DIRECTION DE L’INFORMATION RADIO</v>
          </cell>
          <cell r="B724" t="str">
            <v>INFORMATION RADIO</v>
          </cell>
          <cell r="C724" t="str">
            <v>CONTRAT</v>
          </cell>
          <cell r="D724">
            <v>2017</v>
          </cell>
          <cell r="E724" t="str">
            <v>Fonctionnement</v>
          </cell>
          <cell r="F724">
            <v>0</v>
          </cell>
        </row>
        <row r="725">
          <cell r="A725" t="str">
            <v>DIRECTION DE L’INFORMATION TV</v>
          </cell>
          <cell r="B725" t="str">
            <v>INFORMATION TV</v>
          </cell>
          <cell r="C725" t="str">
            <v>CONTRAT</v>
          </cell>
          <cell r="D725">
            <v>2017</v>
          </cell>
          <cell r="E725" t="str">
            <v>Fonctionnement</v>
          </cell>
          <cell r="F725">
            <v>9.574410949999999</v>
          </cell>
        </row>
        <row r="726">
          <cell r="A726" t="str">
            <v>DIRECTION DE LA PRODUCTION ET DE LA PROGRAMMATION RADIO</v>
          </cell>
          <cell r="B726" t="str">
            <v>RADIO PROD PROG</v>
          </cell>
          <cell r="C726" t="str">
            <v>CONTRAT</v>
          </cell>
          <cell r="D726">
            <v>2017</v>
          </cell>
          <cell r="E726" t="str">
            <v>Fonctionnement</v>
          </cell>
          <cell r="F726">
            <v>6.8988511199999936</v>
          </cell>
        </row>
        <row r="727">
          <cell r="A727" t="str">
            <v>DIRECTION DE LA REGIE PUBLICITAIRE ET DES SOLUTIONS DIGITALES</v>
          </cell>
          <cell r="B727" t="str">
            <v xml:space="preserve">REGIE PUBLICITAIRE </v>
          </cell>
          <cell r="C727" t="str">
            <v>CONTRAT</v>
          </cell>
          <cell r="D727">
            <v>2017</v>
          </cell>
          <cell r="E727" t="str">
            <v>Fonctionnement</v>
          </cell>
          <cell r="F727">
            <v>0.1008</v>
          </cell>
        </row>
        <row r="728">
          <cell r="A728" t="str">
            <v>DIRECTION MARKETING ET PROGRAMATION TV</v>
          </cell>
          <cell r="B728" t="str">
            <v>MARKETING ET PROG TV</v>
          </cell>
          <cell r="C728" t="str">
            <v>CONTRAT</v>
          </cell>
          <cell r="D728">
            <v>2017</v>
          </cell>
          <cell r="E728" t="str">
            <v>Fonctionnement</v>
          </cell>
          <cell r="F728">
            <v>8.4000000000000005E-2</v>
          </cell>
        </row>
        <row r="729">
          <cell r="A729" t="str">
            <v>DIRECTION DE LA COMMUNICATION</v>
          </cell>
          <cell r="B729" t="str">
            <v>COMMUNICATION</v>
          </cell>
          <cell r="C729" t="str">
            <v>CONTRAT</v>
          </cell>
          <cell r="D729">
            <v>2017</v>
          </cell>
          <cell r="E729" t="str">
            <v>Fonctionnement</v>
          </cell>
          <cell r="F729">
            <v>0</v>
          </cell>
        </row>
        <row r="730">
          <cell r="A730" t="str">
            <v>DIRECTION ALMAGHRIBIA</v>
          </cell>
          <cell r="B730" t="str">
            <v>ALMAGHRIBIA</v>
          </cell>
          <cell r="C730" t="str">
            <v>CONTRAT</v>
          </cell>
          <cell r="D730">
            <v>2017</v>
          </cell>
          <cell r="E730" t="str">
            <v>Fonctionnement</v>
          </cell>
          <cell r="F730">
            <v>0</v>
          </cell>
        </row>
        <row r="731">
          <cell r="A731" t="str">
            <v xml:space="preserve">DIRECTION CENTRALE DE LA CHAINE TV LAAYOUNE </v>
          </cell>
          <cell r="B731" t="str">
            <v xml:space="preserve">LAAYOUNE </v>
          </cell>
          <cell r="C731" t="str">
            <v>CONTRAT</v>
          </cell>
          <cell r="D731">
            <v>2017</v>
          </cell>
          <cell r="E731" t="str">
            <v>Fonctionnement</v>
          </cell>
          <cell r="F731">
            <v>1.06285776</v>
          </cell>
        </row>
        <row r="732">
          <cell r="A732" t="str">
            <v>DIRECTION CENTRALE DE LA CHAÎNE ARRYADIA</v>
          </cell>
          <cell r="B732" t="str">
            <v>ARRYADIA</v>
          </cell>
          <cell r="C732" t="str">
            <v>CONTRAT</v>
          </cell>
          <cell r="D732">
            <v>2017</v>
          </cell>
          <cell r="E732" t="str">
            <v>Fonctionnement</v>
          </cell>
          <cell r="F732">
            <v>123.83331692</v>
          </cell>
        </row>
        <row r="733">
          <cell r="A733" t="str">
            <v>DIRECTION CENTRALE DE LA CHAÎNE TAMAZIGHT</v>
          </cell>
          <cell r="B733" t="str">
            <v>TAMAZIGHT</v>
          </cell>
          <cell r="C733" t="str">
            <v>CONTRAT</v>
          </cell>
          <cell r="D733">
            <v>2017</v>
          </cell>
          <cell r="E733" t="str">
            <v>Fonctionnement</v>
          </cell>
          <cell r="F733">
            <v>8.4778133029999836</v>
          </cell>
        </row>
        <row r="734">
          <cell r="A734" t="str">
            <v>DIRECTION CENTRALE DE LA PRODUCTION ET DE L'ANTENNE</v>
          </cell>
          <cell r="B734" t="str">
            <v>ALAOULA</v>
          </cell>
          <cell r="C734" t="str">
            <v>CONTRAT</v>
          </cell>
          <cell r="D734">
            <v>2017</v>
          </cell>
          <cell r="E734" t="str">
            <v>Fonctionnement</v>
          </cell>
          <cell r="F734">
            <v>30.177968409999995</v>
          </cell>
        </row>
        <row r="735">
          <cell r="A735" t="str">
            <v>DIRECTION DE LA QUATRIEME</v>
          </cell>
          <cell r="B735" t="str">
            <v>QUATRIEME</v>
          </cell>
          <cell r="C735" t="str">
            <v>CONTRAT</v>
          </cell>
          <cell r="D735">
            <v>2017</v>
          </cell>
          <cell r="E735" t="str">
            <v>Fonctionnement</v>
          </cell>
          <cell r="F735">
            <v>0</v>
          </cell>
        </row>
        <row r="736">
          <cell r="A736" t="str">
            <v>DIRECTION DES CHAÎNES CORANIQUES TV RADIO</v>
          </cell>
          <cell r="B736" t="str">
            <v>ASSADISSA ET RADIO COR</v>
          </cell>
          <cell r="C736" t="str">
            <v>CONTRAT</v>
          </cell>
          <cell r="D736">
            <v>2017</v>
          </cell>
          <cell r="E736" t="str">
            <v>Fonctionnement</v>
          </cell>
          <cell r="F736">
            <v>4.0311599999999999</v>
          </cell>
        </row>
        <row r="737">
          <cell r="A737" t="str">
            <v>DIRECTION DES SYSTEMES D'INFORMATION</v>
          </cell>
          <cell r="B737" t="str">
            <v>DSI</v>
          </cell>
          <cell r="C737" t="str">
            <v>CONTRAT</v>
          </cell>
          <cell r="D737">
            <v>2017</v>
          </cell>
          <cell r="E737" t="str">
            <v>Fonctionnement</v>
          </cell>
          <cell r="F737">
            <v>2</v>
          </cell>
        </row>
        <row r="738">
          <cell r="A738" t="str">
            <v>DIRECTION TECHNIQUE</v>
          </cell>
          <cell r="B738" t="str">
            <v>TECHNIQUE</v>
          </cell>
          <cell r="C738" t="str">
            <v>CONTRAT</v>
          </cell>
          <cell r="D738">
            <v>2018</v>
          </cell>
          <cell r="E738" t="str">
            <v>Fonctionnement</v>
          </cell>
          <cell r="F738">
            <v>0.252</v>
          </cell>
        </row>
        <row r="739">
          <cell r="A739" t="str">
            <v>DIRECTION DE LA TELEDIFFUSION</v>
          </cell>
          <cell r="B739" t="str">
            <v>TELEDIFFUSION</v>
          </cell>
          <cell r="C739" t="str">
            <v>CONTRAT</v>
          </cell>
          <cell r="D739">
            <v>2018</v>
          </cell>
          <cell r="E739" t="str">
            <v>Fonctionnement</v>
          </cell>
          <cell r="F739">
            <v>128.62799977239999</v>
          </cell>
        </row>
        <row r="740">
          <cell r="A740" t="str">
            <v>DIRECTION DES ACHATS</v>
          </cell>
          <cell r="B740" t="str">
            <v>ACHATS</v>
          </cell>
          <cell r="C740" t="str">
            <v>CONTRAT</v>
          </cell>
          <cell r="D740">
            <v>2018</v>
          </cell>
          <cell r="E740" t="str">
            <v>Fonctionnement</v>
          </cell>
          <cell r="F740">
            <v>0</v>
          </cell>
        </row>
        <row r="741">
          <cell r="A741" t="str">
            <v>DIRECTION FINANCIERE</v>
          </cell>
          <cell r="B741" t="str">
            <v>FINANCES</v>
          </cell>
          <cell r="C741" t="str">
            <v>CONTRAT</v>
          </cell>
          <cell r="D741">
            <v>2018</v>
          </cell>
          <cell r="E741" t="str">
            <v>Fonctionnement</v>
          </cell>
          <cell r="F741">
            <v>0</v>
          </cell>
        </row>
        <row r="742">
          <cell r="A742" t="str">
            <v>DIRECTION DES RESSOURCES HUMAINES</v>
          </cell>
          <cell r="B742" t="str">
            <v>RESSOURCES HUMAINES</v>
          </cell>
          <cell r="C742" t="str">
            <v>CONTRAT</v>
          </cell>
          <cell r="D742">
            <v>2018</v>
          </cell>
          <cell r="E742" t="str">
            <v>Fonctionnement</v>
          </cell>
          <cell r="F742">
            <v>0.76777139999999999</v>
          </cell>
        </row>
        <row r="743">
          <cell r="A743" t="str">
            <v>DIRECTION DU PATRIMOINE  ET DES MOYENS GENERAUX</v>
          </cell>
          <cell r="B743" t="str">
            <v>DPMG</v>
          </cell>
          <cell r="C743" t="str">
            <v>CONTRAT</v>
          </cell>
          <cell r="D743">
            <v>2018</v>
          </cell>
          <cell r="E743" t="str">
            <v>Fonctionnement</v>
          </cell>
          <cell r="F743">
            <v>7.0212844540000008</v>
          </cell>
        </row>
        <row r="744">
          <cell r="A744" t="str">
            <v>DIRECTION JURIDIQUE</v>
          </cell>
          <cell r="B744" t="str">
            <v>JURIDIQUE</v>
          </cell>
          <cell r="C744" t="str">
            <v>CONTRAT</v>
          </cell>
          <cell r="D744">
            <v>2018</v>
          </cell>
          <cell r="E744" t="str">
            <v>Fonctionnement</v>
          </cell>
          <cell r="F744">
            <v>0.33045000000000002</v>
          </cell>
        </row>
        <row r="745">
          <cell r="A745" t="str">
            <v>DIRECTION CHARGEE DES RELATIONS INTERNATIONALES</v>
          </cell>
          <cell r="B745" t="str">
            <v>DRI</v>
          </cell>
          <cell r="C745" t="str">
            <v>CONTRAT</v>
          </cell>
          <cell r="D745">
            <v>2018</v>
          </cell>
          <cell r="E745" t="str">
            <v>Fonctionnement</v>
          </cell>
          <cell r="F745">
            <v>4.1404216900000002</v>
          </cell>
        </row>
        <row r="746">
          <cell r="A746" t="str">
            <v>DIRECTION DE L'AUDIT ET DU CONTRÔLE DE LA GESTION</v>
          </cell>
          <cell r="B746" t="str">
            <v>AUDIT ET CONTRÔLE DE LA GESTION</v>
          </cell>
          <cell r="C746" t="str">
            <v>CONTRAT</v>
          </cell>
          <cell r="D746">
            <v>2018</v>
          </cell>
          <cell r="E746" t="str">
            <v>Fonctionnement</v>
          </cell>
          <cell r="F746">
            <v>0</v>
          </cell>
        </row>
        <row r="747">
          <cell r="A747" t="str">
            <v>DIRECTION DE L’INFORMATION RADIO</v>
          </cell>
          <cell r="B747" t="str">
            <v>INFORMATION RADIO</v>
          </cell>
          <cell r="C747" t="str">
            <v>CONTRAT</v>
          </cell>
          <cell r="D747">
            <v>2018</v>
          </cell>
          <cell r="E747" t="str">
            <v>Fonctionnement</v>
          </cell>
          <cell r="F747">
            <v>0.504</v>
          </cell>
        </row>
        <row r="748">
          <cell r="A748" t="str">
            <v>DIRECTION DE L’INFORMATION TV</v>
          </cell>
          <cell r="B748" t="str">
            <v>INFORMATION TV</v>
          </cell>
          <cell r="C748" t="str">
            <v>CONTRAT</v>
          </cell>
          <cell r="D748">
            <v>2018</v>
          </cell>
          <cell r="E748" t="str">
            <v>Fonctionnement</v>
          </cell>
          <cell r="F748">
            <v>9.3728158379999993</v>
          </cell>
        </row>
        <row r="749">
          <cell r="A749" t="str">
            <v>DIRECTION DE LA PRODUCTION ET DE LA PROGRAMMATION RADIO</v>
          </cell>
          <cell r="B749" t="str">
            <v>RADIO PROD PROG</v>
          </cell>
          <cell r="C749" t="str">
            <v>CONTRAT</v>
          </cell>
          <cell r="D749">
            <v>2018</v>
          </cell>
          <cell r="E749" t="str">
            <v>Fonctionnement</v>
          </cell>
          <cell r="F749">
            <v>5.4375170399999968</v>
          </cell>
        </row>
        <row r="750">
          <cell r="A750" t="str">
            <v>DIRECTION DE LA REGIE PUBLICITAIRE ET DES SOLUTIONS DIGITALES</v>
          </cell>
          <cell r="B750" t="str">
            <v xml:space="preserve">REGIE PUBLICITAIRE </v>
          </cell>
          <cell r="C750" t="str">
            <v>CONTRAT</v>
          </cell>
          <cell r="D750">
            <v>2018</v>
          </cell>
          <cell r="E750" t="str">
            <v>Fonctionnement</v>
          </cell>
          <cell r="F750">
            <v>4.4999999999999998E-2</v>
          </cell>
        </row>
        <row r="751">
          <cell r="A751" t="str">
            <v>DIRECTION MARKETING ET PROGRAMATION TV</v>
          </cell>
          <cell r="B751" t="str">
            <v>MARKETING ET PROG TV</v>
          </cell>
          <cell r="C751" t="str">
            <v>CONTRAT</v>
          </cell>
          <cell r="D751">
            <v>2018</v>
          </cell>
          <cell r="E751" t="str">
            <v>Fonctionnement</v>
          </cell>
          <cell r="F751">
            <v>0.60599999999999998</v>
          </cell>
        </row>
        <row r="752">
          <cell r="A752" t="str">
            <v>DIRECTION DE LA COMMUNICATION</v>
          </cell>
          <cell r="B752" t="str">
            <v>COMMUNICATION</v>
          </cell>
          <cell r="C752" t="str">
            <v>CONTRAT</v>
          </cell>
          <cell r="D752">
            <v>2018</v>
          </cell>
          <cell r="E752" t="str">
            <v>Fonctionnement</v>
          </cell>
          <cell r="F752">
            <v>0</v>
          </cell>
        </row>
        <row r="753">
          <cell r="A753" t="str">
            <v>DIRECTION ALMAGHRIBIA</v>
          </cell>
          <cell r="B753" t="str">
            <v>ALMAGHRIBIA</v>
          </cell>
          <cell r="C753" t="str">
            <v>CONTRAT</v>
          </cell>
          <cell r="D753">
            <v>2018</v>
          </cell>
          <cell r="E753" t="str">
            <v>Fonctionnement</v>
          </cell>
          <cell r="F753">
            <v>0</v>
          </cell>
        </row>
        <row r="754">
          <cell r="A754" t="str">
            <v xml:space="preserve">DIRECTION CENTRALE DE LA CHAINE TV LAAYOUNE </v>
          </cell>
          <cell r="B754" t="str">
            <v xml:space="preserve">LAAYOUNE </v>
          </cell>
          <cell r="C754" t="str">
            <v>CONTRAT</v>
          </cell>
          <cell r="D754">
            <v>2018</v>
          </cell>
          <cell r="E754" t="str">
            <v>Fonctionnement</v>
          </cell>
          <cell r="F754">
            <v>0.89142912000000007</v>
          </cell>
        </row>
        <row r="755">
          <cell r="A755" t="str">
            <v>DIRECTION CENTRALE DE LA CHAÎNE ARRYADIA</v>
          </cell>
          <cell r="B755" t="str">
            <v>ARRYADIA</v>
          </cell>
          <cell r="C755" t="str">
            <v>CONTRAT</v>
          </cell>
          <cell r="D755">
            <v>2018</v>
          </cell>
          <cell r="E755" t="str">
            <v>Fonctionnement</v>
          </cell>
          <cell r="F755">
            <v>137.05095237999998</v>
          </cell>
        </row>
        <row r="756">
          <cell r="A756" t="str">
            <v>DIRECTION CENTRALE DE LA CHAÎNE TAMAZIGHT</v>
          </cell>
          <cell r="B756" t="str">
            <v>TAMAZIGHT</v>
          </cell>
          <cell r="C756" t="str">
            <v>CONTRAT</v>
          </cell>
          <cell r="D756">
            <v>2018</v>
          </cell>
          <cell r="E756" t="str">
            <v>Fonctionnement</v>
          </cell>
          <cell r="F756">
            <v>9.2469417499999924</v>
          </cell>
        </row>
        <row r="757">
          <cell r="A757" t="str">
            <v>DIRECTION CENTRALE DE LA PRODUCTION ET DE L'ANTENNE</v>
          </cell>
          <cell r="B757" t="str">
            <v>ALAOULA</v>
          </cell>
          <cell r="C757" t="str">
            <v>CONTRAT</v>
          </cell>
          <cell r="D757">
            <v>2018</v>
          </cell>
          <cell r="E757" t="str">
            <v>Fonctionnement</v>
          </cell>
          <cell r="F757">
            <v>61.396283898000021</v>
          </cell>
        </row>
        <row r="758">
          <cell r="A758" t="str">
            <v>DIRECTION DE LA QUATRIEME</v>
          </cell>
          <cell r="B758" t="str">
            <v>QUATRIEME</v>
          </cell>
          <cell r="C758" t="str">
            <v>CONTRAT</v>
          </cell>
          <cell r="D758">
            <v>2018</v>
          </cell>
          <cell r="E758" t="str">
            <v>Fonctionnement</v>
          </cell>
          <cell r="F758">
            <v>0</v>
          </cell>
        </row>
        <row r="759">
          <cell r="A759" t="str">
            <v>DIRECTION DES CHAÎNES CORANIQUES TV RADIO</v>
          </cell>
          <cell r="B759" t="str">
            <v>ASSADISSA ET RADIO COR</v>
          </cell>
          <cell r="C759" t="str">
            <v>CONTRAT</v>
          </cell>
          <cell r="D759">
            <v>2018</v>
          </cell>
          <cell r="E759" t="str">
            <v>Fonctionnement</v>
          </cell>
          <cell r="F759">
            <v>4.2736000000000001</v>
          </cell>
        </row>
        <row r="760">
          <cell r="A760" t="str">
            <v>DIRECTION DES SYSTEMES D'INFORMATION</v>
          </cell>
          <cell r="B760" t="str">
            <v>DSI</v>
          </cell>
          <cell r="C760" t="str">
            <v>CONTRAT</v>
          </cell>
          <cell r="D760">
            <v>2018</v>
          </cell>
          <cell r="E760" t="str">
            <v>Fonctionnement</v>
          </cell>
          <cell r="F760">
            <v>2</v>
          </cell>
        </row>
        <row r="761">
          <cell r="A761" t="str">
            <v>DIRECTION TECHNIQUE</v>
          </cell>
          <cell r="B761" t="str">
            <v>TECHNIQUE</v>
          </cell>
          <cell r="C761" t="str">
            <v>CONTRAT</v>
          </cell>
          <cell r="D761">
            <v>2019</v>
          </cell>
          <cell r="E761" t="str">
            <v>Fonctionnement</v>
          </cell>
          <cell r="F761">
            <v>0.425292012</v>
          </cell>
        </row>
        <row r="762">
          <cell r="A762" t="str">
            <v>DIRECTION DE LA TELEDIFFUSION</v>
          </cell>
          <cell r="B762" t="str">
            <v>TELEDIFFUSION</v>
          </cell>
          <cell r="C762" t="str">
            <v>CONTRAT</v>
          </cell>
          <cell r="D762">
            <v>2019</v>
          </cell>
          <cell r="E762" t="str">
            <v>Fonctionnement</v>
          </cell>
          <cell r="F762">
            <v>119.49479064900001</v>
          </cell>
        </row>
        <row r="763">
          <cell r="A763" t="str">
            <v>DIRECTION DES ACHATS</v>
          </cell>
          <cell r="B763" t="str">
            <v>ACHATS</v>
          </cell>
          <cell r="C763" t="str">
            <v>CONTRAT</v>
          </cell>
          <cell r="D763">
            <v>2019</v>
          </cell>
          <cell r="E763" t="str">
            <v>Fonctionnement</v>
          </cell>
          <cell r="F763">
            <v>0</v>
          </cell>
        </row>
        <row r="764">
          <cell r="A764" t="str">
            <v>DIRECTION FINANCIERE</v>
          </cell>
          <cell r="B764" t="str">
            <v>FINANCES</v>
          </cell>
          <cell r="C764" t="str">
            <v>CONTRAT</v>
          </cell>
          <cell r="D764">
            <v>2019</v>
          </cell>
          <cell r="E764" t="str">
            <v>Fonctionnement</v>
          </cell>
          <cell r="F764">
            <v>0</v>
          </cell>
        </row>
        <row r="765">
          <cell r="A765" t="str">
            <v>DIRECTION DES RESSOURCES HUMAINES</v>
          </cell>
          <cell r="B765" t="str">
            <v>RESSOURCES HUMAINES</v>
          </cell>
          <cell r="C765" t="str">
            <v>CONTRAT</v>
          </cell>
          <cell r="D765">
            <v>2019</v>
          </cell>
          <cell r="E765" t="str">
            <v>Fonctionnement</v>
          </cell>
          <cell r="F765">
            <v>5.5071785700000007</v>
          </cell>
        </row>
        <row r="766">
          <cell r="A766" t="str">
            <v>DIRECTION DU PATRIMOINE  ET DES MOYENS GENERAUX</v>
          </cell>
          <cell r="B766" t="str">
            <v>DPMG</v>
          </cell>
          <cell r="C766" t="str">
            <v>CONTRAT</v>
          </cell>
          <cell r="D766">
            <v>2019</v>
          </cell>
          <cell r="E766" t="str">
            <v>Fonctionnement</v>
          </cell>
          <cell r="F766">
            <v>4.0765565299999995</v>
          </cell>
        </row>
        <row r="767">
          <cell r="A767" t="str">
            <v>DIRECTION JURIDIQUE</v>
          </cell>
          <cell r="B767" t="str">
            <v>JURIDIQUE</v>
          </cell>
          <cell r="C767" t="str">
            <v>CONTRAT</v>
          </cell>
          <cell r="D767">
            <v>2019</v>
          </cell>
          <cell r="E767" t="str">
            <v>Fonctionnement</v>
          </cell>
          <cell r="F767">
            <v>0</v>
          </cell>
        </row>
        <row r="768">
          <cell r="A768" t="str">
            <v>DIRECTION CHARGEE DES RELATIONS INTERNATIONALES</v>
          </cell>
          <cell r="B768" t="str">
            <v>DRI</v>
          </cell>
          <cell r="C768" t="str">
            <v>CONTRAT</v>
          </cell>
          <cell r="D768">
            <v>2019</v>
          </cell>
          <cell r="E768" t="str">
            <v>Fonctionnement</v>
          </cell>
          <cell r="F768">
            <v>3.59675945</v>
          </cell>
        </row>
        <row r="769">
          <cell r="A769" t="str">
            <v>DIRECTION DE L'AUDIT ET DU CONTRÔLE DE LA GESTION</v>
          </cell>
          <cell r="B769" t="str">
            <v>AUDIT ET CONTRÔLE DE LA GESTION</v>
          </cell>
          <cell r="C769" t="str">
            <v>CONTRAT</v>
          </cell>
          <cell r="D769">
            <v>2019</v>
          </cell>
          <cell r="E769" t="str">
            <v>Fonctionnement</v>
          </cell>
          <cell r="F769">
            <v>0</v>
          </cell>
        </row>
        <row r="770">
          <cell r="A770" t="str">
            <v>DIRECTION DE L’INFORMATION RADIO</v>
          </cell>
          <cell r="B770" t="str">
            <v>INFORMATION RADIO</v>
          </cell>
          <cell r="C770" t="str">
            <v>CONTRAT</v>
          </cell>
          <cell r="D770">
            <v>2019</v>
          </cell>
          <cell r="E770" t="str">
            <v>Fonctionnement</v>
          </cell>
          <cell r="F770">
            <v>0.40799999999999997</v>
          </cell>
        </row>
        <row r="771">
          <cell r="A771" t="str">
            <v>DIRECTION DE L’INFORMATION TV</v>
          </cell>
          <cell r="B771" t="str">
            <v>INFORMATION TV</v>
          </cell>
          <cell r="C771" t="str">
            <v>CONTRAT</v>
          </cell>
          <cell r="D771">
            <v>2019</v>
          </cell>
          <cell r="E771" t="str">
            <v>Fonctionnement</v>
          </cell>
          <cell r="F771">
            <v>11.135138617999999</v>
          </cell>
        </row>
        <row r="772">
          <cell r="A772" t="str">
            <v>DIRECTION DE LA PRODUCTION ET DE LA PROGRAMMATION RADIO</v>
          </cell>
          <cell r="B772" t="str">
            <v>RADIO PROD PROG</v>
          </cell>
          <cell r="C772" t="str">
            <v>CONTRAT</v>
          </cell>
          <cell r="D772">
            <v>2019</v>
          </cell>
          <cell r="E772" t="str">
            <v>Fonctionnement</v>
          </cell>
          <cell r="F772">
            <v>4.8674600000000003</v>
          </cell>
        </row>
        <row r="773">
          <cell r="A773" t="str">
            <v>DIRECTION DE LA REGIE PUBLICITAIRE ET DES SOLUTIONS DIGITALES</v>
          </cell>
          <cell r="B773" t="str">
            <v xml:space="preserve">REGIE PUBLICITAIRE </v>
          </cell>
          <cell r="C773" t="str">
            <v>CONTRAT</v>
          </cell>
          <cell r="D773">
            <v>2019</v>
          </cell>
          <cell r="E773" t="str">
            <v>Fonctionnement</v>
          </cell>
          <cell r="F773">
            <v>7.0312396599999998</v>
          </cell>
        </row>
        <row r="774">
          <cell r="A774" t="str">
            <v>DIRECTION MARKETING ET PROGRAMATION TV</v>
          </cell>
          <cell r="B774" t="str">
            <v>MARKETING ET PROG TV</v>
          </cell>
          <cell r="C774" t="str">
            <v>CONTRAT</v>
          </cell>
          <cell r="D774">
            <v>2019</v>
          </cell>
          <cell r="E774" t="str">
            <v>Fonctionnement</v>
          </cell>
          <cell r="F774">
            <v>11.773199999999999</v>
          </cell>
        </row>
        <row r="775">
          <cell r="A775" t="str">
            <v>DIRECTION DE LA COMMUNICATION</v>
          </cell>
          <cell r="B775" t="str">
            <v>COMMUNICATION</v>
          </cell>
          <cell r="C775" t="str">
            <v>CONTRAT</v>
          </cell>
          <cell r="D775">
            <v>2019</v>
          </cell>
          <cell r="E775" t="str">
            <v>Fonctionnement</v>
          </cell>
          <cell r="F775">
            <v>0</v>
          </cell>
        </row>
        <row r="776">
          <cell r="A776" t="str">
            <v>DIRECTION ALMAGHRIBIA</v>
          </cell>
          <cell r="B776" t="str">
            <v>ALMAGHRIBIA</v>
          </cell>
          <cell r="C776" t="str">
            <v>CONTRAT</v>
          </cell>
          <cell r="D776">
            <v>2019</v>
          </cell>
          <cell r="E776" t="str">
            <v>Fonctionnement</v>
          </cell>
          <cell r="F776">
            <v>0</v>
          </cell>
        </row>
        <row r="777">
          <cell r="A777" t="str">
            <v xml:space="preserve">DIRECTION CENTRALE DE LA CHAINE TV LAAYOUNE </v>
          </cell>
          <cell r="B777" t="str">
            <v xml:space="preserve">LAAYOUNE </v>
          </cell>
          <cell r="C777" t="str">
            <v>CONTRAT</v>
          </cell>
          <cell r="D777">
            <v>2019</v>
          </cell>
          <cell r="E777" t="str">
            <v>Fonctionnement</v>
          </cell>
          <cell r="F777">
            <v>0.91428648000000012</v>
          </cell>
        </row>
        <row r="778">
          <cell r="A778" t="str">
            <v>DIRECTION CENTRALE DE LA CHAÎNE ARRYADIA</v>
          </cell>
          <cell r="B778" t="str">
            <v>ARRYADIA</v>
          </cell>
          <cell r="C778" t="str">
            <v>CONTRAT</v>
          </cell>
          <cell r="D778">
            <v>2019</v>
          </cell>
          <cell r="E778" t="str">
            <v>Fonctionnement</v>
          </cell>
          <cell r="F778">
            <v>133.13663262</v>
          </cell>
        </row>
        <row r="779">
          <cell r="A779" t="str">
            <v>DIRECTION CENTRALE DE LA CHAÎNE TAMAZIGHT</v>
          </cell>
          <cell r="B779" t="str">
            <v>TAMAZIGHT</v>
          </cell>
          <cell r="C779" t="str">
            <v>CONTRAT</v>
          </cell>
          <cell r="D779">
            <v>2019</v>
          </cell>
          <cell r="E779" t="str">
            <v>Fonctionnement</v>
          </cell>
          <cell r="F779">
            <v>8.2707999999999995</v>
          </cell>
        </row>
        <row r="780">
          <cell r="A780" t="str">
            <v>DIRECTION CENTRALE DE LA PRODUCTION ET DE L'ANTENNE</v>
          </cell>
          <cell r="B780" t="str">
            <v>ALAOULA</v>
          </cell>
          <cell r="C780" t="str">
            <v>CONTRAT</v>
          </cell>
          <cell r="D780">
            <v>2019</v>
          </cell>
          <cell r="E780" t="str">
            <v>Fonctionnement</v>
          </cell>
          <cell r="F780">
            <v>45.943971355999999</v>
          </cell>
        </row>
        <row r="781">
          <cell r="A781" t="str">
            <v>DIRECTION DE LA QUATRIEME</v>
          </cell>
          <cell r="B781" t="str">
            <v>QUATRIEME</v>
          </cell>
          <cell r="C781" t="str">
            <v>CONTRAT</v>
          </cell>
          <cell r="D781">
            <v>2019</v>
          </cell>
          <cell r="E781" t="str">
            <v>Fonctionnement</v>
          </cell>
          <cell r="F781">
            <v>0</v>
          </cell>
        </row>
        <row r="782">
          <cell r="A782" t="str">
            <v>DIRECTION DES CHAÎNES CORANIQUES TV RADIO</v>
          </cell>
          <cell r="B782" t="str">
            <v>ASSADISSA ET RADIO COR</v>
          </cell>
          <cell r="C782" t="str">
            <v>CONTRAT</v>
          </cell>
          <cell r="D782">
            <v>2019</v>
          </cell>
          <cell r="E782" t="str">
            <v>Fonctionnement</v>
          </cell>
          <cell r="F782">
            <v>5.4469707200000022</v>
          </cell>
        </row>
        <row r="783">
          <cell r="A783" t="str">
            <v>DIRECTION DES SYSTEMES D'INFORMATION</v>
          </cell>
          <cell r="B783" t="str">
            <v>DSI</v>
          </cell>
          <cell r="C783" t="str">
            <v>CONTRAT</v>
          </cell>
          <cell r="D783">
            <v>2019</v>
          </cell>
          <cell r="E783" t="str">
            <v>Fonctionnement</v>
          </cell>
          <cell r="F783">
            <v>2</v>
          </cell>
        </row>
        <row r="784">
          <cell r="A784" t="str">
            <v>DIRECTION TECHNIQUE</v>
          </cell>
          <cell r="B784" t="str">
            <v>TECHNIQUE</v>
          </cell>
          <cell r="C784" t="str">
            <v>CONTRAT</v>
          </cell>
          <cell r="D784">
            <v>2020</v>
          </cell>
          <cell r="E784" t="str">
            <v>Fonctionnement</v>
          </cell>
          <cell r="F784">
            <v>0.1956</v>
          </cell>
        </row>
        <row r="785">
          <cell r="A785" t="str">
            <v>DIRECTION DE LA TELEDIFFUSION</v>
          </cell>
          <cell r="B785" t="str">
            <v>TELEDIFFUSION</v>
          </cell>
          <cell r="C785" t="str">
            <v>CONTRAT</v>
          </cell>
          <cell r="D785">
            <v>2020</v>
          </cell>
          <cell r="E785" t="str">
            <v>Fonctionnement</v>
          </cell>
          <cell r="F785">
            <v>106.67262565280001</v>
          </cell>
        </row>
        <row r="786">
          <cell r="A786" t="str">
            <v>DIRECTION DES ACHATS</v>
          </cell>
          <cell r="B786" t="str">
            <v>ACHATS</v>
          </cell>
          <cell r="C786" t="str">
            <v>CONTRAT</v>
          </cell>
          <cell r="D786">
            <v>2020</v>
          </cell>
          <cell r="E786" t="str">
            <v>Fonctionnement</v>
          </cell>
          <cell r="F786">
            <v>0.75693332999999996</v>
          </cell>
        </row>
        <row r="787">
          <cell r="A787" t="str">
            <v>DIRECTION FINANCIERE</v>
          </cell>
          <cell r="B787" t="str">
            <v>FINANCES</v>
          </cell>
          <cell r="C787" t="str">
            <v>CONTRAT</v>
          </cell>
          <cell r="D787">
            <v>2020</v>
          </cell>
          <cell r="E787" t="str">
            <v>Fonctionnement</v>
          </cell>
          <cell r="F787">
            <v>0</v>
          </cell>
        </row>
        <row r="788">
          <cell r="A788" t="str">
            <v>DIRECTION DES RESSOURCES HUMAINES</v>
          </cell>
          <cell r="B788" t="str">
            <v>RESSOURCES HUMAINES</v>
          </cell>
          <cell r="C788" t="str">
            <v>CONTRAT</v>
          </cell>
          <cell r="D788">
            <v>2020</v>
          </cell>
          <cell r="E788" t="str">
            <v>Fonctionnement</v>
          </cell>
          <cell r="F788">
            <v>3.7030072000000001</v>
          </cell>
        </row>
        <row r="789">
          <cell r="A789" t="str">
            <v>DIRECTION DU PATRIMOINE  ET DES MOYENS GENERAUX</v>
          </cell>
          <cell r="B789" t="str">
            <v>DPMG</v>
          </cell>
          <cell r="C789" t="str">
            <v>CONTRAT</v>
          </cell>
          <cell r="D789">
            <v>2020</v>
          </cell>
          <cell r="E789" t="str">
            <v>Fonctionnement</v>
          </cell>
          <cell r="F789">
            <v>2.7347756299999997</v>
          </cell>
        </row>
        <row r="790">
          <cell r="A790" t="str">
            <v>DIRECTION JURIDIQUE</v>
          </cell>
          <cell r="B790" t="str">
            <v>JURIDIQUE</v>
          </cell>
          <cell r="C790" t="str">
            <v>CONTRAT</v>
          </cell>
          <cell r="D790">
            <v>2020</v>
          </cell>
          <cell r="E790" t="str">
            <v>Fonctionnement</v>
          </cell>
          <cell r="F790">
            <v>0.1089</v>
          </cell>
        </row>
        <row r="791">
          <cell r="A791" t="str">
            <v>DIRECTION CHARGEE DES RELATIONS INTERNATIONALES</v>
          </cell>
          <cell r="B791" t="str">
            <v>DRI</v>
          </cell>
          <cell r="C791" t="str">
            <v>CONTRAT</v>
          </cell>
          <cell r="D791">
            <v>2020</v>
          </cell>
          <cell r="E791" t="str">
            <v>Fonctionnement</v>
          </cell>
          <cell r="F791">
            <v>4.5454033299999992</v>
          </cell>
        </row>
        <row r="792">
          <cell r="A792" t="str">
            <v>DIRECTION DE L'AUDIT ET DU CONTRÔLE DE LA GESTION</v>
          </cell>
          <cell r="B792" t="str">
            <v>AUDIT ET CONTRÔLE DE LA GESTION</v>
          </cell>
          <cell r="C792" t="str">
            <v>CONTRAT</v>
          </cell>
          <cell r="D792">
            <v>2020</v>
          </cell>
          <cell r="E792" t="str">
            <v>Fonctionnement</v>
          </cell>
          <cell r="F792">
            <v>9.9750000000000005E-2</v>
          </cell>
        </row>
        <row r="793">
          <cell r="A793" t="str">
            <v>DIRECTION DE L’INFORMATION RADIO</v>
          </cell>
          <cell r="B793" t="str">
            <v>INFORMATION RADIO</v>
          </cell>
          <cell r="C793" t="str">
            <v>CONTRAT</v>
          </cell>
          <cell r="D793">
            <v>2020</v>
          </cell>
          <cell r="E793" t="str">
            <v>Fonctionnement</v>
          </cell>
          <cell r="F793">
            <v>0.40799999999999997</v>
          </cell>
        </row>
        <row r="794">
          <cell r="A794" t="str">
            <v>DIRECTION DE L’INFORMATION TV</v>
          </cell>
          <cell r="B794" t="str">
            <v>INFORMATION TV</v>
          </cell>
          <cell r="C794" t="str">
            <v>CONTRAT</v>
          </cell>
          <cell r="D794">
            <v>2020</v>
          </cell>
          <cell r="E794" t="str">
            <v>Fonctionnement</v>
          </cell>
          <cell r="F794">
            <v>10.256988659999998</v>
          </cell>
        </row>
        <row r="795">
          <cell r="A795" t="str">
            <v>DIRECTION DE LA PRODUCTION ET DE LA PROGRAMMATION RADIO</v>
          </cell>
          <cell r="B795" t="str">
            <v>RADIO PROD PROG</v>
          </cell>
          <cell r="C795" t="str">
            <v>CONTRAT</v>
          </cell>
          <cell r="D795">
            <v>2020</v>
          </cell>
          <cell r="E795" t="str">
            <v>Fonctionnement</v>
          </cell>
          <cell r="F795">
            <v>4.6239999999999997</v>
          </cell>
        </row>
        <row r="796">
          <cell r="A796" t="str">
            <v>DIRECTION DE LA REGIE PUBLICITAIRE ET DES SOLUTIONS DIGITALES</v>
          </cell>
          <cell r="B796" t="str">
            <v xml:space="preserve">REGIE PUBLICITAIRE </v>
          </cell>
          <cell r="C796" t="str">
            <v>CONTRAT</v>
          </cell>
          <cell r="D796">
            <v>2020</v>
          </cell>
          <cell r="E796" t="str">
            <v>Fonctionnement</v>
          </cell>
          <cell r="F796">
            <v>5.5471795600000009</v>
          </cell>
        </row>
        <row r="797">
          <cell r="A797" t="str">
            <v>DIRECTION MARKETING ET PROGRAMATION TV</v>
          </cell>
          <cell r="B797" t="str">
            <v>MARKETING ET PROG TV</v>
          </cell>
          <cell r="C797" t="str">
            <v>CONTRAT</v>
          </cell>
          <cell r="D797">
            <v>2020</v>
          </cell>
          <cell r="E797" t="str">
            <v>Fonctionnement</v>
          </cell>
          <cell r="F797">
            <v>1.5105341299999999</v>
          </cell>
        </row>
        <row r="798">
          <cell r="A798" t="str">
            <v>DIRECTION DE LA COMMUNICATION</v>
          </cell>
          <cell r="B798" t="str">
            <v>COMMUNICATION</v>
          </cell>
          <cell r="C798" t="str">
            <v>CONTRAT</v>
          </cell>
          <cell r="D798">
            <v>2020</v>
          </cell>
          <cell r="E798" t="str">
            <v>Fonctionnement</v>
          </cell>
          <cell r="F798">
            <v>0</v>
          </cell>
        </row>
        <row r="799">
          <cell r="A799" t="str">
            <v>DIRECTION ALMAGHRIBIA</v>
          </cell>
          <cell r="B799" t="str">
            <v>ALMAGHRIBIA</v>
          </cell>
          <cell r="C799" t="str">
            <v>CONTRAT</v>
          </cell>
          <cell r="D799">
            <v>2020</v>
          </cell>
          <cell r="E799" t="str">
            <v>Fonctionnement</v>
          </cell>
          <cell r="F799">
            <v>0</v>
          </cell>
        </row>
        <row r="800">
          <cell r="A800" t="str">
            <v xml:space="preserve">DIRECTION CENTRALE DE LA CHAINE TV LAAYOUNE </v>
          </cell>
          <cell r="B800" t="str">
            <v xml:space="preserve">LAAYOUNE </v>
          </cell>
          <cell r="C800" t="str">
            <v>CONTRAT</v>
          </cell>
          <cell r="D800">
            <v>2020</v>
          </cell>
          <cell r="E800" t="str">
            <v>Fonctionnement</v>
          </cell>
          <cell r="F800">
            <v>0.91428648000000001</v>
          </cell>
        </row>
        <row r="801">
          <cell r="A801" t="str">
            <v>DIRECTION CENTRALE DE LA CHAÎNE ARRYADIA</v>
          </cell>
          <cell r="B801" t="str">
            <v>ARRYADIA</v>
          </cell>
          <cell r="C801" t="str">
            <v>CONTRAT</v>
          </cell>
          <cell r="D801">
            <v>2020</v>
          </cell>
          <cell r="E801" t="str">
            <v>Fonctionnement</v>
          </cell>
          <cell r="F801">
            <v>120.40574813000001</v>
          </cell>
        </row>
        <row r="802">
          <cell r="A802" t="str">
            <v>DIRECTION CENTRALE DE LA CHAÎNE TAMAZIGHT</v>
          </cell>
          <cell r="B802" t="str">
            <v>TAMAZIGHT</v>
          </cell>
          <cell r="C802" t="str">
            <v>CONTRAT</v>
          </cell>
          <cell r="D802">
            <v>2020</v>
          </cell>
          <cell r="E802" t="str">
            <v>Fonctionnement</v>
          </cell>
          <cell r="F802">
            <v>6.8054936399999999</v>
          </cell>
        </row>
        <row r="803">
          <cell r="A803" t="str">
            <v>DIRECTION CENTRALE DE LA PRODUCTION ET DE L'ANTENNE</v>
          </cell>
          <cell r="B803" t="str">
            <v>ALAOULA</v>
          </cell>
          <cell r="C803" t="str">
            <v>CONTRAT</v>
          </cell>
          <cell r="D803">
            <v>2020</v>
          </cell>
          <cell r="E803" t="str">
            <v>Fonctionnement</v>
          </cell>
          <cell r="F803">
            <v>8.5062387799999986</v>
          </cell>
        </row>
        <row r="804">
          <cell r="A804" t="str">
            <v>DIRECTION DE LA QUATRIEME</v>
          </cell>
          <cell r="B804" t="str">
            <v>QUATRIEME</v>
          </cell>
          <cell r="C804" t="str">
            <v>CONTRAT</v>
          </cell>
          <cell r="D804">
            <v>2020</v>
          </cell>
          <cell r="E804" t="str">
            <v>Fonctionnement</v>
          </cell>
          <cell r="F804">
            <v>0.152532</v>
          </cell>
        </row>
        <row r="805">
          <cell r="A805" t="str">
            <v>DIRECTION DES CHAÎNES CORANIQUES TV RADIO</v>
          </cell>
          <cell r="B805" t="str">
            <v>ASSADISSA ET RADIO COR</v>
          </cell>
          <cell r="C805" t="str">
            <v>CONTRAT</v>
          </cell>
          <cell r="D805">
            <v>2020</v>
          </cell>
          <cell r="E805" t="str">
            <v>Fonctionnement</v>
          </cell>
          <cell r="F805">
            <v>9.1112669999999962</v>
          </cell>
        </row>
        <row r="806">
          <cell r="A806" t="str">
            <v>DIRECTION DES SYSTEMES D'INFORMATION</v>
          </cell>
          <cell r="B806" t="str">
            <v>DSI</v>
          </cell>
          <cell r="C806" t="str">
            <v>CONTRAT</v>
          </cell>
          <cell r="D806">
            <v>2020</v>
          </cell>
          <cell r="E806" t="str">
            <v>Fonctionnement</v>
          </cell>
          <cell r="F806">
            <v>2.5988000000000002</v>
          </cell>
        </row>
        <row r="807">
          <cell r="A807" t="str">
            <v>DIRECTION TECHNIQUE</v>
          </cell>
          <cell r="B807" t="str">
            <v>TECHNIQUE</v>
          </cell>
          <cell r="C807" t="str">
            <v>CONTRAT</v>
          </cell>
          <cell r="D807">
            <v>2021</v>
          </cell>
          <cell r="E807" t="str">
            <v>Fonctionnement</v>
          </cell>
          <cell r="F807">
            <v>0.86160000000000003</v>
          </cell>
        </row>
        <row r="808">
          <cell r="A808" t="str">
            <v>DIRECTION DE LA TELEDIFFUSION</v>
          </cell>
          <cell r="B808" t="str">
            <v>TELEDIFFUSION</v>
          </cell>
          <cell r="C808" t="str">
            <v>CONTRAT</v>
          </cell>
          <cell r="D808">
            <v>2021</v>
          </cell>
          <cell r="E808" t="str">
            <v>Fonctionnement</v>
          </cell>
          <cell r="F808">
            <v>110.5</v>
          </cell>
        </row>
        <row r="809">
          <cell r="A809" t="str">
            <v>DIRECTION DES ACHATS</v>
          </cell>
          <cell r="B809" t="str">
            <v>ACHATS</v>
          </cell>
          <cell r="C809" t="str">
            <v>CONTRAT</v>
          </cell>
          <cell r="D809">
            <v>2021</v>
          </cell>
          <cell r="E809" t="str">
            <v>Fonctionnement</v>
          </cell>
          <cell r="F809">
            <v>0.25559999999999999</v>
          </cell>
        </row>
        <row r="810">
          <cell r="A810" t="str">
            <v>DIRECTION FINANCIERE</v>
          </cell>
          <cell r="B810" t="str">
            <v>FINANCES</v>
          </cell>
          <cell r="C810" t="str">
            <v>CONTRAT</v>
          </cell>
          <cell r="D810">
            <v>2021</v>
          </cell>
          <cell r="E810" t="str">
            <v>Fonctionnement</v>
          </cell>
          <cell r="F810">
            <v>1.1952</v>
          </cell>
        </row>
        <row r="811">
          <cell r="A811" t="str">
            <v>DIRECTION DES RESSOURCES HUMAINES</v>
          </cell>
          <cell r="B811" t="str">
            <v>RESSOURCES HUMAINES</v>
          </cell>
          <cell r="C811" t="str">
            <v>CONTRAT</v>
          </cell>
          <cell r="D811">
            <v>2021</v>
          </cell>
          <cell r="E811" t="str">
            <v>Fonctionnement</v>
          </cell>
          <cell r="F811">
            <v>9.0225925399999998</v>
          </cell>
        </row>
        <row r="812">
          <cell r="A812" t="str">
            <v>DIRECTION DU PATRIMOINE  ET DES MOYENS GENERAUX</v>
          </cell>
          <cell r="B812" t="str">
            <v>DPMG</v>
          </cell>
          <cell r="C812" t="str">
            <v>CONTRAT</v>
          </cell>
          <cell r="D812">
            <v>2021</v>
          </cell>
          <cell r="E812" t="str">
            <v>Fonctionnement</v>
          </cell>
          <cell r="F812">
            <v>8.2645260199999999</v>
          </cell>
        </row>
        <row r="813">
          <cell r="A813" t="str">
            <v>DIRECTION JURIDIQUE</v>
          </cell>
          <cell r="B813" t="str">
            <v>JURIDIQUE</v>
          </cell>
          <cell r="C813" t="str">
            <v>CONTRAT</v>
          </cell>
          <cell r="D813">
            <v>2021</v>
          </cell>
          <cell r="E813" t="str">
            <v>Fonctionnement</v>
          </cell>
          <cell r="F813">
            <v>0</v>
          </cell>
        </row>
        <row r="814">
          <cell r="A814" t="str">
            <v>DIRECTION CHARGEE DES RELATIONS INTERNATIONALES</v>
          </cell>
          <cell r="B814" t="str">
            <v>DRI</v>
          </cell>
          <cell r="C814" t="str">
            <v>CONTRAT</v>
          </cell>
          <cell r="D814">
            <v>2021</v>
          </cell>
          <cell r="E814" t="str">
            <v>Fonctionnement</v>
          </cell>
          <cell r="F814">
            <v>4.2681396146999999</v>
          </cell>
        </row>
        <row r="815">
          <cell r="A815" t="str">
            <v>DIRECTION DE L'AUDIT ET DU CONTRÔLE DE LA GESTION</v>
          </cell>
          <cell r="B815" t="str">
            <v>AUDIT ET CONTRÔLE DE LA GESTION</v>
          </cell>
          <cell r="C815" t="str">
            <v>CONTRAT</v>
          </cell>
          <cell r="D815">
            <v>2021</v>
          </cell>
          <cell r="E815" t="str">
            <v>Fonctionnement</v>
          </cell>
          <cell r="F815">
            <v>0.14774999999999999</v>
          </cell>
        </row>
        <row r="816">
          <cell r="A816" t="str">
            <v>DIRECTION DE L’INFORMATION RADIO</v>
          </cell>
          <cell r="B816" t="str">
            <v>INFORMATION RADIO</v>
          </cell>
          <cell r="C816" t="str">
            <v>CONTRAT</v>
          </cell>
          <cell r="D816">
            <v>2021</v>
          </cell>
          <cell r="E816" t="str">
            <v>Fonctionnement</v>
          </cell>
          <cell r="F816">
            <v>0</v>
          </cell>
        </row>
        <row r="817">
          <cell r="A817" t="str">
            <v>DIRECTION DE L’INFORMATION TV</v>
          </cell>
          <cell r="B817" t="str">
            <v>INFORMATION TV</v>
          </cell>
          <cell r="C817" t="str">
            <v>CONTRAT</v>
          </cell>
          <cell r="D817">
            <v>2021</v>
          </cell>
          <cell r="E817" t="str">
            <v>Fonctionnement</v>
          </cell>
          <cell r="F817">
            <v>16.499759272000002</v>
          </cell>
        </row>
        <row r="818">
          <cell r="A818" t="str">
            <v>DIRECTION DE LA PRODUCTION ET DE LA PROGRAMMATION RADIO</v>
          </cell>
          <cell r="B818" t="str">
            <v>RADIO PROD PROG</v>
          </cell>
          <cell r="C818" t="str">
            <v>CONTRAT</v>
          </cell>
          <cell r="D818">
            <v>2021</v>
          </cell>
          <cell r="E818" t="str">
            <v>Fonctionnement</v>
          </cell>
          <cell r="F818">
            <v>4.9059999999999997</v>
          </cell>
        </row>
        <row r="819">
          <cell r="A819" t="str">
            <v>DIRECTION DE LA REGIE PUBLICITAIRE ET DES SOLUTIONS DIGITALES</v>
          </cell>
          <cell r="B819" t="str">
            <v xml:space="preserve">REGIE PUBLICITAIRE </v>
          </cell>
          <cell r="C819" t="str">
            <v>CONTRAT</v>
          </cell>
          <cell r="D819">
            <v>2021</v>
          </cell>
          <cell r="E819" t="str">
            <v>Fonctionnement</v>
          </cell>
          <cell r="F819">
            <v>3.6725356000000002</v>
          </cell>
        </row>
        <row r="820">
          <cell r="A820" t="str">
            <v>DIRECTION MARKETING ET PROGRAMATION TV</v>
          </cell>
          <cell r="B820" t="str">
            <v>MARKETING ET PROG TV</v>
          </cell>
          <cell r="C820" t="str">
            <v>CONTRAT</v>
          </cell>
          <cell r="D820">
            <v>2021</v>
          </cell>
          <cell r="E820" t="str">
            <v>Fonctionnement</v>
          </cell>
          <cell r="F820">
            <v>17.475942839999998</v>
          </cell>
        </row>
        <row r="821">
          <cell r="A821" t="str">
            <v>DIRECTION DE LA COMMUNICATION</v>
          </cell>
          <cell r="B821" t="str">
            <v>COMMUNICATION</v>
          </cell>
          <cell r="C821" t="str">
            <v>CONTRAT</v>
          </cell>
          <cell r="D821">
            <v>2021</v>
          </cell>
          <cell r="E821" t="str">
            <v>Fonctionnement</v>
          </cell>
          <cell r="F821">
            <v>0.68203999999999998</v>
          </cell>
        </row>
        <row r="822">
          <cell r="A822" t="str">
            <v>DIRECTION ALMAGHRIBIA</v>
          </cell>
          <cell r="B822" t="str">
            <v>ALMAGHRIBIA</v>
          </cell>
          <cell r="C822" t="str">
            <v>CONTRAT</v>
          </cell>
          <cell r="D822">
            <v>2021</v>
          </cell>
          <cell r="E822" t="str">
            <v>Fonctionnement</v>
          </cell>
          <cell r="F822">
            <v>0</v>
          </cell>
        </row>
        <row r="823">
          <cell r="A823" t="str">
            <v xml:space="preserve">DIRECTION CENTRALE DE LA CHAINE TV LAAYOUNE </v>
          </cell>
          <cell r="B823" t="str">
            <v xml:space="preserve">LAAYOUNE </v>
          </cell>
          <cell r="C823" t="str">
            <v>CONTRAT</v>
          </cell>
          <cell r="D823">
            <v>2021</v>
          </cell>
          <cell r="E823" t="str">
            <v>Fonctionnement</v>
          </cell>
          <cell r="F823">
            <v>0.91428648000000001</v>
          </cell>
        </row>
        <row r="824">
          <cell r="A824" t="str">
            <v>DIRECTION CENTRALE DE LA CHAÎNE ARRYADIA</v>
          </cell>
          <cell r="B824" t="str">
            <v>ARRYADIA</v>
          </cell>
          <cell r="C824" t="str">
            <v>CONTRAT</v>
          </cell>
          <cell r="D824">
            <v>2021</v>
          </cell>
          <cell r="E824" t="str">
            <v>Fonctionnement</v>
          </cell>
          <cell r="F824">
            <v>190.1595044</v>
          </cell>
        </row>
        <row r="825">
          <cell r="A825" t="str">
            <v>DIRECTION CENTRALE DE LA CHAÎNE TAMAZIGHT</v>
          </cell>
          <cell r="B825" t="str">
            <v>TAMAZIGHT</v>
          </cell>
          <cell r="C825" t="str">
            <v>CONTRAT</v>
          </cell>
          <cell r="D825">
            <v>2021</v>
          </cell>
          <cell r="E825" t="str">
            <v>Fonctionnement</v>
          </cell>
          <cell r="F825">
            <v>15.120371239999999</v>
          </cell>
        </row>
        <row r="826">
          <cell r="A826" t="str">
            <v>DIRECTION CENTRALE DE LA PRODUCTION ET DE L'ANTENNE</v>
          </cell>
          <cell r="B826" t="str">
            <v>ALAOULA</v>
          </cell>
          <cell r="C826" t="str">
            <v>CONTRAT</v>
          </cell>
          <cell r="D826">
            <v>2021</v>
          </cell>
          <cell r="E826" t="str">
            <v>Fonctionnement</v>
          </cell>
          <cell r="F826">
            <v>25.205228100000003</v>
          </cell>
        </row>
        <row r="827">
          <cell r="A827" t="str">
            <v>DIRECTION DE LA QUATRIEME</v>
          </cell>
          <cell r="B827" t="str">
            <v>QUATRIEME</v>
          </cell>
          <cell r="C827" t="str">
            <v>CONTRAT</v>
          </cell>
          <cell r="D827">
            <v>2021</v>
          </cell>
          <cell r="E827" t="str">
            <v>Fonctionnement</v>
          </cell>
          <cell r="F827">
            <v>0.33</v>
          </cell>
        </row>
        <row r="828">
          <cell r="A828" t="str">
            <v>DIRECTION DES CHAÎNES CORANIQUES TV RADIO</v>
          </cell>
          <cell r="B828" t="str">
            <v>ASSADISSA ET RADIO COR</v>
          </cell>
          <cell r="C828" t="str">
            <v>CONTRAT</v>
          </cell>
          <cell r="D828">
            <v>2021</v>
          </cell>
          <cell r="E828" t="str">
            <v>Fonctionnement</v>
          </cell>
          <cell r="F828">
            <v>14.359996340000002</v>
          </cell>
        </row>
        <row r="829">
          <cell r="A829" t="str">
            <v>DIRECTION DES SYSTEMES D'INFORMATION</v>
          </cell>
          <cell r="B829" t="str">
            <v>DSI</v>
          </cell>
          <cell r="C829" t="str">
            <v>CONTRAT</v>
          </cell>
          <cell r="D829">
            <v>2021</v>
          </cell>
          <cell r="E829" t="str">
            <v>Fonctionnement</v>
          </cell>
          <cell r="F829">
            <v>2.0150000000000001</v>
          </cell>
        </row>
        <row r="830">
          <cell r="A830" t="str">
            <v>DIRECTION TECHNIQUE</v>
          </cell>
          <cell r="B830" t="str">
            <v>TECHNIQUE</v>
          </cell>
          <cell r="C830" t="str">
            <v>PROD</v>
          </cell>
          <cell r="D830">
            <v>2016</v>
          </cell>
          <cell r="E830" t="str">
            <v>Investissement</v>
          </cell>
          <cell r="F830">
            <v>0</v>
          </cell>
        </row>
        <row r="831">
          <cell r="A831" t="str">
            <v>DIRECTION DE LA TELEDIFFUSION</v>
          </cell>
          <cell r="B831" t="str">
            <v>TELEDIFFUSION</v>
          </cell>
          <cell r="C831" t="str">
            <v>PROD</v>
          </cell>
          <cell r="D831">
            <v>2016</v>
          </cell>
          <cell r="E831" t="str">
            <v>Investissement</v>
          </cell>
          <cell r="F831">
            <v>0</v>
          </cell>
        </row>
        <row r="832">
          <cell r="A832" t="str">
            <v>DIRECTION DES ACHATS</v>
          </cell>
          <cell r="B832" t="str">
            <v>ACHATS</v>
          </cell>
          <cell r="C832" t="str">
            <v>PROD</v>
          </cell>
          <cell r="D832">
            <v>2016</v>
          </cell>
          <cell r="E832" t="str">
            <v>Investissement</v>
          </cell>
          <cell r="F832">
            <v>0</v>
          </cell>
        </row>
        <row r="833">
          <cell r="A833" t="str">
            <v>DIRECTION FINANCIERE</v>
          </cell>
          <cell r="B833" t="str">
            <v>FINANCES</v>
          </cell>
          <cell r="C833" t="str">
            <v>PROD</v>
          </cell>
          <cell r="D833">
            <v>2016</v>
          </cell>
          <cell r="E833" t="str">
            <v>Investissement</v>
          </cell>
          <cell r="F833">
            <v>0</v>
          </cell>
        </row>
        <row r="834">
          <cell r="A834" t="str">
            <v>DIRECTION DES RESSOURCES HUMAINES</v>
          </cell>
          <cell r="B834" t="str">
            <v>RESSOURCES HUMAINES</v>
          </cell>
          <cell r="C834" t="str">
            <v>PROD</v>
          </cell>
          <cell r="D834">
            <v>2016</v>
          </cell>
          <cell r="E834" t="str">
            <v>Investissement</v>
          </cell>
          <cell r="F834">
            <v>0</v>
          </cell>
        </row>
        <row r="835">
          <cell r="A835" t="str">
            <v>DIRECTION DU PATRIMOINE  ET DES MOYENS GENERAUX</v>
          </cell>
          <cell r="B835" t="str">
            <v>DPMG</v>
          </cell>
          <cell r="C835" t="str">
            <v>PROD</v>
          </cell>
          <cell r="D835">
            <v>2016</v>
          </cell>
          <cell r="E835" t="str">
            <v>Investissement</v>
          </cell>
          <cell r="F835">
            <v>0</v>
          </cell>
        </row>
        <row r="836">
          <cell r="A836" t="str">
            <v>DIRECTION JURIDIQUE</v>
          </cell>
          <cell r="B836" t="str">
            <v>JURIDIQUE</v>
          </cell>
          <cell r="C836" t="str">
            <v>PROD</v>
          </cell>
          <cell r="D836">
            <v>2016</v>
          </cell>
          <cell r="E836" t="str">
            <v>Investissement</v>
          </cell>
          <cell r="F836">
            <v>0</v>
          </cell>
        </row>
        <row r="837">
          <cell r="A837" t="str">
            <v>DIRECTION CHARGEE DES RELATIONS INTERNATIONALES</v>
          </cell>
          <cell r="B837" t="str">
            <v>DRI</v>
          </cell>
          <cell r="C837" t="str">
            <v>PROD</v>
          </cell>
          <cell r="D837">
            <v>2016</v>
          </cell>
          <cell r="E837" t="str">
            <v>Investissement</v>
          </cell>
          <cell r="F837">
            <v>0</v>
          </cell>
        </row>
        <row r="838">
          <cell r="A838" t="str">
            <v>DIRECTION DE L'AUDIT ET DU CONTRÔLE DE LA GESTION</v>
          </cell>
          <cell r="B838" t="str">
            <v>AUDIT ET CONTRÔLE DE LA GESTION</v>
          </cell>
          <cell r="C838" t="str">
            <v>PROD</v>
          </cell>
          <cell r="D838">
            <v>2016</v>
          </cell>
          <cell r="E838" t="str">
            <v>Investissement</v>
          </cell>
          <cell r="F838">
            <v>0</v>
          </cell>
        </row>
        <row r="839">
          <cell r="A839" t="str">
            <v>DIRECTION DE L’INFORMATION RADIO</v>
          </cell>
          <cell r="B839" t="str">
            <v>INFORMATION RADIO</v>
          </cell>
          <cell r="C839" t="str">
            <v>PROD</v>
          </cell>
          <cell r="D839">
            <v>2016</v>
          </cell>
          <cell r="E839" t="str">
            <v>Investissement</v>
          </cell>
          <cell r="F839">
            <v>0</v>
          </cell>
        </row>
        <row r="840">
          <cell r="A840" t="str">
            <v>DIRECTION DE L’INFORMATION TV</v>
          </cell>
          <cell r="B840" t="str">
            <v>INFORMATION TV</v>
          </cell>
          <cell r="C840" t="str">
            <v>PROD</v>
          </cell>
          <cell r="D840">
            <v>2016</v>
          </cell>
          <cell r="E840" t="str">
            <v>Investissement</v>
          </cell>
          <cell r="F840">
            <v>0</v>
          </cell>
        </row>
        <row r="841">
          <cell r="A841" t="str">
            <v>DIRECTION DE LA PRODUCTION ET DE LA PROGRAMMATION RADIO</v>
          </cell>
          <cell r="B841" t="str">
            <v>RADIO PROD PROG</v>
          </cell>
          <cell r="C841" t="str">
            <v>PROD</v>
          </cell>
          <cell r="D841">
            <v>2016</v>
          </cell>
          <cell r="E841" t="str">
            <v>Investissement</v>
          </cell>
          <cell r="F841">
            <v>0</v>
          </cell>
        </row>
        <row r="842">
          <cell r="A842" t="str">
            <v>DIRECTION DE LA REGIE PUBLICITAIRE ET DES SOLUTIONS DIGITALES</v>
          </cell>
          <cell r="B842" t="str">
            <v xml:space="preserve">REGIE PUBLICITAIRE </v>
          </cell>
          <cell r="C842" t="str">
            <v>PROD</v>
          </cell>
          <cell r="D842">
            <v>2016</v>
          </cell>
          <cell r="E842" t="str">
            <v>Investissement</v>
          </cell>
          <cell r="F842">
            <v>0</v>
          </cell>
        </row>
        <row r="843">
          <cell r="A843" t="str">
            <v>DIRECTION MARKETING ET PROGRAMATION TV</v>
          </cell>
          <cell r="B843" t="str">
            <v>MARKETING ET PROG TV</v>
          </cell>
          <cell r="C843" t="str">
            <v>PROD</v>
          </cell>
          <cell r="D843">
            <v>2016</v>
          </cell>
          <cell r="E843" t="str">
            <v>Investissement</v>
          </cell>
          <cell r="F843">
            <v>0</v>
          </cell>
        </row>
        <row r="844">
          <cell r="A844" t="str">
            <v>DIRECTION DE LA COMMUNICATION</v>
          </cell>
          <cell r="B844" t="str">
            <v>COMMUNICATION</v>
          </cell>
          <cell r="C844" t="str">
            <v>PROD</v>
          </cell>
          <cell r="D844">
            <v>2016</v>
          </cell>
          <cell r="E844" t="str">
            <v>Investissement</v>
          </cell>
          <cell r="F844">
            <v>0</v>
          </cell>
        </row>
        <row r="845">
          <cell r="A845" t="str">
            <v>DIRECTION ALMAGHRIBIA</v>
          </cell>
          <cell r="B845" t="str">
            <v>ALMAGHRIBIA</v>
          </cell>
          <cell r="C845" t="str">
            <v>PROD</v>
          </cell>
          <cell r="D845">
            <v>2016</v>
          </cell>
          <cell r="E845" t="str">
            <v>Investissement</v>
          </cell>
          <cell r="F845">
            <v>0</v>
          </cell>
        </row>
        <row r="846">
          <cell r="A846" t="str">
            <v xml:space="preserve">DIRECTION CENTRALE DE LA CHAINE TV LAAYOUNE </v>
          </cell>
          <cell r="B846" t="str">
            <v xml:space="preserve">LAAYOUNE </v>
          </cell>
          <cell r="C846" t="str">
            <v>PROD</v>
          </cell>
          <cell r="D846">
            <v>2016</v>
          </cell>
          <cell r="E846" t="str">
            <v>Investissement</v>
          </cell>
          <cell r="F846">
            <v>0</v>
          </cell>
        </row>
        <row r="847">
          <cell r="A847" t="str">
            <v>DIRECTION CENTRALE DE LA CHAÎNE ARRYADIA</v>
          </cell>
          <cell r="B847" t="str">
            <v>ARRYADIA</v>
          </cell>
          <cell r="C847" t="str">
            <v>PROD</v>
          </cell>
          <cell r="D847">
            <v>2016</v>
          </cell>
          <cell r="E847" t="str">
            <v>Investissement</v>
          </cell>
          <cell r="F847">
            <v>0</v>
          </cell>
        </row>
        <row r="848">
          <cell r="A848" t="str">
            <v>DIRECTION CENTRALE DE LA CHAÎNE TAMAZIGHT</v>
          </cell>
          <cell r="B848" t="str">
            <v>TAMAZIGHT</v>
          </cell>
          <cell r="C848" t="str">
            <v>PROD</v>
          </cell>
          <cell r="D848">
            <v>2016</v>
          </cell>
          <cell r="E848" t="str">
            <v>Investissement</v>
          </cell>
          <cell r="F848">
            <v>0</v>
          </cell>
        </row>
        <row r="849">
          <cell r="A849" t="str">
            <v>DIRECTION CENTRALE DE LA PRODUCTION ET DE L'ANTENNE</v>
          </cell>
          <cell r="B849" t="str">
            <v>ALAOULA</v>
          </cell>
          <cell r="C849" t="str">
            <v>PROD</v>
          </cell>
          <cell r="D849">
            <v>2016</v>
          </cell>
          <cell r="E849" t="str">
            <v>Investissement</v>
          </cell>
          <cell r="F849">
            <v>0</v>
          </cell>
        </row>
        <row r="850">
          <cell r="A850" t="str">
            <v>DIRECTION DE LA QUATRIEME</v>
          </cell>
          <cell r="B850" t="str">
            <v>QUATRIEME</v>
          </cell>
          <cell r="C850" t="str">
            <v>PROD</v>
          </cell>
          <cell r="D850">
            <v>2016</v>
          </cell>
          <cell r="E850" t="str">
            <v>Investissement</v>
          </cell>
          <cell r="F850">
            <v>0</v>
          </cell>
        </row>
        <row r="851">
          <cell r="A851" t="str">
            <v>DIRECTION DES CHAÎNES CORANIQUES TV RADIO</v>
          </cell>
          <cell r="B851" t="str">
            <v>ASSADISSA ET RADIO COR</v>
          </cell>
          <cell r="C851" t="str">
            <v>PROD</v>
          </cell>
          <cell r="D851">
            <v>2016</v>
          </cell>
          <cell r="E851" t="str">
            <v>Investissement</v>
          </cell>
          <cell r="F851">
            <v>0</v>
          </cell>
        </row>
        <row r="852">
          <cell r="A852" t="str">
            <v>DIRECTION DES SYSTEMES D'INFORMATION</v>
          </cell>
          <cell r="B852" t="str">
            <v>DSI</v>
          </cell>
          <cell r="C852" t="str">
            <v>PROD</v>
          </cell>
          <cell r="D852">
            <v>2016</v>
          </cell>
          <cell r="E852" t="str">
            <v>Investissement</v>
          </cell>
          <cell r="F852">
            <v>0</v>
          </cell>
        </row>
        <row r="853">
          <cell r="A853" t="str">
            <v>DIRECTION TECHNIQUE</v>
          </cell>
          <cell r="B853" t="str">
            <v>TECHNIQUE</v>
          </cell>
          <cell r="C853" t="str">
            <v>PROD</v>
          </cell>
          <cell r="D853">
            <v>2017</v>
          </cell>
          <cell r="E853" t="str">
            <v>Investissement</v>
          </cell>
          <cell r="F853">
            <v>0</v>
          </cell>
        </row>
        <row r="854">
          <cell r="A854" t="str">
            <v>DIRECTION DE LA TELEDIFFUSION</v>
          </cell>
          <cell r="B854" t="str">
            <v>TELEDIFFUSION</v>
          </cell>
          <cell r="C854" t="str">
            <v>PROD</v>
          </cell>
          <cell r="D854">
            <v>2017</v>
          </cell>
          <cell r="E854" t="str">
            <v>Investissement</v>
          </cell>
          <cell r="F854">
            <v>0</v>
          </cell>
        </row>
        <row r="855">
          <cell r="A855" t="str">
            <v>DIRECTION DES ACHATS</v>
          </cell>
          <cell r="B855" t="str">
            <v>ACHATS</v>
          </cell>
          <cell r="C855" t="str">
            <v>PROD</v>
          </cell>
          <cell r="D855">
            <v>2017</v>
          </cell>
          <cell r="E855" t="str">
            <v>Investissement</v>
          </cell>
          <cell r="F855">
            <v>0</v>
          </cell>
        </row>
        <row r="856">
          <cell r="A856" t="str">
            <v>DIRECTION FINANCIERE</v>
          </cell>
          <cell r="B856" t="str">
            <v>FINANCES</v>
          </cell>
          <cell r="C856" t="str">
            <v>PROD</v>
          </cell>
          <cell r="D856">
            <v>2017</v>
          </cell>
          <cell r="E856" t="str">
            <v>Investissement</v>
          </cell>
          <cell r="F856">
            <v>0</v>
          </cell>
        </row>
        <row r="857">
          <cell r="A857" t="str">
            <v>DIRECTION DES RESSOURCES HUMAINES</v>
          </cell>
          <cell r="B857" t="str">
            <v>RESSOURCES HUMAINES</v>
          </cell>
          <cell r="C857" t="str">
            <v>PROD</v>
          </cell>
          <cell r="D857">
            <v>2017</v>
          </cell>
          <cell r="E857" t="str">
            <v>Investissement</v>
          </cell>
          <cell r="F857">
            <v>0</v>
          </cell>
        </row>
        <row r="858">
          <cell r="A858" t="str">
            <v>DIRECTION DU PATRIMOINE  ET DES MOYENS GENERAUX</v>
          </cell>
          <cell r="B858" t="str">
            <v>DPMG</v>
          </cell>
          <cell r="C858" t="str">
            <v>PROD</v>
          </cell>
          <cell r="D858">
            <v>2017</v>
          </cell>
          <cell r="E858" t="str">
            <v>Investissement</v>
          </cell>
          <cell r="F858">
            <v>0</v>
          </cell>
        </row>
        <row r="859">
          <cell r="A859" t="str">
            <v>DIRECTION JURIDIQUE</v>
          </cell>
          <cell r="B859" t="str">
            <v>JURIDIQUE</v>
          </cell>
          <cell r="C859" t="str">
            <v>PROD</v>
          </cell>
          <cell r="D859">
            <v>2017</v>
          </cell>
          <cell r="E859" t="str">
            <v>Investissement</v>
          </cell>
          <cell r="F859">
            <v>0</v>
          </cell>
        </row>
        <row r="860">
          <cell r="A860" t="str">
            <v>DIRECTION CHARGEE DES RELATIONS INTERNATIONALES</v>
          </cell>
          <cell r="B860" t="str">
            <v>DRI</v>
          </cell>
          <cell r="C860" t="str">
            <v>PROD</v>
          </cell>
          <cell r="D860">
            <v>2017</v>
          </cell>
          <cell r="E860" t="str">
            <v>Investissement</v>
          </cell>
          <cell r="F860">
            <v>0</v>
          </cell>
        </row>
        <row r="861">
          <cell r="A861" t="str">
            <v>DIRECTION DE L'AUDIT ET DU CONTRÔLE DE LA GESTION</v>
          </cell>
          <cell r="B861" t="str">
            <v>AUDIT ET CONTRÔLE DE LA GESTION</v>
          </cell>
          <cell r="C861" t="str">
            <v>PROD</v>
          </cell>
          <cell r="D861">
            <v>2017</v>
          </cell>
          <cell r="E861" t="str">
            <v>Investissement</v>
          </cell>
          <cell r="F861">
            <v>0</v>
          </cell>
        </row>
        <row r="862">
          <cell r="A862" t="str">
            <v>DIRECTION DE L’INFORMATION RADIO</v>
          </cell>
          <cell r="B862" t="str">
            <v>INFORMATION RADIO</v>
          </cell>
          <cell r="C862" t="str">
            <v>PROD</v>
          </cell>
          <cell r="D862">
            <v>2017</v>
          </cell>
          <cell r="E862" t="str">
            <v>Investissement</v>
          </cell>
          <cell r="F862">
            <v>0</v>
          </cell>
        </row>
        <row r="863">
          <cell r="A863" t="str">
            <v>DIRECTION DE L’INFORMATION TV</v>
          </cell>
          <cell r="B863" t="str">
            <v>INFORMATION TV</v>
          </cell>
          <cell r="C863" t="str">
            <v>PROD</v>
          </cell>
          <cell r="D863">
            <v>2017</v>
          </cell>
          <cell r="E863" t="str">
            <v>Investissement</v>
          </cell>
          <cell r="F863">
            <v>0</v>
          </cell>
        </row>
        <row r="864">
          <cell r="A864" t="str">
            <v>DIRECTION DE LA PRODUCTION ET DE LA PROGRAMMATION RADIO</v>
          </cell>
          <cell r="B864" t="str">
            <v>RADIO PROD PROG</v>
          </cell>
          <cell r="C864" t="str">
            <v>PROD</v>
          </cell>
          <cell r="D864">
            <v>2017</v>
          </cell>
          <cell r="E864" t="str">
            <v>Investissement</v>
          </cell>
          <cell r="F864">
            <v>0</v>
          </cell>
        </row>
        <row r="865">
          <cell r="A865" t="str">
            <v>DIRECTION DE LA REGIE PUBLICITAIRE ET DES SOLUTIONS DIGITALES</v>
          </cell>
          <cell r="B865" t="str">
            <v xml:space="preserve">REGIE PUBLICITAIRE </v>
          </cell>
          <cell r="C865" t="str">
            <v>PROD</v>
          </cell>
          <cell r="D865">
            <v>2017</v>
          </cell>
          <cell r="E865" t="str">
            <v>Investissement</v>
          </cell>
          <cell r="F865">
            <v>0</v>
          </cell>
        </row>
        <row r="866">
          <cell r="A866" t="str">
            <v>DIRECTION MARKETING ET PROGRAMATION TV</v>
          </cell>
          <cell r="B866" t="str">
            <v>MARKETING ET PROG TV</v>
          </cell>
          <cell r="C866" t="str">
            <v>PROD</v>
          </cell>
          <cell r="D866">
            <v>2017</v>
          </cell>
          <cell r="E866" t="str">
            <v>Investissement</v>
          </cell>
          <cell r="F866">
            <v>0</v>
          </cell>
        </row>
        <row r="867">
          <cell r="A867" t="str">
            <v>DIRECTION DE LA COMMUNICATION</v>
          </cell>
          <cell r="B867" t="str">
            <v>COMMUNICATION</v>
          </cell>
          <cell r="C867" t="str">
            <v>PROD</v>
          </cell>
          <cell r="D867">
            <v>2017</v>
          </cell>
          <cell r="E867" t="str">
            <v>Investissement</v>
          </cell>
          <cell r="F867">
            <v>0</v>
          </cell>
        </row>
        <row r="868">
          <cell r="A868" t="str">
            <v>DIRECTION ALMAGHRIBIA</v>
          </cell>
          <cell r="B868" t="str">
            <v>ALMAGHRIBIA</v>
          </cell>
          <cell r="C868" t="str">
            <v>PROD</v>
          </cell>
          <cell r="D868">
            <v>2017</v>
          </cell>
          <cell r="E868" t="str">
            <v>Investissement</v>
          </cell>
          <cell r="F868">
            <v>0</v>
          </cell>
        </row>
        <row r="869">
          <cell r="A869" t="str">
            <v xml:space="preserve">DIRECTION CENTRALE DE LA CHAINE TV LAAYOUNE </v>
          </cell>
          <cell r="B869" t="str">
            <v xml:space="preserve">LAAYOUNE </v>
          </cell>
          <cell r="C869" t="str">
            <v>PROD</v>
          </cell>
          <cell r="D869">
            <v>2017</v>
          </cell>
          <cell r="E869" t="str">
            <v>Investissement</v>
          </cell>
          <cell r="F869">
            <v>0</v>
          </cell>
        </row>
        <row r="870">
          <cell r="A870" t="str">
            <v>DIRECTION CENTRALE DE LA CHAÎNE ARRYADIA</v>
          </cell>
          <cell r="B870" t="str">
            <v>ARRYADIA</v>
          </cell>
          <cell r="C870" t="str">
            <v>PROD</v>
          </cell>
          <cell r="D870">
            <v>2017</v>
          </cell>
          <cell r="E870" t="str">
            <v>Investissement</v>
          </cell>
          <cell r="F870">
            <v>0</v>
          </cell>
        </row>
        <row r="871">
          <cell r="A871" t="str">
            <v>DIRECTION CENTRALE DE LA CHAÎNE TAMAZIGHT</v>
          </cell>
          <cell r="B871" t="str">
            <v>TAMAZIGHT</v>
          </cell>
          <cell r="C871" t="str">
            <v>PROD</v>
          </cell>
          <cell r="D871">
            <v>2017</v>
          </cell>
          <cell r="E871" t="str">
            <v>Investissement</v>
          </cell>
          <cell r="F871">
            <v>0</v>
          </cell>
        </row>
        <row r="872">
          <cell r="A872" t="str">
            <v>DIRECTION CENTRALE DE LA PRODUCTION ET DE L'ANTENNE</v>
          </cell>
          <cell r="B872" t="str">
            <v>ALAOULA</v>
          </cell>
          <cell r="C872" t="str">
            <v>PROD</v>
          </cell>
          <cell r="D872">
            <v>2017</v>
          </cell>
          <cell r="E872" t="str">
            <v>Investissement</v>
          </cell>
          <cell r="F872">
            <v>0</v>
          </cell>
        </row>
        <row r="873">
          <cell r="A873" t="str">
            <v>DIRECTION DE LA QUATRIEME</v>
          </cell>
          <cell r="B873" t="str">
            <v>QUATRIEME</v>
          </cell>
          <cell r="C873" t="str">
            <v>PROD</v>
          </cell>
          <cell r="D873">
            <v>2017</v>
          </cell>
          <cell r="E873" t="str">
            <v>Investissement</v>
          </cell>
          <cell r="F873">
            <v>0</v>
          </cell>
        </row>
        <row r="874">
          <cell r="A874" t="str">
            <v>DIRECTION DES CHAÎNES CORANIQUES TV RADIO</v>
          </cell>
          <cell r="B874" t="str">
            <v>ASSADISSA ET RADIO COR</v>
          </cell>
          <cell r="C874" t="str">
            <v>PROD</v>
          </cell>
          <cell r="D874">
            <v>2017</v>
          </cell>
          <cell r="E874" t="str">
            <v>Investissement</v>
          </cell>
          <cell r="F874">
            <v>0</v>
          </cell>
        </row>
        <row r="875">
          <cell r="A875" t="str">
            <v>DIRECTION DES SYSTEMES D'INFORMATION</v>
          </cell>
          <cell r="B875" t="str">
            <v>DSI</v>
          </cell>
          <cell r="C875" t="str">
            <v>PROD</v>
          </cell>
          <cell r="D875">
            <v>2017</v>
          </cell>
          <cell r="E875" t="str">
            <v>Investissement</v>
          </cell>
          <cell r="F875">
            <v>0</v>
          </cell>
        </row>
        <row r="876">
          <cell r="A876" t="str">
            <v>DIRECTION TECHNIQUE</v>
          </cell>
          <cell r="B876" t="str">
            <v>TECHNIQUE</v>
          </cell>
          <cell r="C876" t="str">
            <v>PROD</v>
          </cell>
          <cell r="D876">
            <v>2018</v>
          </cell>
          <cell r="E876" t="str">
            <v>Investissement</v>
          </cell>
          <cell r="F876">
            <v>0</v>
          </cell>
        </row>
        <row r="877">
          <cell r="A877" t="str">
            <v>DIRECTION DE LA TELEDIFFUSION</v>
          </cell>
          <cell r="B877" t="str">
            <v>TELEDIFFUSION</v>
          </cell>
          <cell r="C877" t="str">
            <v>PROD</v>
          </cell>
          <cell r="D877">
            <v>2018</v>
          </cell>
          <cell r="E877" t="str">
            <v>Investissement</v>
          </cell>
          <cell r="F877">
            <v>0</v>
          </cell>
        </row>
        <row r="878">
          <cell r="A878" t="str">
            <v>DIRECTION DES ACHATS</v>
          </cell>
          <cell r="B878" t="str">
            <v>ACHATS</v>
          </cell>
          <cell r="C878" t="str">
            <v>PROD</v>
          </cell>
          <cell r="D878">
            <v>2018</v>
          </cell>
          <cell r="E878" t="str">
            <v>Investissement</v>
          </cell>
          <cell r="F878">
            <v>0</v>
          </cell>
        </row>
        <row r="879">
          <cell r="A879" t="str">
            <v>DIRECTION FINANCIERE</v>
          </cell>
          <cell r="B879" t="str">
            <v>FINANCES</v>
          </cell>
          <cell r="C879" t="str">
            <v>PROD</v>
          </cell>
          <cell r="D879">
            <v>2018</v>
          </cell>
          <cell r="E879" t="str">
            <v>Investissement</v>
          </cell>
          <cell r="F879">
            <v>0</v>
          </cell>
        </row>
        <row r="880">
          <cell r="A880" t="str">
            <v>DIRECTION DES RESSOURCES HUMAINES</v>
          </cell>
          <cell r="B880" t="str">
            <v>RESSOURCES HUMAINES</v>
          </cell>
          <cell r="C880" t="str">
            <v>PROD</v>
          </cell>
          <cell r="D880">
            <v>2018</v>
          </cell>
          <cell r="E880" t="str">
            <v>Investissement</v>
          </cell>
          <cell r="F880">
            <v>0</v>
          </cell>
        </row>
        <row r="881">
          <cell r="A881" t="str">
            <v>DIRECTION DU PATRIMOINE  ET DES MOYENS GENERAUX</v>
          </cell>
          <cell r="B881" t="str">
            <v>DPMG</v>
          </cell>
          <cell r="C881" t="str">
            <v>PROD</v>
          </cell>
          <cell r="D881">
            <v>2018</v>
          </cell>
          <cell r="E881" t="str">
            <v>Investissement</v>
          </cell>
          <cell r="F881">
            <v>0</v>
          </cell>
        </row>
        <row r="882">
          <cell r="A882" t="str">
            <v>DIRECTION JURIDIQUE</v>
          </cell>
          <cell r="B882" t="str">
            <v>JURIDIQUE</v>
          </cell>
          <cell r="C882" t="str">
            <v>PROD</v>
          </cell>
          <cell r="D882">
            <v>2018</v>
          </cell>
          <cell r="E882" t="str">
            <v>Investissement</v>
          </cell>
          <cell r="F882">
            <v>0</v>
          </cell>
        </row>
        <row r="883">
          <cell r="A883" t="str">
            <v>DIRECTION CHARGEE DES RELATIONS INTERNATIONALES</v>
          </cell>
          <cell r="B883" t="str">
            <v>DRI</v>
          </cell>
          <cell r="C883" t="str">
            <v>PROD</v>
          </cell>
          <cell r="D883">
            <v>2018</v>
          </cell>
          <cell r="E883" t="str">
            <v>Investissement</v>
          </cell>
          <cell r="F883">
            <v>0</v>
          </cell>
        </row>
        <row r="884">
          <cell r="A884" t="str">
            <v>DIRECTION DE L'AUDIT ET DU CONTRÔLE DE LA GESTION</v>
          </cell>
          <cell r="B884" t="str">
            <v>AUDIT ET CONTRÔLE DE LA GESTION</v>
          </cell>
          <cell r="C884" t="str">
            <v>PROD</v>
          </cell>
          <cell r="D884">
            <v>2018</v>
          </cell>
          <cell r="E884" t="str">
            <v>Investissement</v>
          </cell>
          <cell r="F884">
            <v>0</v>
          </cell>
        </row>
        <row r="885">
          <cell r="A885" t="str">
            <v>DIRECTION DE L’INFORMATION RADIO</v>
          </cell>
          <cell r="B885" t="str">
            <v>INFORMATION RADIO</v>
          </cell>
          <cell r="C885" t="str">
            <v>PROD</v>
          </cell>
          <cell r="D885">
            <v>2018</v>
          </cell>
          <cell r="E885" t="str">
            <v>Investissement</v>
          </cell>
          <cell r="F885">
            <v>0</v>
          </cell>
        </row>
        <row r="886">
          <cell r="A886" t="str">
            <v>DIRECTION DE L’INFORMATION TV</v>
          </cell>
          <cell r="B886" t="str">
            <v>INFORMATION TV</v>
          </cell>
          <cell r="C886" t="str">
            <v>PROD</v>
          </cell>
          <cell r="D886">
            <v>2018</v>
          </cell>
          <cell r="E886" t="str">
            <v>Investissement</v>
          </cell>
          <cell r="F886">
            <v>0</v>
          </cell>
        </row>
        <row r="887">
          <cell r="A887" t="str">
            <v>DIRECTION DE LA PRODUCTION ET DE LA PROGRAMMATION RADIO</v>
          </cell>
          <cell r="B887" t="str">
            <v>RADIO PROD PROG</v>
          </cell>
          <cell r="C887" t="str">
            <v>PROD</v>
          </cell>
          <cell r="D887">
            <v>2018</v>
          </cell>
          <cell r="E887" t="str">
            <v>Investissement</v>
          </cell>
          <cell r="F887">
            <v>0</v>
          </cell>
        </row>
        <row r="888">
          <cell r="A888" t="str">
            <v>DIRECTION DE LA REGIE PUBLICITAIRE ET DES SOLUTIONS DIGITALES</v>
          </cell>
          <cell r="B888" t="str">
            <v xml:space="preserve">REGIE PUBLICITAIRE </v>
          </cell>
          <cell r="C888" t="str">
            <v>PROD</v>
          </cell>
          <cell r="D888">
            <v>2018</v>
          </cell>
          <cell r="E888" t="str">
            <v>Investissement</v>
          </cell>
          <cell r="F888">
            <v>0</v>
          </cell>
        </row>
        <row r="889">
          <cell r="A889" t="str">
            <v>DIRECTION MARKETING ET PROGRAMATION TV</v>
          </cell>
          <cell r="B889" t="str">
            <v>MARKETING ET PROG TV</v>
          </cell>
          <cell r="C889" t="str">
            <v>PROD</v>
          </cell>
          <cell r="D889">
            <v>2018</v>
          </cell>
          <cell r="E889" t="str">
            <v>Investissement</v>
          </cell>
          <cell r="F889">
            <v>0</v>
          </cell>
        </row>
        <row r="890">
          <cell r="A890" t="str">
            <v>DIRECTION DE LA COMMUNICATION</v>
          </cell>
          <cell r="B890" t="str">
            <v>COMMUNICATION</v>
          </cell>
          <cell r="C890" t="str">
            <v>PROD</v>
          </cell>
          <cell r="D890">
            <v>2018</v>
          </cell>
          <cell r="E890" t="str">
            <v>Investissement</v>
          </cell>
          <cell r="F890">
            <v>0</v>
          </cell>
        </row>
        <row r="891">
          <cell r="A891" t="str">
            <v>DIRECTION ALMAGHRIBIA</v>
          </cell>
          <cell r="B891" t="str">
            <v>ALMAGHRIBIA</v>
          </cell>
          <cell r="C891" t="str">
            <v>PROD</v>
          </cell>
          <cell r="D891">
            <v>2018</v>
          </cell>
          <cell r="E891" t="str">
            <v>Investissement</v>
          </cell>
          <cell r="F891">
            <v>0</v>
          </cell>
        </row>
        <row r="892">
          <cell r="A892" t="str">
            <v xml:space="preserve">DIRECTION CENTRALE DE LA CHAINE TV LAAYOUNE </v>
          </cell>
          <cell r="B892" t="str">
            <v xml:space="preserve">LAAYOUNE </v>
          </cell>
          <cell r="C892" t="str">
            <v>PROD</v>
          </cell>
          <cell r="D892">
            <v>2018</v>
          </cell>
          <cell r="E892" t="str">
            <v>Investissement</v>
          </cell>
          <cell r="F892">
            <v>0</v>
          </cell>
        </row>
        <row r="893">
          <cell r="A893" t="str">
            <v>DIRECTION CENTRALE DE LA CHAÎNE ARRYADIA</v>
          </cell>
          <cell r="B893" t="str">
            <v>ARRYADIA</v>
          </cell>
          <cell r="C893" t="str">
            <v>PROD</v>
          </cell>
          <cell r="D893">
            <v>2018</v>
          </cell>
          <cell r="E893" t="str">
            <v>Investissement</v>
          </cell>
          <cell r="F893">
            <v>0</v>
          </cell>
        </row>
        <row r="894">
          <cell r="A894" t="str">
            <v>DIRECTION CENTRALE DE LA CHAÎNE TAMAZIGHT</v>
          </cell>
          <cell r="B894" t="str">
            <v>TAMAZIGHT</v>
          </cell>
          <cell r="C894" t="str">
            <v>PROD</v>
          </cell>
          <cell r="D894">
            <v>2018</v>
          </cell>
          <cell r="E894" t="str">
            <v>Investissement</v>
          </cell>
          <cell r="F894">
            <v>0</v>
          </cell>
        </row>
        <row r="895">
          <cell r="A895" t="str">
            <v>DIRECTION CENTRALE DE LA PRODUCTION ET DE L'ANTENNE</v>
          </cell>
          <cell r="B895" t="str">
            <v>ALAOULA</v>
          </cell>
          <cell r="C895" t="str">
            <v>PROD</v>
          </cell>
          <cell r="D895">
            <v>2018</v>
          </cell>
          <cell r="E895" t="str">
            <v>Investissement</v>
          </cell>
          <cell r="F895">
            <v>0</v>
          </cell>
        </row>
        <row r="896">
          <cell r="A896" t="str">
            <v>DIRECTION DE LA QUATRIEME</v>
          </cell>
          <cell r="B896" t="str">
            <v>QUATRIEME</v>
          </cell>
          <cell r="C896" t="str">
            <v>PROD</v>
          </cell>
          <cell r="D896">
            <v>2018</v>
          </cell>
          <cell r="E896" t="str">
            <v>Investissement</v>
          </cell>
          <cell r="F896">
            <v>0</v>
          </cell>
        </row>
        <row r="897">
          <cell r="A897" t="str">
            <v>DIRECTION DES CHAÎNES CORANIQUES TV RADIO</v>
          </cell>
          <cell r="B897" t="str">
            <v>ASSADISSA ET RADIO COR</v>
          </cell>
          <cell r="C897" t="str">
            <v>PROD</v>
          </cell>
          <cell r="D897">
            <v>2018</v>
          </cell>
          <cell r="E897" t="str">
            <v>Investissement</v>
          </cell>
          <cell r="F897">
            <v>0</v>
          </cell>
        </row>
        <row r="898">
          <cell r="A898" t="str">
            <v>DIRECTION DES SYSTEMES D'INFORMATION</v>
          </cell>
          <cell r="B898" t="str">
            <v>DSI</v>
          </cell>
          <cell r="C898" t="str">
            <v>PROD</v>
          </cell>
          <cell r="D898">
            <v>2018</v>
          </cell>
          <cell r="E898" t="str">
            <v>Investissement</v>
          </cell>
          <cell r="F898">
            <v>0</v>
          </cell>
        </row>
        <row r="899">
          <cell r="A899" t="str">
            <v>DIRECTION TECHNIQUE</v>
          </cell>
          <cell r="B899" t="str">
            <v>TECHNIQUE</v>
          </cell>
          <cell r="C899" t="str">
            <v>PROD</v>
          </cell>
          <cell r="D899">
            <v>2019</v>
          </cell>
          <cell r="E899" t="str">
            <v>Investissement</v>
          </cell>
          <cell r="F899">
            <v>0</v>
          </cell>
        </row>
        <row r="900">
          <cell r="A900" t="str">
            <v>DIRECTION DE LA TELEDIFFUSION</v>
          </cell>
          <cell r="B900" t="str">
            <v>TELEDIFFUSION</v>
          </cell>
          <cell r="C900" t="str">
            <v>PROD</v>
          </cell>
          <cell r="D900">
            <v>2019</v>
          </cell>
          <cell r="E900" t="str">
            <v>Investissement</v>
          </cell>
          <cell r="F900">
            <v>0</v>
          </cell>
        </row>
        <row r="901">
          <cell r="A901" t="str">
            <v>DIRECTION DES ACHATS</v>
          </cell>
          <cell r="B901" t="str">
            <v>ACHATS</v>
          </cell>
          <cell r="C901" t="str">
            <v>PROD</v>
          </cell>
          <cell r="D901">
            <v>2019</v>
          </cell>
          <cell r="E901" t="str">
            <v>Investissement</v>
          </cell>
          <cell r="F901">
            <v>0</v>
          </cell>
        </row>
        <row r="902">
          <cell r="A902" t="str">
            <v>DIRECTION FINANCIERE</v>
          </cell>
          <cell r="B902" t="str">
            <v>FINANCES</v>
          </cell>
          <cell r="C902" t="str">
            <v>PROD</v>
          </cell>
          <cell r="D902">
            <v>2019</v>
          </cell>
          <cell r="E902" t="str">
            <v>Investissement</v>
          </cell>
          <cell r="F902">
            <v>0</v>
          </cell>
        </row>
        <row r="903">
          <cell r="A903" t="str">
            <v>DIRECTION DES RESSOURCES HUMAINES</v>
          </cell>
          <cell r="B903" t="str">
            <v>RESSOURCES HUMAINES</v>
          </cell>
          <cell r="C903" t="str">
            <v>PROD</v>
          </cell>
          <cell r="D903">
            <v>2019</v>
          </cell>
          <cell r="E903" t="str">
            <v>Investissement</v>
          </cell>
          <cell r="F903">
            <v>0</v>
          </cell>
        </row>
        <row r="904">
          <cell r="A904" t="str">
            <v>DIRECTION DU PATRIMOINE  ET DES MOYENS GENERAUX</v>
          </cell>
          <cell r="B904" t="str">
            <v>DPMG</v>
          </cell>
          <cell r="C904" t="str">
            <v>PROD</v>
          </cell>
          <cell r="D904">
            <v>2019</v>
          </cell>
          <cell r="E904" t="str">
            <v>Investissement</v>
          </cell>
          <cell r="F904">
            <v>0</v>
          </cell>
        </row>
        <row r="905">
          <cell r="A905" t="str">
            <v>DIRECTION JURIDIQUE</v>
          </cell>
          <cell r="B905" t="str">
            <v>JURIDIQUE</v>
          </cell>
          <cell r="C905" t="str">
            <v>PROD</v>
          </cell>
          <cell r="D905">
            <v>2019</v>
          </cell>
          <cell r="E905" t="str">
            <v>Investissement</v>
          </cell>
          <cell r="F905">
            <v>0</v>
          </cell>
        </row>
        <row r="906">
          <cell r="A906" t="str">
            <v>DIRECTION CHARGEE DES RELATIONS INTERNATIONALES</v>
          </cell>
          <cell r="B906" t="str">
            <v>DRI</v>
          </cell>
          <cell r="C906" t="str">
            <v>PROD</v>
          </cell>
          <cell r="D906">
            <v>2019</v>
          </cell>
          <cell r="E906" t="str">
            <v>Investissement</v>
          </cell>
          <cell r="F906">
            <v>0</v>
          </cell>
        </row>
        <row r="907">
          <cell r="A907" t="str">
            <v>DIRECTION DE L'AUDIT ET DU CONTRÔLE DE LA GESTION</v>
          </cell>
          <cell r="B907" t="str">
            <v>AUDIT ET CONTRÔLE DE LA GESTION</v>
          </cell>
          <cell r="C907" t="str">
            <v>PROD</v>
          </cell>
          <cell r="D907">
            <v>2019</v>
          </cell>
          <cell r="E907" t="str">
            <v>Investissement</v>
          </cell>
          <cell r="F907">
            <v>0</v>
          </cell>
        </row>
        <row r="908">
          <cell r="A908" t="str">
            <v>DIRECTION DE L’INFORMATION RADIO</v>
          </cell>
          <cell r="B908" t="str">
            <v>INFORMATION RADIO</v>
          </cell>
          <cell r="C908" t="str">
            <v>PROD</v>
          </cell>
          <cell r="D908">
            <v>2019</v>
          </cell>
          <cell r="E908" t="str">
            <v>Investissement</v>
          </cell>
          <cell r="F908">
            <v>0</v>
          </cell>
        </row>
        <row r="909">
          <cell r="A909" t="str">
            <v>DIRECTION DE L’INFORMATION TV</v>
          </cell>
          <cell r="B909" t="str">
            <v>INFORMATION TV</v>
          </cell>
          <cell r="C909" t="str">
            <v>PROD</v>
          </cell>
          <cell r="D909">
            <v>2019</v>
          </cell>
          <cell r="E909" t="str">
            <v>Investissement</v>
          </cell>
          <cell r="F909">
            <v>0</v>
          </cell>
        </row>
        <row r="910">
          <cell r="A910" t="str">
            <v>DIRECTION DE LA PRODUCTION ET DE LA PROGRAMMATION RADIO</v>
          </cell>
          <cell r="B910" t="str">
            <v>RADIO PROD PROG</v>
          </cell>
          <cell r="C910" t="str">
            <v>PROD</v>
          </cell>
          <cell r="D910">
            <v>2019</v>
          </cell>
          <cell r="E910" t="str">
            <v>Investissement</v>
          </cell>
          <cell r="F910">
            <v>0</v>
          </cell>
        </row>
        <row r="911">
          <cell r="A911" t="str">
            <v>DIRECTION DE LA REGIE PUBLICITAIRE ET DES SOLUTIONS DIGITALES</v>
          </cell>
          <cell r="B911" t="str">
            <v xml:space="preserve">REGIE PUBLICITAIRE </v>
          </cell>
          <cell r="C911" t="str">
            <v>PROD</v>
          </cell>
          <cell r="D911">
            <v>2019</v>
          </cell>
          <cell r="E911" t="str">
            <v>Investissement</v>
          </cell>
          <cell r="F911">
            <v>0</v>
          </cell>
        </row>
        <row r="912">
          <cell r="A912" t="str">
            <v>DIRECTION MARKETING ET PROGRAMATION TV</v>
          </cell>
          <cell r="B912" t="str">
            <v>MARKETING ET PROG TV</v>
          </cell>
          <cell r="C912" t="str">
            <v>PROD</v>
          </cell>
          <cell r="D912">
            <v>2019</v>
          </cell>
          <cell r="E912" t="str">
            <v>Investissement</v>
          </cell>
          <cell r="F912">
            <v>0</v>
          </cell>
        </row>
        <row r="913">
          <cell r="A913" t="str">
            <v>DIRECTION DE LA COMMUNICATION</v>
          </cell>
          <cell r="B913" t="str">
            <v>COMMUNICATION</v>
          </cell>
          <cell r="C913" t="str">
            <v>PROD</v>
          </cell>
          <cell r="D913">
            <v>2019</v>
          </cell>
          <cell r="E913" t="str">
            <v>Investissement</v>
          </cell>
          <cell r="F913">
            <v>0</v>
          </cell>
        </row>
        <row r="914">
          <cell r="A914" t="str">
            <v>DIRECTION ALMAGHRIBIA</v>
          </cell>
          <cell r="B914" t="str">
            <v>ALMAGHRIBIA</v>
          </cell>
          <cell r="C914" t="str">
            <v>PROD</v>
          </cell>
          <cell r="D914">
            <v>2019</v>
          </cell>
          <cell r="E914" t="str">
            <v>Investissement</v>
          </cell>
          <cell r="F914">
            <v>0</v>
          </cell>
        </row>
        <row r="915">
          <cell r="A915" t="str">
            <v xml:space="preserve">DIRECTION CENTRALE DE LA CHAINE TV LAAYOUNE </v>
          </cell>
          <cell r="B915" t="str">
            <v xml:space="preserve">LAAYOUNE </v>
          </cell>
          <cell r="C915" t="str">
            <v>PROD</v>
          </cell>
          <cell r="D915">
            <v>2019</v>
          </cell>
          <cell r="E915" t="str">
            <v>Investissement</v>
          </cell>
          <cell r="F915">
            <v>0</v>
          </cell>
        </row>
        <row r="916">
          <cell r="A916" t="str">
            <v>DIRECTION CENTRALE DE LA CHAÎNE ARRYADIA</v>
          </cell>
          <cell r="B916" t="str">
            <v>ARRYADIA</v>
          </cell>
          <cell r="C916" t="str">
            <v>PROD</v>
          </cell>
          <cell r="D916">
            <v>2019</v>
          </cell>
          <cell r="E916" t="str">
            <v>Investissement</v>
          </cell>
          <cell r="F916">
            <v>0</v>
          </cell>
        </row>
        <row r="917">
          <cell r="A917" t="str">
            <v>DIRECTION CENTRALE DE LA CHAÎNE TAMAZIGHT</v>
          </cell>
          <cell r="B917" t="str">
            <v>TAMAZIGHT</v>
          </cell>
          <cell r="C917" t="str">
            <v>PROD</v>
          </cell>
          <cell r="D917">
            <v>2019</v>
          </cell>
          <cell r="E917" t="str">
            <v>Investissement</v>
          </cell>
          <cell r="F917">
            <v>0</v>
          </cell>
        </row>
        <row r="918">
          <cell r="A918" t="str">
            <v>DIRECTION CENTRALE DE LA PRODUCTION ET DE L'ANTENNE</v>
          </cell>
          <cell r="B918" t="str">
            <v>ALAOULA</v>
          </cell>
          <cell r="C918" t="str">
            <v>PROD</v>
          </cell>
          <cell r="D918">
            <v>2019</v>
          </cell>
          <cell r="E918" t="str">
            <v>Investissement</v>
          </cell>
          <cell r="F918">
            <v>0</v>
          </cell>
        </row>
        <row r="919">
          <cell r="A919" t="str">
            <v>DIRECTION DE LA QUATRIEME</v>
          </cell>
          <cell r="B919" t="str">
            <v>QUATRIEME</v>
          </cell>
          <cell r="C919" t="str">
            <v>PROD</v>
          </cell>
          <cell r="D919">
            <v>2019</v>
          </cell>
          <cell r="E919" t="str">
            <v>Investissement</v>
          </cell>
          <cell r="F919">
            <v>0</v>
          </cell>
        </row>
        <row r="920">
          <cell r="A920" t="str">
            <v>DIRECTION DES CHAÎNES CORANIQUES TV RADIO</v>
          </cell>
          <cell r="B920" t="str">
            <v>ASSADISSA ET RADIO COR</v>
          </cell>
          <cell r="C920" t="str">
            <v>PROD</v>
          </cell>
          <cell r="D920">
            <v>2019</v>
          </cell>
          <cell r="E920" t="str">
            <v>Investissement</v>
          </cell>
          <cell r="F920">
            <v>0</v>
          </cell>
        </row>
        <row r="921">
          <cell r="A921" t="str">
            <v>DIRECTION DES SYSTEMES D'INFORMATION</v>
          </cell>
          <cell r="B921" t="str">
            <v>DSI</v>
          </cell>
          <cell r="C921" t="str">
            <v>PROD</v>
          </cell>
          <cell r="D921">
            <v>2019</v>
          </cell>
          <cell r="E921" t="str">
            <v>Investissement</v>
          </cell>
          <cell r="F921">
            <v>0</v>
          </cell>
        </row>
        <row r="922">
          <cell r="A922" t="str">
            <v>DIRECTION TECHNIQUE</v>
          </cell>
          <cell r="B922" t="str">
            <v>TECHNIQUE</v>
          </cell>
          <cell r="C922" t="str">
            <v>PROD</v>
          </cell>
          <cell r="D922">
            <v>2020</v>
          </cell>
          <cell r="E922" t="str">
            <v>Investissement</v>
          </cell>
          <cell r="F922">
            <v>0</v>
          </cell>
        </row>
        <row r="923">
          <cell r="A923" t="str">
            <v>DIRECTION DE LA TELEDIFFUSION</v>
          </cell>
          <cell r="B923" t="str">
            <v>TELEDIFFUSION</v>
          </cell>
          <cell r="C923" t="str">
            <v>PROD</v>
          </cell>
          <cell r="D923">
            <v>2020</v>
          </cell>
          <cell r="E923" t="str">
            <v>Investissement</v>
          </cell>
          <cell r="F923">
            <v>0</v>
          </cell>
        </row>
        <row r="924">
          <cell r="A924" t="str">
            <v>DIRECTION DES ACHATS</v>
          </cell>
          <cell r="B924" t="str">
            <v>ACHATS</v>
          </cell>
          <cell r="C924" t="str">
            <v>PROD</v>
          </cell>
          <cell r="D924">
            <v>2020</v>
          </cell>
          <cell r="E924" t="str">
            <v>Investissement</v>
          </cell>
          <cell r="F924">
            <v>0</v>
          </cell>
        </row>
        <row r="925">
          <cell r="A925" t="str">
            <v>DIRECTION FINANCIERE</v>
          </cell>
          <cell r="B925" t="str">
            <v>FINANCES</v>
          </cell>
          <cell r="C925" t="str">
            <v>PROD</v>
          </cell>
          <cell r="D925">
            <v>2020</v>
          </cell>
          <cell r="E925" t="str">
            <v>Investissement</v>
          </cell>
          <cell r="F925">
            <v>0</v>
          </cell>
        </row>
        <row r="926">
          <cell r="A926" t="str">
            <v>DIRECTION DES RESSOURCES HUMAINES</v>
          </cell>
          <cell r="B926" t="str">
            <v>RESSOURCES HUMAINES</v>
          </cell>
          <cell r="C926" t="str">
            <v>PROD</v>
          </cell>
          <cell r="D926">
            <v>2020</v>
          </cell>
          <cell r="E926" t="str">
            <v>Investissement</v>
          </cell>
          <cell r="F926">
            <v>0</v>
          </cell>
        </row>
        <row r="927">
          <cell r="A927" t="str">
            <v>DIRECTION DU PATRIMOINE  ET DES MOYENS GENERAUX</v>
          </cell>
          <cell r="B927" t="str">
            <v>DPMG</v>
          </cell>
          <cell r="C927" t="str">
            <v>PROD</v>
          </cell>
          <cell r="D927">
            <v>2020</v>
          </cell>
          <cell r="E927" t="str">
            <v>Investissement</v>
          </cell>
          <cell r="F927">
            <v>0</v>
          </cell>
        </row>
        <row r="928">
          <cell r="A928" t="str">
            <v>DIRECTION JURIDIQUE</v>
          </cell>
          <cell r="B928" t="str">
            <v>JURIDIQUE</v>
          </cell>
          <cell r="C928" t="str">
            <v>PROD</v>
          </cell>
          <cell r="D928">
            <v>2020</v>
          </cell>
          <cell r="E928" t="str">
            <v>Investissement</v>
          </cell>
          <cell r="F928">
            <v>0</v>
          </cell>
        </row>
        <row r="929">
          <cell r="A929" t="str">
            <v>DIRECTION CHARGEE DES RELATIONS INTERNATIONALES</v>
          </cell>
          <cell r="B929" t="str">
            <v>DRI</v>
          </cell>
          <cell r="C929" t="str">
            <v>PROD</v>
          </cell>
          <cell r="D929">
            <v>2020</v>
          </cell>
          <cell r="E929" t="str">
            <v>Investissement</v>
          </cell>
          <cell r="F929">
            <v>0</v>
          </cell>
        </row>
        <row r="930">
          <cell r="A930" t="str">
            <v>DIRECTION DE L'AUDIT ET DU CONTRÔLE DE LA GESTION</v>
          </cell>
          <cell r="B930" t="str">
            <v>AUDIT ET CONTRÔLE DE LA GESTION</v>
          </cell>
          <cell r="C930" t="str">
            <v>PROD</v>
          </cell>
          <cell r="D930">
            <v>2020</v>
          </cell>
          <cell r="E930" t="str">
            <v>Investissement</v>
          </cell>
          <cell r="F930">
            <v>0</v>
          </cell>
        </row>
        <row r="931">
          <cell r="A931" t="str">
            <v>DIRECTION DE L’INFORMATION RADIO</v>
          </cell>
          <cell r="B931" t="str">
            <v>INFORMATION RADIO</v>
          </cell>
          <cell r="C931" t="str">
            <v>PROD</v>
          </cell>
          <cell r="D931">
            <v>2020</v>
          </cell>
          <cell r="E931" t="str">
            <v>Investissement</v>
          </cell>
          <cell r="F931">
            <v>0</v>
          </cell>
        </row>
        <row r="932">
          <cell r="A932" t="str">
            <v>DIRECTION DE L’INFORMATION TV</v>
          </cell>
          <cell r="B932" t="str">
            <v>INFORMATION TV</v>
          </cell>
          <cell r="C932" t="str">
            <v>PROD</v>
          </cell>
          <cell r="D932">
            <v>2020</v>
          </cell>
          <cell r="E932" t="str">
            <v>Investissement</v>
          </cell>
          <cell r="F932">
            <v>0</v>
          </cell>
        </row>
        <row r="933">
          <cell r="A933" t="str">
            <v>DIRECTION DE LA PRODUCTION ET DE LA PROGRAMMATION RADIO</v>
          </cell>
          <cell r="B933" t="str">
            <v>RADIO PROD PROG</v>
          </cell>
          <cell r="C933" t="str">
            <v>PROD</v>
          </cell>
          <cell r="D933">
            <v>2020</v>
          </cell>
          <cell r="E933" t="str">
            <v>Investissement</v>
          </cell>
          <cell r="F933">
            <v>0</v>
          </cell>
        </row>
        <row r="934">
          <cell r="A934" t="str">
            <v>DIRECTION DE LA REGIE PUBLICITAIRE ET DES SOLUTIONS DIGITALES</v>
          </cell>
          <cell r="B934" t="str">
            <v xml:space="preserve">REGIE PUBLICITAIRE </v>
          </cell>
          <cell r="C934" t="str">
            <v>PROD</v>
          </cell>
          <cell r="D934">
            <v>2020</v>
          </cell>
          <cell r="E934" t="str">
            <v>Investissement</v>
          </cell>
          <cell r="F934">
            <v>0</v>
          </cell>
        </row>
        <row r="935">
          <cell r="A935" t="str">
            <v>DIRECTION MARKETING ET PROGRAMATION TV</v>
          </cell>
          <cell r="B935" t="str">
            <v>MARKETING ET PROG TV</v>
          </cell>
          <cell r="C935" t="str">
            <v>PROD</v>
          </cell>
          <cell r="D935">
            <v>2020</v>
          </cell>
          <cell r="E935" t="str">
            <v>Investissement</v>
          </cell>
          <cell r="F935">
            <v>0</v>
          </cell>
        </row>
        <row r="936">
          <cell r="A936" t="str">
            <v>DIRECTION DE LA COMMUNICATION</v>
          </cell>
          <cell r="B936" t="str">
            <v>COMMUNICATION</v>
          </cell>
          <cell r="C936" t="str">
            <v>PROD</v>
          </cell>
          <cell r="D936">
            <v>2020</v>
          </cell>
          <cell r="E936" t="str">
            <v>Investissement</v>
          </cell>
          <cell r="F936">
            <v>0</v>
          </cell>
        </row>
        <row r="937">
          <cell r="A937" t="str">
            <v>DIRECTION ALMAGHRIBIA</v>
          </cell>
          <cell r="B937" t="str">
            <v>ALMAGHRIBIA</v>
          </cell>
          <cell r="C937" t="str">
            <v>PROD</v>
          </cell>
          <cell r="D937">
            <v>2020</v>
          </cell>
          <cell r="E937" t="str">
            <v>Investissement</v>
          </cell>
          <cell r="F937">
            <v>0</v>
          </cell>
        </row>
        <row r="938">
          <cell r="A938" t="str">
            <v xml:space="preserve">DIRECTION CENTRALE DE LA CHAINE TV LAAYOUNE </v>
          </cell>
          <cell r="B938" t="str">
            <v xml:space="preserve">LAAYOUNE </v>
          </cell>
          <cell r="C938" t="str">
            <v>PROD</v>
          </cell>
          <cell r="D938">
            <v>2020</v>
          </cell>
          <cell r="E938" t="str">
            <v>Investissement</v>
          </cell>
          <cell r="F938">
            <v>0</v>
          </cell>
        </row>
        <row r="939">
          <cell r="A939" t="str">
            <v>DIRECTION CENTRALE DE LA CHAÎNE ARRYADIA</v>
          </cell>
          <cell r="B939" t="str">
            <v>ARRYADIA</v>
          </cell>
          <cell r="C939" t="str">
            <v>PROD</v>
          </cell>
          <cell r="D939">
            <v>2020</v>
          </cell>
          <cell r="E939" t="str">
            <v>Investissement</v>
          </cell>
          <cell r="F939">
            <v>0</v>
          </cell>
        </row>
        <row r="940">
          <cell r="A940" t="str">
            <v>DIRECTION CENTRALE DE LA CHAÎNE TAMAZIGHT</v>
          </cell>
          <cell r="B940" t="str">
            <v>TAMAZIGHT</v>
          </cell>
          <cell r="C940" t="str">
            <v>PROD</v>
          </cell>
          <cell r="D940">
            <v>2020</v>
          </cell>
          <cell r="E940" t="str">
            <v>Investissement</v>
          </cell>
          <cell r="F940">
            <v>0</v>
          </cell>
        </row>
        <row r="941">
          <cell r="A941" t="str">
            <v>DIRECTION CENTRALE DE LA PRODUCTION ET DE L'ANTENNE</v>
          </cell>
          <cell r="B941" t="str">
            <v>ALAOULA</v>
          </cell>
          <cell r="C941" t="str">
            <v>PROD</v>
          </cell>
          <cell r="D941">
            <v>2020</v>
          </cell>
          <cell r="E941" t="str">
            <v>Investissement</v>
          </cell>
          <cell r="F941">
            <v>0</v>
          </cell>
        </row>
        <row r="942">
          <cell r="A942" t="str">
            <v>DIRECTION DE LA QUATRIEME</v>
          </cell>
          <cell r="B942" t="str">
            <v>QUATRIEME</v>
          </cell>
          <cell r="C942" t="str">
            <v>PROD</v>
          </cell>
          <cell r="D942">
            <v>2020</v>
          </cell>
          <cell r="E942" t="str">
            <v>Investissement</v>
          </cell>
          <cell r="F942">
            <v>0</v>
          </cell>
        </row>
        <row r="943">
          <cell r="A943" t="str">
            <v>DIRECTION DES CHAÎNES CORANIQUES TV RADIO</v>
          </cell>
          <cell r="B943" t="str">
            <v>ASSADISSA ET RADIO COR</v>
          </cell>
          <cell r="C943" t="str">
            <v>PROD</v>
          </cell>
          <cell r="D943">
            <v>2020</v>
          </cell>
          <cell r="E943" t="str">
            <v>Investissement</v>
          </cell>
          <cell r="F943">
            <v>0</v>
          </cell>
        </row>
        <row r="944">
          <cell r="A944" t="str">
            <v>DIRECTION DES SYSTEMES D'INFORMATION</v>
          </cell>
          <cell r="B944" t="str">
            <v>DSI</v>
          </cell>
          <cell r="C944" t="str">
            <v>PROD</v>
          </cell>
          <cell r="D944">
            <v>2020</v>
          </cell>
          <cell r="E944" t="str">
            <v>Investissement</v>
          </cell>
          <cell r="F944">
            <v>0</v>
          </cell>
        </row>
        <row r="945">
          <cell r="A945" t="str">
            <v>DIRECTION TECHNIQUE</v>
          </cell>
          <cell r="B945" t="str">
            <v>TECHNIQUE</v>
          </cell>
          <cell r="C945" t="str">
            <v>PROD</v>
          </cell>
          <cell r="D945">
            <v>2021</v>
          </cell>
          <cell r="E945" t="str">
            <v>Investissement</v>
          </cell>
          <cell r="F945">
            <v>0</v>
          </cell>
        </row>
        <row r="946">
          <cell r="A946" t="str">
            <v>DIRECTION DE LA TELEDIFFUSION</v>
          </cell>
          <cell r="B946" t="str">
            <v>TELEDIFFUSION</v>
          </cell>
          <cell r="C946" t="str">
            <v>PROD</v>
          </cell>
          <cell r="D946">
            <v>2021</v>
          </cell>
          <cell r="E946" t="str">
            <v>Investissement</v>
          </cell>
          <cell r="F946">
            <v>0</v>
          </cell>
        </row>
        <row r="947">
          <cell r="A947" t="str">
            <v>DIRECTION DES ACHATS</v>
          </cell>
          <cell r="B947" t="str">
            <v>ACHATS</v>
          </cell>
          <cell r="C947" t="str">
            <v>PROD</v>
          </cell>
          <cell r="D947">
            <v>2021</v>
          </cell>
          <cell r="E947" t="str">
            <v>Investissement</v>
          </cell>
          <cell r="F947">
            <v>0</v>
          </cell>
        </row>
        <row r="948">
          <cell r="A948" t="str">
            <v>DIRECTION FINANCIERE</v>
          </cell>
          <cell r="B948" t="str">
            <v>FINANCES</v>
          </cell>
          <cell r="C948" t="str">
            <v>PROD</v>
          </cell>
          <cell r="D948">
            <v>2021</v>
          </cell>
          <cell r="E948" t="str">
            <v>Investissement</v>
          </cell>
          <cell r="F948">
            <v>0</v>
          </cell>
        </row>
        <row r="949">
          <cell r="A949" t="str">
            <v>DIRECTION DES RESSOURCES HUMAINES</v>
          </cell>
          <cell r="B949" t="str">
            <v>RESSOURCES HUMAINES</v>
          </cell>
          <cell r="C949" t="str">
            <v>PROD</v>
          </cell>
          <cell r="D949">
            <v>2021</v>
          </cell>
          <cell r="E949" t="str">
            <v>Investissement</v>
          </cell>
          <cell r="F949">
            <v>0</v>
          </cell>
        </row>
        <row r="950">
          <cell r="A950" t="str">
            <v>DIRECTION DU PATRIMOINE  ET DES MOYENS GENERAUX</v>
          </cell>
          <cell r="B950" t="str">
            <v>DPMG</v>
          </cell>
          <cell r="C950" t="str">
            <v>PROD</v>
          </cell>
          <cell r="D950">
            <v>2021</v>
          </cell>
          <cell r="E950" t="str">
            <v>Investissement</v>
          </cell>
          <cell r="F950">
            <v>0</v>
          </cell>
        </row>
        <row r="951">
          <cell r="A951" t="str">
            <v>DIRECTION JURIDIQUE</v>
          </cell>
          <cell r="B951" t="str">
            <v>JURIDIQUE</v>
          </cell>
          <cell r="C951" t="str">
            <v>PROD</v>
          </cell>
          <cell r="D951">
            <v>2021</v>
          </cell>
          <cell r="E951" t="str">
            <v>Investissement</v>
          </cell>
          <cell r="F951">
            <v>0</v>
          </cell>
        </row>
        <row r="952">
          <cell r="A952" t="str">
            <v>DIRECTION CHARGEE DES RELATIONS INTERNATIONALES</v>
          </cell>
          <cell r="B952" t="str">
            <v>DRI</v>
          </cell>
          <cell r="C952" t="str">
            <v>PROD</v>
          </cell>
          <cell r="D952">
            <v>2021</v>
          </cell>
          <cell r="E952" t="str">
            <v>Investissement</v>
          </cell>
          <cell r="F952">
            <v>0</v>
          </cell>
        </row>
        <row r="953">
          <cell r="A953" t="str">
            <v>DIRECTION DE L'AUDIT ET DU CONTRÔLE DE LA GESTION</v>
          </cell>
          <cell r="B953" t="str">
            <v>AUDIT ET CONTRÔLE DE LA GESTION</v>
          </cell>
          <cell r="C953" t="str">
            <v>PROD</v>
          </cell>
          <cell r="D953">
            <v>2021</v>
          </cell>
          <cell r="E953" t="str">
            <v>Investissement</v>
          </cell>
          <cell r="F953">
            <v>0</v>
          </cell>
        </row>
        <row r="954">
          <cell r="A954" t="str">
            <v>DIRECTION DE L’INFORMATION RADIO</v>
          </cell>
          <cell r="B954" t="str">
            <v>INFORMATION RADIO</v>
          </cell>
          <cell r="C954" t="str">
            <v>PROD</v>
          </cell>
          <cell r="D954">
            <v>2021</v>
          </cell>
          <cell r="E954" t="str">
            <v>Investissement</v>
          </cell>
          <cell r="F954">
            <v>0</v>
          </cell>
        </row>
        <row r="955">
          <cell r="A955" t="str">
            <v>DIRECTION DE L’INFORMATION TV</v>
          </cell>
          <cell r="B955" t="str">
            <v>INFORMATION TV</v>
          </cell>
          <cell r="C955" t="str">
            <v>PROD</v>
          </cell>
          <cell r="D955">
            <v>2021</v>
          </cell>
          <cell r="E955" t="str">
            <v>Investissement</v>
          </cell>
          <cell r="F955">
            <v>0</v>
          </cell>
        </row>
        <row r="956">
          <cell r="A956" t="str">
            <v>DIRECTION DE LA PRODUCTION ET DE LA PROGRAMMATION RADIO</v>
          </cell>
          <cell r="B956" t="str">
            <v>RADIO PROD PROG</v>
          </cell>
          <cell r="C956" t="str">
            <v>PROD</v>
          </cell>
          <cell r="D956">
            <v>2021</v>
          </cell>
          <cell r="E956" t="str">
            <v>Investissement</v>
          </cell>
          <cell r="F956">
            <v>0</v>
          </cell>
        </row>
        <row r="957">
          <cell r="A957" t="str">
            <v>DIRECTION DE LA REGIE PUBLICITAIRE ET DES SOLUTIONS DIGITALES</v>
          </cell>
          <cell r="B957" t="str">
            <v xml:space="preserve">REGIE PUBLICITAIRE </v>
          </cell>
          <cell r="C957" t="str">
            <v>PROD</v>
          </cell>
          <cell r="D957">
            <v>2021</v>
          </cell>
          <cell r="E957" t="str">
            <v>Investissement</v>
          </cell>
          <cell r="F957">
            <v>0</v>
          </cell>
        </row>
        <row r="958">
          <cell r="A958" t="str">
            <v>DIRECTION MARKETING ET PROGRAMATION TV</v>
          </cell>
          <cell r="B958" t="str">
            <v>MARKETING ET PROG TV</v>
          </cell>
          <cell r="C958" t="str">
            <v>PROD</v>
          </cell>
          <cell r="D958">
            <v>2021</v>
          </cell>
          <cell r="E958" t="str">
            <v>Investissement</v>
          </cell>
          <cell r="F958">
            <v>0</v>
          </cell>
        </row>
        <row r="959">
          <cell r="A959" t="str">
            <v>DIRECTION DE LA COMMUNICATION</v>
          </cell>
          <cell r="B959" t="str">
            <v>COMMUNICATION</v>
          </cell>
          <cell r="C959" t="str">
            <v>PROD</v>
          </cell>
          <cell r="D959">
            <v>2021</v>
          </cell>
          <cell r="E959" t="str">
            <v>Investissement</v>
          </cell>
          <cell r="F959">
            <v>0</v>
          </cell>
        </row>
        <row r="960">
          <cell r="A960" t="str">
            <v>DIRECTION ALMAGHRIBIA</v>
          </cell>
          <cell r="B960" t="str">
            <v>ALMAGHRIBIA</v>
          </cell>
          <cell r="C960" t="str">
            <v>PROD</v>
          </cell>
          <cell r="D960">
            <v>2021</v>
          </cell>
          <cell r="E960" t="str">
            <v>Investissement</v>
          </cell>
          <cell r="F960">
            <v>0</v>
          </cell>
        </row>
        <row r="961">
          <cell r="A961" t="str">
            <v xml:space="preserve">DIRECTION CENTRALE DE LA CHAINE TV LAAYOUNE </v>
          </cell>
          <cell r="B961" t="str">
            <v xml:space="preserve">LAAYOUNE </v>
          </cell>
          <cell r="C961" t="str">
            <v>PROD</v>
          </cell>
          <cell r="D961">
            <v>2021</v>
          </cell>
          <cell r="E961" t="str">
            <v>Investissement</v>
          </cell>
          <cell r="F961">
            <v>0</v>
          </cell>
        </row>
        <row r="962">
          <cell r="A962" t="str">
            <v>DIRECTION CENTRALE DE LA CHAÎNE ARRYADIA</v>
          </cell>
          <cell r="B962" t="str">
            <v>ARRYADIA</v>
          </cell>
          <cell r="C962" t="str">
            <v>PROD</v>
          </cell>
          <cell r="D962">
            <v>2021</v>
          </cell>
          <cell r="E962" t="str">
            <v>Investissement</v>
          </cell>
          <cell r="F962">
            <v>0</v>
          </cell>
        </row>
        <row r="963">
          <cell r="A963" t="str">
            <v>DIRECTION CENTRALE DE LA CHAÎNE TAMAZIGHT</v>
          </cell>
          <cell r="B963" t="str">
            <v>TAMAZIGHT</v>
          </cell>
          <cell r="C963" t="str">
            <v>PROD</v>
          </cell>
          <cell r="D963">
            <v>2021</v>
          </cell>
          <cell r="E963" t="str">
            <v>Investissement</v>
          </cell>
          <cell r="F963">
            <v>0</v>
          </cell>
        </row>
        <row r="964">
          <cell r="A964" t="str">
            <v>DIRECTION CENTRALE DE LA PRODUCTION ET DE L'ANTENNE</v>
          </cell>
          <cell r="B964" t="str">
            <v>ALAOULA</v>
          </cell>
          <cell r="C964" t="str">
            <v>PROD</v>
          </cell>
          <cell r="D964">
            <v>2021</v>
          </cell>
          <cell r="E964" t="str">
            <v>Investissement</v>
          </cell>
          <cell r="F964">
            <v>0</v>
          </cell>
        </row>
        <row r="965">
          <cell r="A965" t="str">
            <v>DIRECTION DE LA QUATRIEME</v>
          </cell>
          <cell r="B965" t="str">
            <v>QUATRIEME</v>
          </cell>
          <cell r="C965" t="str">
            <v>PROD</v>
          </cell>
          <cell r="D965">
            <v>2021</v>
          </cell>
          <cell r="E965" t="str">
            <v>Investissement</v>
          </cell>
          <cell r="F965">
            <v>0</v>
          </cell>
        </row>
        <row r="966">
          <cell r="A966" t="str">
            <v>DIRECTION DES CHAÎNES CORANIQUES TV RADIO</v>
          </cell>
          <cell r="B966" t="str">
            <v>ASSADISSA ET RADIO COR</v>
          </cell>
          <cell r="C966" t="str">
            <v>PROD</v>
          </cell>
          <cell r="D966">
            <v>2021</v>
          </cell>
          <cell r="E966" t="str">
            <v>Investissement</v>
          </cell>
          <cell r="F966">
            <v>0</v>
          </cell>
        </row>
        <row r="967">
          <cell r="A967" t="str">
            <v>DIRECTION DES SYSTEMES D'INFORMATION</v>
          </cell>
          <cell r="B967" t="str">
            <v>DSI</v>
          </cell>
          <cell r="C967" t="str">
            <v>PROD</v>
          </cell>
          <cell r="D967">
            <v>2021</v>
          </cell>
          <cell r="E967" t="str">
            <v>Investissement</v>
          </cell>
          <cell r="F967">
            <v>0</v>
          </cell>
        </row>
        <row r="968">
          <cell r="A968" t="str">
            <v>DIRECTION TECHNIQUE</v>
          </cell>
          <cell r="B968" t="str">
            <v>TECHNIQUE</v>
          </cell>
          <cell r="C968" t="str">
            <v>PROD</v>
          </cell>
          <cell r="D968">
            <v>2016</v>
          </cell>
          <cell r="E968" t="str">
            <v>Fonctionnement</v>
          </cell>
          <cell r="F968">
            <v>0</v>
          </cell>
        </row>
        <row r="969">
          <cell r="A969" t="str">
            <v>DIRECTION DE LA TELEDIFFUSION</v>
          </cell>
          <cell r="B969" t="str">
            <v>TELEDIFFUSION</v>
          </cell>
          <cell r="C969" t="str">
            <v>PROD</v>
          </cell>
          <cell r="D969">
            <v>2016</v>
          </cell>
          <cell r="E969" t="str">
            <v>Fonctionnement</v>
          </cell>
          <cell r="F969">
            <v>0</v>
          </cell>
        </row>
        <row r="970">
          <cell r="A970" t="str">
            <v>DIRECTION DES ACHATS</v>
          </cell>
          <cell r="B970" t="str">
            <v>ACHATS</v>
          </cell>
          <cell r="C970" t="str">
            <v>PROD</v>
          </cell>
          <cell r="D970">
            <v>2016</v>
          </cell>
          <cell r="E970" t="str">
            <v>Fonctionnement</v>
          </cell>
          <cell r="F970">
            <v>0</v>
          </cell>
        </row>
        <row r="971">
          <cell r="A971" t="str">
            <v>DIRECTION FINANCIERE</v>
          </cell>
          <cell r="B971" t="str">
            <v>FINANCES</v>
          </cell>
          <cell r="C971" t="str">
            <v>PROD</v>
          </cell>
          <cell r="D971">
            <v>2016</v>
          </cell>
          <cell r="E971" t="str">
            <v>Fonctionnement</v>
          </cell>
          <cell r="F971">
            <v>0</v>
          </cell>
        </row>
        <row r="972">
          <cell r="A972" t="str">
            <v>DIRECTION DES RESSOURCES HUMAINES</v>
          </cell>
          <cell r="B972" t="str">
            <v>RESSOURCES HUMAINES</v>
          </cell>
          <cell r="C972" t="str">
            <v>PROD</v>
          </cell>
          <cell r="D972">
            <v>2016</v>
          </cell>
          <cell r="E972" t="str">
            <v>Fonctionnement</v>
          </cell>
          <cell r="F972">
            <v>0</v>
          </cell>
        </row>
        <row r="973">
          <cell r="A973" t="str">
            <v>DIRECTION DU PATRIMOINE  ET DES MOYENS GENERAUX</v>
          </cell>
          <cell r="B973" t="str">
            <v>DPMG</v>
          </cell>
          <cell r="C973" t="str">
            <v>PROD</v>
          </cell>
          <cell r="D973">
            <v>2016</v>
          </cell>
          <cell r="E973" t="str">
            <v>Fonctionnement</v>
          </cell>
          <cell r="F973">
            <v>0</v>
          </cell>
        </row>
        <row r="974">
          <cell r="A974" t="str">
            <v>DIRECTION JURIDIQUE</v>
          </cell>
          <cell r="B974" t="str">
            <v>JURIDIQUE</v>
          </cell>
          <cell r="C974" t="str">
            <v>PROD</v>
          </cell>
          <cell r="D974">
            <v>2016</v>
          </cell>
          <cell r="E974" t="str">
            <v>Fonctionnement</v>
          </cell>
          <cell r="F974">
            <v>0</v>
          </cell>
        </row>
        <row r="975">
          <cell r="A975" t="str">
            <v>DIRECTION CHARGEE DES RELATIONS INTERNATIONALES</v>
          </cell>
          <cell r="B975" t="str">
            <v>DRI</v>
          </cell>
          <cell r="C975" t="str">
            <v>PROD</v>
          </cell>
          <cell r="D975">
            <v>2016</v>
          </cell>
          <cell r="E975" t="str">
            <v>Fonctionnement</v>
          </cell>
          <cell r="F975">
            <v>0</v>
          </cell>
        </row>
        <row r="976">
          <cell r="A976" t="str">
            <v>DIRECTION DE L'AUDIT ET DU CONTRÔLE DE LA GESTION</v>
          </cell>
          <cell r="B976" t="str">
            <v>AUDIT ET CONTRÔLE DE LA GESTION</v>
          </cell>
          <cell r="C976" t="str">
            <v>PROD</v>
          </cell>
          <cell r="D976">
            <v>2016</v>
          </cell>
          <cell r="E976" t="str">
            <v>Fonctionnement</v>
          </cell>
          <cell r="F976">
            <v>0</v>
          </cell>
        </row>
        <row r="977">
          <cell r="A977" t="str">
            <v>DIRECTION DE L’INFORMATION RADIO</v>
          </cell>
          <cell r="B977" t="str">
            <v>INFORMATION RADIO</v>
          </cell>
          <cell r="C977" t="str">
            <v>PROD</v>
          </cell>
          <cell r="D977">
            <v>2016</v>
          </cell>
          <cell r="E977" t="str">
            <v>Fonctionnement</v>
          </cell>
          <cell r="F977">
            <v>0</v>
          </cell>
        </row>
        <row r="978">
          <cell r="A978" t="str">
            <v>DIRECTION DE L’INFORMATION TV</v>
          </cell>
          <cell r="B978" t="str">
            <v>INFORMATION TV</v>
          </cell>
          <cell r="C978" t="str">
            <v>PROD</v>
          </cell>
          <cell r="D978">
            <v>2016</v>
          </cell>
          <cell r="E978" t="str">
            <v>Fonctionnement</v>
          </cell>
          <cell r="F978">
            <v>0</v>
          </cell>
        </row>
        <row r="979">
          <cell r="A979" t="str">
            <v>DIRECTION DE LA PRODUCTION ET DE LA PROGRAMMATION RADIO</v>
          </cell>
          <cell r="B979" t="str">
            <v>RADIO PROD PROG</v>
          </cell>
          <cell r="C979" t="str">
            <v>PROD</v>
          </cell>
          <cell r="D979">
            <v>2016</v>
          </cell>
          <cell r="E979" t="str">
            <v>Fonctionnement</v>
          </cell>
          <cell r="F979">
            <v>0</v>
          </cell>
        </row>
        <row r="980">
          <cell r="A980" t="str">
            <v>DIRECTION DE LA REGIE PUBLICITAIRE ET DES SOLUTIONS DIGITALES</v>
          </cell>
          <cell r="B980" t="str">
            <v xml:space="preserve">REGIE PUBLICITAIRE </v>
          </cell>
          <cell r="C980" t="str">
            <v>PROD</v>
          </cell>
          <cell r="D980">
            <v>2016</v>
          </cell>
          <cell r="E980" t="str">
            <v>Fonctionnement</v>
          </cell>
          <cell r="F980">
            <v>0</v>
          </cell>
        </row>
        <row r="981">
          <cell r="A981" t="str">
            <v>DIRECTION MARKETING ET PROGRAMATION TV</v>
          </cell>
          <cell r="B981" t="str">
            <v>MARKETING ET PROG TV</v>
          </cell>
          <cell r="C981" t="str">
            <v>PROD</v>
          </cell>
          <cell r="D981">
            <v>2016</v>
          </cell>
          <cell r="E981" t="str">
            <v>Fonctionnement</v>
          </cell>
          <cell r="F981">
            <v>0</v>
          </cell>
        </row>
        <row r="982">
          <cell r="A982" t="str">
            <v>DIRECTION DE LA COMMUNICATION</v>
          </cell>
          <cell r="B982" t="str">
            <v>COMMUNICATION</v>
          </cell>
          <cell r="C982" t="str">
            <v>PROD</v>
          </cell>
          <cell r="D982">
            <v>2016</v>
          </cell>
          <cell r="E982" t="str">
            <v>Fonctionnement</v>
          </cell>
          <cell r="F982">
            <v>0</v>
          </cell>
        </row>
        <row r="983">
          <cell r="A983" t="str">
            <v>DIRECTION ALMAGHRIBIA</v>
          </cell>
          <cell r="B983" t="str">
            <v>ALMAGHRIBIA</v>
          </cell>
          <cell r="C983" t="str">
            <v>PROD</v>
          </cell>
          <cell r="D983">
            <v>2016</v>
          </cell>
          <cell r="E983" t="str">
            <v>Fonctionnement</v>
          </cell>
          <cell r="F983">
            <v>0</v>
          </cell>
        </row>
        <row r="984">
          <cell r="A984" t="str">
            <v xml:space="preserve">DIRECTION CENTRALE DE LA CHAINE TV LAAYOUNE </v>
          </cell>
          <cell r="B984" t="str">
            <v xml:space="preserve">LAAYOUNE </v>
          </cell>
          <cell r="C984" t="str">
            <v>PROD</v>
          </cell>
          <cell r="D984">
            <v>2016</v>
          </cell>
          <cell r="E984" t="str">
            <v>Fonctionnement</v>
          </cell>
          <cell r="F984">
            <v>17.267163</v>
          </cell>
        </row>
        <row r="985">
          <cell r="A985" t="str">
            <v>DIRECTION CENTRALE DE LA CHAÎNE ARRYADIA</v>
          </cell>
          <cell r="B985" t="str">
            <v>ARRYADIA</v>
          </cell>
          <cell r="C985" t="str">
            <v>PROD</v>
          </cell>
          <cell r="D985">
            <v>2016</v>
          </cell>
          <cell r="E985" t="str">
            <v>Fonctionnement</v>
          </cell>
          <cell r="F985">
            <v>0</v>
          </cell>
        </row>
        <row r="986">
          <cell r="A986" t="str">
            <v>DIRECTION CENTRALE DE LA CHAÎNE TAMAZIGHT</v>
          </cell>
          <cell r="B986" t="str">
            <v>TAMAZIGHT</v>
          </cell>
          <cell r="C986" t="str">
            <v>PROD</v>
          </cell>
          <cell r="D986">
            <v>2016</v>
          </cell>
          <cell r="E986" t="str">
            <v>Fonctionnement</v>
          </cell>
          <cell r="F986">
            <v>87.942919516000018</v>
          </cell>
        </row>
        <row r="987">
          <cell r="A987" t="str">
            <v>DIRECTION CENTRALE DE LA PRODUCTION ET DE L'ANTENNE</v>
          </cell>
          <cell r="B987" t="str">
            <v>ALAOULA</v>
          </cell>
          <cell r="C987" t="str">
            <v>PROD</v>
          </cell>
          <cell r="D987">
            <v>2016</v>
          </cell>
          <cell r="E987" t="str">
            <v>Fonctionnement</v>
          </cell>
          <cell r="F987">
            <v>106.52717251599999</v>
          </cell>
        </row>
        <row r="988">
          <cell r="A988" t="str">
            <v>DIRECTION DE LA QUATRIEME</v>
          </cell>
          <cell r="B988" t="str">
            <v>QUATRIEME</v>
          </cell>
          <cell r="C988" t="str">
            <v>PROD</v>
          </cell>
          <cell r="D988">
            <v>2016</v>
          </cell>
          <cell r="E988" t="str">
            <v>Fonctionnement</v>
          </cell>
          <cell r="F988">
            <v>0</v>
          </cell>
        </row>
        <row r="989">
          <cell r="A989" t="str">
            <v>DIRECTION DES CHAÎNES CORANIQUES TV RADIO</v>
          </cell>
          <cell r="B989" t="str">
            <v>ASSADISSA ET RADIO COR</v>
          </cell>
          <cell r="C989" t="str">
            <v>PROD</v>
          </cell>
          <cell r="D989">
            <v>2016</v>
          </cell>
          <cell r="E989" t="str">
            <v>Fonctionnement</v>
          </cell>
          <cell r="F989">
            <v>0</v>
          </cell>
        </row>
        <row r="990">
          <cell r="A990" t="str">
            <v>DIRECTION DES SYSTEMES D'INFORMATION</v>
          </cell>
          <cell r="B990" t="str">
            <v>DSI</v>
          </cell>
          <cell r="C990" t="str">
            <v>PROD</v>
          </cell>
          <cell r="D990">
            <v>2016</v>
          </cell>
          <cell r="E990" t="str">
            <v>Fonctionnement</v>
          </cell>
          <cell r="F990">
            <v>0</v>
          </cell>
        </row>
        <row r="991">
          <cell r="A991" t="str">
            <v>DIRECTION TECHNIQUE</v>
          </cell>
          <cell r="B991" t="str">
            <v>TECHNIQUE</v>
          </cell>
          <cell r="C991" t="str">
            <v>PROD</v>
          </cell>
          <cell r="D991">
            <v>2017</v>
          </cell>
          <cell r="E991" t="str">
            <v>Fonctionnement</v>
          </cell>
          <cell r="F991">
            <v>0</v>
          </cell>
        </row>
        <row r="992">
          <cell r="A992" t="str">
            <v>DIRECTION DE LA TELEDIFFUSION</v>
          </cell>
          <cell r="B992" t="str">
            <v>TELEDIFFUSION</v>
          </cell>
          <cell r="C992" t="str">
            <v>PROD</v>
          </cell>
          <cell r="D992">
            <v>2017</v>
          </cell>
          <cell r="E992" t="str">
            <v>Fonctionnement</v>
          </cell>
          <cell r="F992">
            <v>0</v>
          </cell>
        </row>
        <row r="993">
          <cell r="A993" t="str">
            <v>DIRECTION DES ACHATS</v>
          </cell>
          <cell r="B993" t="str">
            <v>ACHATS</v>
          </cell>
          <cell r="C993" t="str">
            <v>PROD</v>
          </cell>
          <cell r="D993">
            <v>2017</v>
          </cell>
          <cell r="E993" t="str">
            <v>Fonctionnement</v>
          </cell>
          <cell r="F993">
            <v>0</v>
          </cell>
        </row>
        <row r="994">
          <cell r="A994" t="str">
            <v>DIRECTION FINANCIERE</v>
          </cell>
          <cell r="B994" t="str">
            <v>FINANCES</v>
          </cell>
          <cell r="C994" t="str">
            <v>PROD</v>
          </cell>
          <cell r="D994">
            <v>2017</v>
          </cell>
          <cell r="E994" t="str">
            <v>Fonctionnement</v>
          </cell>
          <cell r="F994">
            <v>0</v>
          </cell>
        </row>
        <row r="995">
          <cell r="A995" t="str">
            <v>DIRECTION DES RESSOURCES HUMAINES</v>
          </cell>
          <cell r="B995" t="str">
            <v>RESSOURCES HUMAINES</v>
          </cell>
          <cell r="C995" t="str">
            <v>PROD</v>
          </cell>
          <cell r="D995">
            <v>2017</v>
          </cell>
          <cell r="E995" t="str">
            <v>Fonctionnement</v>
          </cell>
          <cell r="F995">
            <v>0</v>
          </cell>
        </row>
        <row r="996">
          <cell r="A996" t="str">
            <v>DIRECTION DU PATRIMOINE  ET DES MOYENS GENERAUX</v>
          </cell>
          <cell r="B996" t="str">
            <v>DPMG</v>
          </cell>
          <cell r="C996" t="str">
            <v>PROD</v>
          </cell>
          <cell r="D996">
            <v>2017</v>
          </cell>
          <cell r="E996" t="str">
            <v>Fonctionnement</v>
          </cell>
          <cell r="F996">
            <v>0</v>
          </cell>
        </row>
        <row r="997">
          <cell r="A997" t="str">
            <v>DIRECTION JURIDIQUE</v>
          </cell>
          <cell r="B997" t="str">
            <v>JURIDIQUE</v>
          </cell>
          <cell r="C997" t="str">
            <v>PROD</v>
          </cell>
          <cell r="D997">
            <v>2017</v>
          </cell>
          <cell r="E997" t="str">
            <v>Fonctionnement</v>
          </cell>
          <cell r="F997">
            <v>0</v>
          </cell>
        </row>
        <row r="998">
          <cell r="A998" t="str">
            <v>DIRECTION CHARGEE DES RELATIONS INTERNATIONALES</v>
          </cell>
          <cell r="B998" t="str">
            <v>DRI</v>
          </cell>
          <cell r="C998" t="str">
            <v>PROD</v>
          </cell>
          <cell r="D998">
            <v>2017</v>
          </cell>
          <cell r="E998" t="str">
            <v>Fonctionnement</v>
          </cell>
          <cell r="F998">
            <v>0</v>
          </cell>
        </row>
        <row r="999">
          <cell r="A999" t="str">
            <v>DIRECTION DE L'AUDIT ET DU CONTRÔLE DE LA GESTION</v>
          </cell>
          <cell r="B999" t="str">
            <v>AUDIT ET CONTRÔLE DE LA GESTION</v>
          </cell>
          <cell r="C999" t="str">
            <v>PROD</v>
          </cell>
          <cell r="D999">
            <v>2017</v>
          </cell>
          <cell r="E999" t="str">
            <v>Fonctionnement</v>
          </cell>
          <cell r="F999">
            <v>0</v>
          </cell>
        </row>
        <row r="1000">
          <cell r="A1000" t="str">
            <v>DIRECTION DE L’INFORMATION RADIO</v>
          </cell>
          <cell r="B1000" t="str">
            <v>INFORMATION RADIO</v>
          </cell>
          <cell r="C1000" t="str">
            <v>PROD</v>
          </cell>
          <cell r="D1000">
            <v>2017</v>
          </cell>
          <cell r="E1000" t="str">
            <v>Fonctionnement</v>
          </cell>
          <cell r="F1000">
            <v>0</v>
          </cell>
        </row>
        <row r="1001">
          <cell r="A1001" t="str">
            <v>DIRECTION DE L’INFORMATION TV</v>
          </cell>
          <cell r="B1001" t="str">
            <v>INFORMATION TV</v>
          </cell>
          <cell r="C1001" t="str">
            <v>PROD</v>
          </cell>
          <cell r="D1001">
            <v>2017</v>
          </cell>
          <cell r="E1001" t="str">
            <v>Fonctionnement</v>
          </cell>
          <cell r="F1001">
            <v>0</v>
          </cell>
        </row>
        <row r="1002">
          <cell r="A1002" t="str">
            <v>DIRECTION DE LA PRODUCTION ET DE LA PROGRAMMATION RADIO</v>
          </cell>
          <cell r="B1002" t="str">
            <v>RADIO PROD PROG</v>
          </cell>
          <cell r="C1002" t="str">
            <v>PROD</v>
          </cell>
          <cell r="D1002">
            <v>2017</v>
          </cell>
          <cell r="E1002" t="str">
            <v>Fonctionnement</v>
          </cell>
          <cell r="F1002">
            <v>0</v>
          </cell>
        </row>
        <row r="1003">
          <cell r="A1003" t="str">
            <v>DIRECTION DE LA REGIE PUBLICITAIRE ET DES SOLUTIONS DIGITALES</v>
          </cell>
          <cell r="B1003" t="str">
            <v xml:space="preserve">REGIE PUBLICITAIRE </v>
          </cell>
          <cell r="C1003" t="str">
            <v>PROD</v>
          </cell>
          <cell r="D1003">
            <v>2017</v>
          </cell>
          <cell r="E1003" t="str">
            <v>Fonctionnement</v>
          </cell>
          <cell r="F1003">
            <v>0</v>
          </cell>
        </row>
        <row r="1004">
          <cell r="A1004" t="str">
            <v>DIRECTION MARKETING ET PROGRAMATION TV</v>
          </cell>
          <cell r="B1004" t="str">
            <v>MARKETING ET PROG TV</v>
          </cell>
          <cell r="C1004" t="str">
            <v>PROD</v>
          </cell>
          <cell r="D1004">
            <v>2017</v>
          </cell>
          <cell r="E1004" t="str">
            <v>Fonctionnement</v>
          </cell>
          <cell r="F1004">
            <v>0</v>
          </cell>
        </row>
        <row r="1005">
          <cell r="A1005" t="str">
            <v>DIRECTION DE LA COMMUNICATION</v>
          </cell>
          <cell r="B1005" t="str">
            <v>COMMUNICATION</v>
          </cell>
          <cell r="C1005" t="str">
            <v>PROD</v>
          </cell>
          <cell r="D1005">
            <v>2017</v>
          </cell>
          <cell r="E1005" t="str">
            <v>Fonctionnement</v>
          </cell>
          <cell r="F1005">
            <v>0</v>
          </cell>
        </row>
        <row r="1006">
          <cell r="A1006" t="str">
            <v>DIRECTION ALMAGHRIBIA</v>
          </cell>
          <cell r="B1006" t="str">
            <v>ALMAGHRIBIA</v>
          </cell>
          <cell r="C1006" t="str">
            <v>PROD</v>
          </cell>
          <cell r="D1006">
            <v>2017</v>
          </cell>
          <cell r="E1006" t="str">
            <v>Fonctionnement</v>
          </cell>
          <cell r="F1006">
            <v>0</v>
          </cell>
        </row>
        <row r="1007">
          <cell r="A1007" t="str">
            <v xml:space="preserve">DIRECTION CENTRALE DE LA CHAINE TV LAAYOUNE </v>
          </cell>
          <cell r="B1007" t="str">
            <v xml:space="preserve">LAAYOUNE </v>
          </cell>
          <cell r="C1007" t="str">
            <v>PROD</v>
          </cell>
          <cell r="D1007">
            <v>2017</v>
          </cell>
          <cell r="E1007" t="str">
            <v>Fonctionnement</v>
          </cell>
          <cell r="F1007">
            <v>24.546995099999997</v>
          </cell>
        </row>
        <row r="1008">
          <cell r="A1008" t="str">
            <v>DIRECTION CENTRALE DE LA CHAÎNE ARRYADIA</v>
          </cell>
          <cell r="B1008" t="str">
            <v>ARRYADIA</v>
          </cell>
          <cell r="C1008" t="str">
            <v>PROD</v>
          </cell>
          <cell r="D1008">
            <v>2017</v>
          </cell>
          <cell r="E1008" t="str">
            <v>Fonctionnement</v>
          </cell>
          <cell r="F1008">
            <v>0</v>
          </cell>
        </row>
        <row r="1009">
          <cell r="A1009" t="str">
            <v>DIRECTION CENTRALE DE LA CHAÎNE TAMAZIGHT</v>
          </cell>
          <cell r="B1009" t="str">
            <v>TAMAZIGHT</v>
          </cell>
          <cell r="C1009" t="str">
            <v>PROD</v>
          </cell>
          <cell r="D1009">
            <v>2017</v>
          </cell>
          <cell r="E1009" t="str">
            <v>Fonctionnement</v>
          </cell>
          <cell r="F1009">
            <v>152.53840798999997</v>
          </cell>
        </row>
        <row r="1010">
          <cell r="A1010" t="str">
            <v>DIRECTION CENTRALE DE LA PRODUCTION ET DE L'ANTENNE</v>
          </cell>
          <cell r="B1010" t="str">
            <v>ALAOULA</v>
          </cell>
          <cell r="C1010" t="str">
            <v>PROD</v>
          </cell>
          <cell r="D1010">
            <v>2017</v>
          </cell>
          <cell r="E1010" t="str">
            <v>Fonctionnement</v>
          </cell>
          <cell r="F1010">
            <v>154.44757113</v>
          </cell>
        </row>
        <row r="1011">
          <cell r="A1011" t="str">
            <v>DIRECTION DE LA QUATRIEME</v>
          </cell>
          <cell r="B1011" t="str">
            <v>QUATRIEME</v>
          </cell>
          <cell r="C1011" t="str">
            <v>PROD</v>
          </cell>
          <cell r="D1011">
            <v>2017</v>
          </cell>
          <cell r="E1011" t="str">
            <v>Fonctionnement</v>
          </cell>
          <cell r="F1011">
            <v>0</v>
          </cell>
        </row>
        <row r="1012">
          <cell r="A1012" t="str">
            <v>DIRECTION DES CHAÎNES CORANIQUES TV RADIO</v>
          </cell>
          <cell r="B1012" t="str">
            <v>ASSADISSA ET RADIO COR</v>
          </cell>
          <cell r="C1012" t="str">
            <v>PROD</v>
          </cell>
          <cell r="D1012">
            <v>2017</v>
          </cell>
          <cell r="E1012" t="str">
            <v>Fonctionnement</v>
          </cell>
          <cell r="F1012">
            <v>0</v>
          </cell>
        </row>
        <row r="1013">
          <cell r="A1013" t="str">
            <v>DIRECTION DES SYSTEMES D'INFORMATION</v>
          </cell>
          <cell r="B1013" t="str">
            <v>DSI</v>
          </cell>
          <cell r="C1013" t="str">
            <v>PROD</v>
          </cell>
          <cell r="D1013">
            <v>2017</v>
          </cell>
          <cell r="E1013" t="str">
            <v>Fonctionnement</v>
          </cell>
          <cell r="F1013">
            <v>0</v>
          </cell>
        </row>
        <row r="1014">
          <cell r="A1014" t="str">
            <v>DIRECTION TECHNIQUE</v>
          </cell>
          <cell r="B1014" t="str">
            <v>TECHNIQUE</v>
          </cell>
          <cell r="C1014" t="str">
            <v>PROD</v>
          </cell>
          <cell r="D1014">
            <v>2018</v>
          </cell>
          <cell r="E1014" t="str">
            <v>Fonctionnement</v>
          </cell>
          <cell r="F1014">
            <v>0</v>
          </cell>
        </row>
        <row r="1015">
          <cell r="A1015" t="str">
            <v>DIRECTION DE LA TELEDIFFUSION</v>
          </cell>
          <cell r="B1015" t="str">
            <v>TELEDIFFUSION</v>
          </cell>
          <cell r="C1015" t="str">
            <v>PROD</v>
          </cell>
          <cell r="D1015">
            <v>2018</v>
          </cell>
          <cell r="E1015" t="str">
            <v>Fonctionnement</v>
          </cell>
          <cell r="F1015">
            <v>0</v>
          </cell>
        </row>
        <row r="1016">
          <cell r="A1016" t="str">
            <v>DIRECTION DES ACHATS</v>
          </cell>
          <cell r="B1016" t="str">
            <v>ACHATS</v>
          </cell>
          <cell r="C1016" t="str">
            <v>PROD</v>
          </cell>
          <cell r="D1016">
            <v>2018</v>
          </cell>
          <cell r="E1016" t="str">
            <v>Fonctionnement</v>
          </cell>
          <cell r="F1016">
            <v>0</v>
          </cell>
        </row>
        <row r="1017">
          <cell r="A1017" t="str">
            <v>DIRECTION FINANCIERE</v>
          </cell>
          <cell r="B1017" t="str">
            <v>FINANCES</v>
          </cell>
          <cell r="C1017" t="str">
            <v>PROD</v>
          </cell>
          <cell r="D1017">
            <v>2018</v>
          </cell>
          <cell r="E1017" t="str">
            <v>Fonctionnement</v>
          </cell>
          <cell r="F1017">
            <v>0</v>
          </cell>
        </row>
        <row r="1018">
          <cell r="A1018" t="str">
            <v>DIRECTION DES RESSOURCES HUMAINES</v>
          </cell>
          <cell r="B1018" t="str">
            <v>RESSOURCES HUMAINES</v>
          </cell>
          <cell r="C1018" t="str">
            <v>PROD</v>
          </cell>
          <cell r="D1018">
            <v>2018</v>
          </cell>
          <cell r="E1018" t="str">
            <v>Fonctionnement</v>
          </cell>
          <cell r="F1018">
            <v>0</v>
          </cell>
        </row>
        <row r="1019">
          <cell r="A1019" t="str">
            <v>DIRECTION DU PATRIMOINE  ET DES MOYENS GENERAUX</v>
          </cell>
          <cell r="B1019" t="str">
            <v>DPMG</v>
          </cell>
          <cell r="C1019" t="str">
            <v>PROD</v>
          </cell>
          <cell r="D1019">
            <v>2018</v>
          </cell>
          <cell r="E1019" t="str">
            <v>Fonctionnement</v>
          </cell>
          <cell r="F1019">
            <v>0</v>
          </cell>
        </row>
        <row r="1020">
          <cell r="A1020" t="str">
            <v>DIRECTION JURIDIQUE</v>
          </cell>
          <cell r="B1020" t="str">
            <v>JURIDIQUE</v>
          </cell>
          <cell r="C1020" t="str">
            <v>PROD</v>
          </cell>
          <cell r="D1020">
            <v>2018</v>
          </cell>
          <cell r="E1020" t="str">
            <v>Fonctionnement</v>
          </cell>
          <cell r="F1020">
            <v>0</v>
          </cell>
        </row>
        <row r="1021">
          <cell r="A1021" t="str">
            <v>DIRECTION CHARGEE DES RELATIONS INTERNATIONALES</v>
          </cell>
          <cell r="B1021" t="str">
            <v>DRI</v>
          </cell>
          <cell r="C1021" t="str">
            <v>PROD</v>
          </cell>
          <cell r="D1021">
            <v>2018</v>
          </cell>
          <cell r="E1021" t="str">
            <v>Fonctionnement</v>
          </cell>
          <cell r="F1021">
            <v>0</v>
          </cell>
        </row>
        <row r="1022">
          <cell r="A1022" t="str">
            <v>DIRECTION DE L'AUDIT ET DU CONTRÔLE DE LA GESTION</v>
          </cell>
          <cell r="B1022" t="str">
            <v>AUDIT ET CONTRÔLE DE LA GESTION</v>
          </cell>
          <cell r="C1022" t="str">
            <v>PROD</v>
          </cell>
          <cell r="D1022">
            <v>2018</v>
          </cell>
          <cell r="E1022" t="str">
            <v>Fonctionnement</v>
          </cell>
          <cell r="F1022">
            <v>0</v>
          </cell>
        </row>
        <row r="1023">
          <cell r="A1023" t="str">
            <v>DIRECTION DE L’INFORMATION RADIO</v>
          </cell>
          <cell r="B1023" t="str">
            <v>INFORMATION RADIO</v>
          </cell>
          <cell r="C1023" t="str">
            <v>PROD</v>
          </cell>
          <cell r="D1023">
            <v>2018</v>
          </cell>
          <cell r="E1023" t="str">
            <v>Fonctionnement</v>
          </cell>
          <cell r="F1023">
            <v>0</v>
          </cell>
        </row>
        <row r="1024">
          <cell r="A1024" t="str">
            <v>DIRECTION DE L’INFORMATION TV</v>
          </cell>
          <cell r="B1024" t="str">
            <v>INFORMATION TV</v>
          </cell>
          <cell r="C1024" t="str">
            <v>PROD</v>
          </cell>
          <cell r="D1024">
            <v>2018</v>
          </cell>
          <cell r="E1024" t="str">
            <v>Fonctionnement</v>
          </cell>
          <cell r="F1024">
            <v>0</v>
          </cell>
        </row>
        <row r="1025">
          <cell r="A1025" t="str">
            <v>DIRECTION DE LA PRODUCTION ET DE LA PROGRAMMATION RADIO</v>
          </cell>
          <cell r="B1025" t="str">
            <v>RADIO PROD PROG</v>
          </cell>
          <cell r="C1025" t="str">
            <v>PROD</v>
          </cell>
          <cell r="D1025">
            <v>2018</v>
          </cell>
          <cell r="E1025" t="str">
            <v>Fonctionnement</v>
          </cell>
          <cell r="F1025">
            <v>0</v>
          </cell>
        </row>
        <row r="1026">
          <cell r="A1026" t="str">
            <v>DIRECTION DE LA REGIE PUBLICITAIRE ET DES SOLUTIONS DIGITALES</v>
          </cell>
          <cell r="B1026" t="str">
            <v xml:space="preserve">REGIE PUBLICITAIRE </v>
          </cell>
          <cell r="C1026" t="str">
            <v>PROD</v>
          </cell>
          <cell r="D1026">
            <v>2018</v>
          </cell>
          <cell r="E1026" t="str">
            <v>Fonctionnement</v>
          </cell>
          <cell r="F1026">
            <v>0</v>
          </cell>
        </row>
        <row r="1027">
          <cell r="A1027" t="str">
            <v>DIRECTION MARKETING ET PROGRAMATION TV</v>
          </cell>
          <cell r="B1027" t="str">
            <v>MARKETING ET PROG TV</v>
          </cell>
          <cell r="C1027" t="str">
            <v>PROD</v>
          </cell>
          <cell r="D1027">
            <v>2018</v>
          </cell>
          <cell r="E1027" t="str">
            <v>Fonctionnement</v>
          </cell>
          <cell r="F1027">
            <v>0</v>
          </cell>
        </row>
        <row r="1028">
          <cell r="A1028" t="str">
            <v>DIRECTION DE LA COMMUNICATION</v>
          </cell>
          <cell r="B1028" t="str">
            <v>COMMUNICATION</v>
          </cell>
          <cell r="C1028" t="str">
            <v>PROD</v>
          </cell>
          <cell r="D1028">
            <v>2018</v>
          </cell>
          <cell r="E1028" t="str">
            <v>Fonctionnement</v>
          </cell>
          <cell r="F1028">
            <v>0</v>
          </cell>
        </row>
        <row r="1029">
          <cell r="A1029" t="str">
            <v>DIRECTION ALMAGHRIBIA</v>
          </cell>
          <cell r="B1029" t="str">
            <v>ALMAGHRIBIA</v>
          </cell>
          <cell r="C1029" t="str">
            <v>PROD</v>
          </cell>
          <cell r="D1029">
            <v>2018</v>
          </cell>
          <cell r="E1029" t="str">
            <v>Fonctionnement</v>
          </cell>
          <cell r="F1029">
            <v>0</v>
          </cell>
        </row>
        <row r="1030">
          <cell r="A1030" t="str">
            <v xml:space="preserve">DIRECTION CENTRALE DE LA CHAINE TV LAAYOUNE </v>
          </cell>
          <cell r="B1030" t="str">
            <v xml:space="preserve">LAAYOUNE </v>
          </cell>
          <cell r="C1030" t="str">
            <v>PROD</v>
          </cell>
          <cell r="D1030">
            <v>2018</v>
          </cell>
          <cell r="E1030" t="str">
            <v>Fonctionnement</v>
          </cell>
          <cell r="F1030">
            <v>23.08016464</v>
          </cell>
        </row>
        <row r="1031">
          <cell r="A1031" t="str">
            <v>DIRECTION CENTRALE DE LA CHAÎNE ARRYADIA</v>
          </cell>
          <cell r="B1031" t="str">
            <v>ARRYADIA</v>
          </cell>
          <cell r="C1031" t="str">
            <v>PROD</v>
          </cell>
          <cell r="D1031">
            <v>2018</v>
          </cell>
          <cell r="E1031" t="str">
            <v>Fonctionnement</v>
          </cell>
          <cell r="F1031">
            <v>0</v>
          </cell>
        </row>
        <row r="1032">
          <cell r="A1032" t="str">
            <v>DIRECTION CENTRALE DE LA CHAÎNE TAMAZIGHT</v>
          </cell>
          <cell r="B1032" t="str">
            <v>TAMAZIGHT</v>
          </cell>
          <cell r="C1032" t="str">
            <v>PROD</v>
          </cell>
          <cell r="D1032">
            <v>2018</v>
          </cell>
          <cell r="E1032" t="str">
            <v>Fonctionnement</v>
          </cell>
          <cell r="F1032">
            <v>51.727728520000007</v>
          </cell>
        </row>
        <row r="1033">
          <cell r="A1033" t="str">
            <v>DIRECTION CENTRALE DE LA PRODUCTION ET DE L'ANTENNE</v>
          </cell>
          <cell r="B1033" t="str">
            <v>ALAOULA</v>
          </cell>
          <cell r="C1033" t="str">
            <v>PROD</v>
          </cell>
          <cell r="D1033">
            <v>2018</v>
          </cell>
          <cell r="E1033" t="str">
            <v>Fonctionnement</v>
          </cell>
          <cell r="F1033">
            <v>210.46090316079997</v>
          </cell>
        </row>
        <row r="1034">
          <cell r="A1034" t="str">
            <v>DIRECTION DE LA QUATRIEME</v>
          </cell>
          <cell r="B1034" t="str">
            <v>QUATRIEME</v>
          </cell>
          <cell r="C1034" t="str">
            <v>PROD</v>
          </cell>
          <cell r="D1034">
            <v>2018</v>
          </cell>
          <cell r="E1034" t="str">
            <v>Fonctionnement</v>
          </cell>
          <cell r="F1034">
            <v>0</v>
          </cell>
        </row>
        <row r="1035">
          <cell r="A1035" t="str">
            <v>DIRECTION DES CHAÎNES CORANIQUES TV RADIO</v>
          </cell>
          <cell r="B1035" t="str">
            <v>ASSADISSA ET RADIO COR</v>
          </cell>
          <cell r="C1035" t="str">
            <v>PROD</v>
          </cell>
          <cell r="D1035">
            <v>2018</v>
          </cell>
          <cell r="E1035" t="str">
            <v>Fonctionnement</v>
          </cell>
          <cell r="F1035">
            <v>0</v>
          </cell>
        </row>
        <row r="1036">
          <cell r="A1036" t="str">
            <v>DIRECTION DES SYSTEMES D'INFORMATION</v>
          </cell>
          <cell r="B1036" t="str">
            <v>DSI</v>
          </cell>
          <cell r="C1036" t="str">
            <v>PROD</v>
          </cell>
          <cell r="D1036">
            <v>2018</v>
          </cell>
          <cell r="E1036" t="str">
            <v>Fonctionnement</v>
          </cell>
          <cell r="F1036">
            <v>0</v>
          </cell>
        </row>
        <row r="1037">
          <cell r="A1037" t="str">
            <v>DIRECTION TECHNIQUE</v>
          </cell>
          <cell r="B1037" t="str">
            <v>TECHNIQUE</v>
          </cell>
          <cell r="C1037" t="str">
            <v>PROD</v>
          </cell>
          <cell r="D1037">
            <v>2019</v>
          </cell>
          <cell r="E1037" t="str">
            <v>Fonctionnement</v>
          </cell>
          <cell r="F1037">
            <v>0</v>
          </cell>
        </row>
        <row r="1038">
          <cell r="A1038" t="str">
            <v>DIRECTION DE LA TELEDIFFUSION</v>
          </cell>
          <cell r="B1038" t="str">
            <v>TELEDIFFUSION</v>
          </cell>
          <cell r="C1038" t="str">
            <v>PROD</v>
          </cell>
          <cell r="D1038">
            <v>2019</v>
          </cell>
          <cell r="E1038" t="str">
            <v>Fonctionnement</v>
          </cell>
          <cell r="F1038">
            <v>0</v>
          </cell>
        </row>
        <row r="1039">
          <cell r="A1039" t="str">
            <v>DIRECTION DES ACHATS</v>
          </cell>
          <cell r="B1039" t="str">
            <v>ACHATS</v>
          </cell>
          <cell r="C1039" t="str">
            <v>PROD</v>
          </cell>
          <cell r="D1039">
            <v>2019</v>
          </cell>
          <cell r="E1039" t="str">
            <v>Fonctionnement</v>
          </cell>
          <cell r="F1039">
            <v>0</v>
          </cell>
        </row>
        <row r="1040">
          <cell r="A1040" t="str">
            <v>DIRECTION FINANCIERE</v>
          </cell>
          <cell r="B1040" t="str">
            <v>FINANCES</v>
          </cell>
          <cell r="C1040" t="str">
            <v>PROD</v>
          </cell>
          <cell r="D1040">
            <v>2019</v>
          </cell>
          <cell r="E1040" t="str">
            <v>Fonctionnement</v>
          </cell>
          <cell r="F1040">
            <v>0</v>
          </cell>
        </row>
        <row r="1041">
          <cell r="A1041" t="str">
            <v>DIRECTION DES RESSOURCES HUMAINES</v>
          </cell>
          <cell r="B1041" t="str">
            <v>RESSOURCES HUMAINES</v>
          </cell>
          <cell r="C1041" t="str">
            <v>PROD</v>
          </cell>
          <cell r="D1041">
            <v>2019</v>
          </cell>
          <cell r="E1041" t="str">
            <v>Fonctionnement</v>
          </cell>
          <cell r="F1041">
            <v>0</v>
          </cell>
        </row>
        <row r="1042">
          <cell r="A1042" t="str">
            <v>DIRECTION DU PATRIMOINE  ET DES MOYENS GENERAUX</v>
          </cell>
          <cell r="B1042" t="str">
            <v>DPMG</v>
          </cell>
          <cell r="C1042" t="str">
            <v>PROD</v>
          </cell>
          <cell r="D1042">
            <v>2019</v>
          </cell>
          <cell r="E1042" t="str">
            <v>Fonctionnement</v>
          </cell>
          <cell r="F1042">
            <v>0</v>
          </cell>
        </row>
        <row r="1043">
          <cell r="A1043" t="str">
            <v>DIRECTION JURIDIQUE</v>
          </cell>
          <cell r="B1043" t="str">
            <v>JURIDIQUE</v>
          </cell>
          <cell r="C1043" t="str">
            <v>PROD</v>
          </cell>
          <cell r="D1043">
            <v>2019</v>
          </cell>
          <cell r="E1043" t="str">
            <v>Fonctionnement</v>
          </cell>
          <cell r="F1043">
            <v>0</v>
          </cell>
        </row>
        <row r="1044">
          <cell r="A1044" t="str">
            <v>DIRECTION CHARGEE DES RELATIONS INTERNATIONALES</v>
          </cell>
          <cell r="B1044" t="str">
            <v>DRI</v>
          </cell>
          <cell r="C1044" t="str">
            <v>PROD</v>
          </cell>
          <cell r="D1044">
            <v>2019</v>
          </cell>
          <cell r="E1044" t="str">
            <v>Fonctionnement</v>
          </cell>
          <cell r="F1044">
            <v>0</v>
          </cell>
        </row>
        <row r="1045">
          <cell r="A1045" t="str">
            <v>DIRECTION DE L'AUDIT ET DU CONTRÔLE DE LA GESTION</v>
          </cell>
          <cell r="B1045" t="str">
            <v>AUDIT ET CONTRÔLE DE LA GESTION</v>
          </cell>
          <cell r="C1045" t="str">
            <v>PROD</v>
          </cell>
          <cell r="D1045">
            <v>2019</v>
          </cell>
          <cell r="E1045" t="str">
            <v>Fonctionnement</v>
          </cell>
          <cell r="F1045">
            <v>0</v>
          </cell>
        </row>
        <row r="1046">
          <cell r="A1046" t="str">
            <v>DIRECTION DE L’INFORMATION RADIO</v>
          </cell>
          <cell r="B1046" t="str">
            <v>INFORMATION RADIO</v>
          </cell>
          <cell r="C1046" t="str">
            <v>PROD</v>
          </cell>
          <cell r="D1046">
            <v>2019</v>
          </cell>
          <cell r="E1046" t="str">
            <v>Fonctionnement</v>
          </cell>
          <cell r="F1046">
            <v>0</v>
          </cell>
        </row>
        <row r="1047">
          <cell r="A1047" t="str">
            <v>DIRECTION DE L’INFORMATION TV</v>
          </cell>
          <cell r="B1047" t="str">
            <v>INFORMATION TV</v>
          </cell>
          <cell r="C1047" t="str">
            <v>PROD</v>
          </cell>
          <cell r="D1047">
            <v>2019</v>
          </cell>
          <cell r="E1047" t="str">
            <v>Fonctionnement</v>
          </cell>
          <cell r="F1047">
            <v>0</v>
          </cell>
        </row>
        <row r="1048">
          <cell r="A1048" t="str">
            <v>DIRECTION DE LA PRODUCTION ET DE LA PROGRAMMATION RADIO</v>
          </cell>
          <cell r="B1048" t="str">
            <v>RADIO PROD PROG</v>
          </cell>
          <cell r="C1048" t="str">
            <v>PROD</v>
          </cell>
          <cell r="D1048">
            <v>2019</v>
          </cell>
          <cell r="E1048" t="str">
            <v>Fonctionnement</v>
          </cell>
          <cell r="F1048">
            <v>0</v>
          </cell>
        </row>
        <row r="1049">
          <cell r="A1049" t="str">
            <v>DIRECTION DE LA REGIE PUBLICITAIRE ET DES SOLUTIONS DIGITALES</v>
          </cell>
          <cell r="B1049" t="str">
            <v xml:space="preserve">REGIE PUBLICITAIRE </v>
          </cell>
          <cell r="C1049" t="str">
            <v>PROD</v>
          </cell>
          <cell r="D1049">
            <v>2019</v>
          </cell>
          <cell r="E1049" t="str">
            <v>Fonctionnement</v>
          </cell>
          <cell r="F1049">
            <v>0</v>
          </cell>
        </row>
        <row r="1050">
          <cell r="A1050" t="str">
            <v>DIRECTION MARKETING ET PROGRAMATION TV</v>
          </cell>
          <cell r="B1050" t="str">
            <v>MARKETING ET PROG TV</v>
          </cell>
          <cell r="C1050" t="str">
            <v>PROD</v>
          </cell>
          <cell r="D1050">
            <v>2019</v>
          </cell>
          <cell r="E1050" t="str">
            <v>Fonctionnement</v>
          </cell>
          <cell r="F1050">
            <v>0</v>
          </cell>
        </row>
        <row r="1051">
          <cell r="A1051" t="str">
            <v>DIRECTION DE LA COMMUNICATION</v>
          </cell>
          <cell r="B1051" t="str">
            <v>COMMUNICATION</v>
          </cell>
          <cell r="C1051" t="str">
            <v>PROD</v>
          </cell>
          <cell r="D1051">
            <v>2019</v>
          </cell>
          <cell r="E1051" t="str">
            <v>Fonctionnement</v>
          </cell>
          <cell r="F1051">
            <v>0</v>
          </cell>
        </row>
        <row r="1052">
          <cell r="A1052" t="str">
            <v>DIRECTION ALMAGHRIBIA</v>
          </cell>
          <cell r="B1052" t="str">
            <v>ALMAGHRIBIA</v>
          </cell>
          <cell r="C1052" t="str">
            <v>PROD</v>
          </cell>
          <cell r="D1052">
            <v>2019</v>
          </cell>
          <cell r="E1052" t="str">
            <v>Fonctionnement</v>
          </cell>
          <cell r="F1052">
            <v>0</v>
          </cell>
        </row>
        <row r="1053">
          <cell r="A1053" t="str">
            <v xml:space="preserve">DIRECTION CENTRALE DE LA CHAINE TV LAAYOUNE </v>
          </cell>
          <cell r="B1053" t="str">
            <v xml:space="preserve">LAAYOUNE </v>
          </cell>
          <cell r="C1053" t="str">
            <v>PROD</v>
          </cell>
          <cell r="D1053">
            <v>2019</v>
          </cell>
          <cell r="E1053" t="str">
            <v>Fonctionnement</v>
          </cell>
          <cell r="F1053">
            <v>12.0419038</v>
          </cell>
        </row>
        <row r="1054">
          <cell r="A1054" t="str">
            <v>DIRECTION CENTRALE DE LA CHAÎNE ARRYADIA</v>
          </cell>
          <cell r="B1054" t="str">
            <v>ARRYADIA</v>
          </cell>
          <cell r="C1054" t="str">
            <v>PROD</v>
          </cell>
          <cell r="D1054">
            <v>2019</v>
          </cell>
          <cell r="E1054" t="str">
            <v>Fonctionnement</v>
          </cell>
          <cell r="F1054">
            <v>0</v>
          </cell>
        </row>
        <row r="1055">
          <cell r="A1055" t="str">
            <v>DIRECTION CENTRALE DE LA CHAÎNE TAMAZIGHT</v>
          </cell>
          <cell r="B1055" t="str">
            <v>TAMAZIGHT</v>
          </cell>
          <cell r="C1055" t="str">
            <v>PROD</v>
          </cell>
          <cell r="D1055">
            <v>2019</v>
          </cell>
          <cell r="E1055" t="str">
            <v>Fonctionnement</v>
          </cell>
          <cell r="F1055">
            <v>47.290597879999993</v>
          </cell>
        </row>
        <row r="1056">
          <cell r="A1056" t="str">
            <v>DIRECTION CENTRALE DE LA PRODUCTION ET DE L'ANTENNE</v>
          </cell>
          <cell r="B1056" t="str">
            <v>ALAOULA</v>
          </cell>
          <cell r="C1056" t="str">
            <v>PROD</v>
          </cell>
          <cell r="D1056">
            <v>2019</v>
          </cell>
          <cell r="E1056" t="str">
            <v>Fonctionnement</v>
          </cell>
          <cell r="F1056">
            <v>115.83387097399998</v>
          </cell>
        </row>
        <row r="1057">
          <cell r="A1057" t="str">
            <v>DIRECTION DE LA QUATRIEME</v>
          </cell>
          <cell r="B1057" t="str">
            <v>QUATRIEME</v>
          </cell>
          <cell r="C1057" t="str">
            <v>PROD</v>
          </cell>
          <cell r="D1057">
            <v>2019</v>
          </cell>
          <cell r="E1057" t="str">
            <v>Fonctionnement</v>
          </cell>
          <cell r="F1057">
            <v>0</v>
          </cell>
        </row>
        <row r="1058">
          <cell r="A1058" t="str">
            <v>DIRECTION DES CHAÎNES CORANIQUES TV RADIO</v>
          </cell>
          <cell r="B1058" t="str">
            <v>ASSADISSA ET RADIO COR</v>
          </cell>
          <cell r="C1058" t="str">
            <v>PROD</v>
          </cell>
          <cell r="D1058">
            <v>2019</v>
          </cell>
          <cell r="E1058" t="str">
            <v>Fonctionnement</v>
          </cell>
          <cell r="F1058">
            <v>0</v>
          </cell>
        </row>
        <row r="1059">
          <cell r="A1059" t="str">
            <v>DIRECTION DES SYSTEMES D'INFORMATION</v>
          </cell>
          <cell r="B1059" t="str">
            <v>DSI</v>
          </cell>
          <cell r="C1059" t="str">
            <v>PROD</v>
          </cell>
          <cell r="D1059">
            <v>2019</v>
          </cell>
          <cell r="E1059" t="str">
            <v>Fonctionnement</v>
          </cell>
          <cell r="F1059">
            <v>0</v>
          </cell>
        </row>
        <row r="1060">
          <cell r="A1060" t="str">
            <v>DIRECTION TECHNIQUE</v>
          </cell>
          <cell r="B1060" t="str">
            <v>TECHNIQUE</v>
          </cell>
          <cell r="C1060" t="str">
            <v>PROD</v>
          </cell>
          <cell r="D1060">
            <v>2020</v>
          </cell>
          <cell r="E1060" t="str">
            <v>Fonctionnement</v>
          </cell>
          <cell r="F1060">
            <v>0</v>
          </cell>
        </row>
        <row r="1061">
          <cell r="A1061" t="str">
            <v>DIRECTION DE LA TELEDIFFUSION</v>
          </cell>
          <cell r="B1061" t="str">
            <v>TELEDIFFUSION</v>
          </cell>
          <cell r="C1061" t="str">
            <v>PROD</v>
          </cell>
          <cell r="D1061">
            <v>2020</v>
          </cell>
          <cell r="E1061" t="str">
            <v>Fonctionnement</v>
          </cell>
          <cell r="F1061">
            <v>0</v>
          </cell>
        </row>
        <row r="1062">
          <cell r="A1062" t="str">
            <v>DIRECTION DES ACHATS</v>
          </cell>
          <cell r="B1062" t="str">
            <v>ACHATS</v>
          </cell>
          <cell r="C1062" t="str">
            <v>PROD</v>
          </cell>
          <cell r="D1062">
            <v>2020</v>
          </cell>
          <cell r="E1062" t="str">
            <v>Fonctionnement</v>
          </cell>
          <cell r="F1062">
            <v>0</v>
          </cell>
        </row>
        <row r="1063">
          <cell r="A1063" t="str">
            <v>DIRECTION FINANCIERE</v>
          </cell>
          <cell r="B1063" t="str">
            <v>FINANCES</v>
          </cell>
          <cell r="C1063" t="str">
            <v>PROD</v>
          </cell>
          <cell r="D1063">
            <v>2020</v>
          </cell>
          <cell r="E1063" t="str">
            <v>Fonctionnement</v>
          </cell>
          <cell r="F1063">
            <v>0</v>
          </cell>
        </row>
        <row r="1064">
          <cell r="A1064" t="str">
            <v>DIRECTION DES RESSOURCES HUMAINES</v>
          </cell>
          <cell r="B1064" t="str">
            <v>RESSOURCES HUMAINES</v>
          </cell>
          <cell r="C1064" t="str">
            <v>PROD</v>
          </cell>
          <cell r="D1064">
            <v>2020</v>
          </cell>
          <cell r="E1064" t="str">
            <v>Fonctionnement</v>
          </cell>
          <cell r="F1064">
            <v>0</v>
          </cell>
        </row>
        <row r="1065">
          <cell r="A1065" t="str">
            <v>DIRECTION DU PATRIMOINE  ET DES MOYENS GENERAUX</v>
          </cell>
          <cell r="B1065" t="str">
            <v>DPMG</v>
          </cell>
          <cell r="C1065" t="str">
            <v>PROD</v>
          </cell>
          <cell r="D1065">
            <v>2020</v>
          </cell>
          <cell r="E1065" t="str">
            <v>Fonctionnement</v>
          </cell>
          <cell r="F1065">
            <v>0</v>
          </cell>
        </row>
        <row r="1066">
          <cell r="A1066" t="str">
            <v>DIRECTION JURIDIQUE</v>
          </cell>
          <cell r="B1066" t="str">
            <v>JURIDIQUE</v>
          </cell>
          <cell r="C1066" t="str">
            <v>PROD</v>
          </cell>
          <cell r="D1066">
            <v>2020</v>
          </cell>
          <cell r="E1066" t="str">
            <v>Fonctionnement</v>
          </cell>
          <cell r="F1066">
            <v>0</v>
          </cell>
        </row>
        <row r="1067">
          <cell r="A1067" t="str">
            <v>DIRECTION CHARGEE DES RELATIONS INTERNATIONALES</v>
          </cell>
          <cell r="B1067" t="str">
            <v>DRI</v>
          </cell>
          <cell r="C1067" t="str">
            <v>PROD</v>
          </cell>
          <cell r="D1067">
            <v>2020</v>
          </cell>
          <cell r="E1067" t="str">
            <v>Fonctionnement</v>
          </cell>
          <cell r="F1067">
            <v>0</v>
          </cell>
        </row>
        <row r="1068">
          <cell r="A1068" t="str">
            <v>DIRECTION DE L'AUDIT ET DU CONTRÔLE DE LA GESTION</v>
          </cell>
          <cell r="B1068" t="str">
            <v>AUDIT ET CONTRÔLE DE LA GESTION</v>
          </cell>
          <cell r="C1068" t="str">
            <v>PROD</v>
          </cell>
          <cell r="D1068">
            <v>2020</v>
          </cell>
          <cell r="E1068" t="str">
            <v>Fonctionnement</v>
          </cell>
          <cell r="F1068">
            <v>0</v>
          </cell>
        </row>
        <row r="1069">
          <cell r="A1069" t="str">
            <v>DIRECTION DE L’INFORMATION RADIO</v>
          </cell>
          <cell r="B1069" t="str">
            <v>INFORMATION RADIO</v>
          </cell>
          <cell r="C1069" t="str">
            <v>PROD</v>
          </cell>
          <cell r="D1069">
            <v>2020</v>
          </cell>
          <cell r="E1069" t="str">
            <v>Fonctionnement</v>
          </cell>
          <cell r="F1069">
            <v>0</v>
          </cell>
        </row>
        <row r="1070">
          <cell r="A1070" t="str">
            <v>DIRECTION DE L’INFORMATION TV</v>
          </cell>
          <cell r="B1070" t="str">
            <v>INFORMATION TV</v>
          </cell>
          <cell r="C1070" t="str">
            <v>PROD</v>
          </cell>
          <cell r="D1070">
            <v>2020</v>
          </cell>
          <cell r="E1070" t="str">
            <v>Fonctionnement</v>
          </cell>
          <cell r="F1070">
            <v>0</v>
          </cell>
        </row>
        <row r="1071">
          <cell r="A1071" t="str">
            <v>DIRECTION DE LA PRODUCTION ET DE LA PROGRAMMATION RADIO</v>
          </cell>
          <cell r="B1071" t="str">
            <v>RADIO PROD PROG</v>
          </cell>
          <cell r="C1071" t="str">
            <v>PROD</v>
          </cell>
          <cell r="D1071">
            <v>2020</v>
          </cell>
          <cell r="E1071" t="str">
            <v>Fonctionnement</v>
          </cell>
          <cell r="F1071">
            <v>0</v>
          </cell>
        </row>
        <row r="1072">
          <cell r="A1072" t="str">
            <v>DIRECTION DE LA REGIE PUBLICITAIRE ET DES SOLUTIONS DIGITALES</v>
          </cell>
          <cell r="B1072" t="str">
            <v xml:space="preserve">REGIE PUBLICITAIRE </v>
          </cell>
          <cell r="C1072" t="str">
            <v>PROD</v>
          </cell>
          <cell r="D1072">
            <v>2020</v>
          </cell>
          <cell r="E1072" t="str">
            <v>Fonctionnement</v>
          </cell>
          <cell r="F1072">
            <v>0</v>
          </cell>
        </row>
        <row r="1073">
          <cell r="A1073" t="str">
            <v>DIRECTION MARKETING ET PROGRAMATION TV</v>
          </cell>
          <cell r="B1073" t="str">
            <v>MARKETING ET PROG TV</v>
          </cell>
          <cell r="C1073" t="str">
            <v>PROD</v>
          </cell>
          <cell r="D1073">
            <v>2020</v>
          </cell>
          <cell r="E1073" t="str">
            <v>Fonctionnement</v>
          </cell>
          <cell r="F1073">
            <v>0</v>
          </cell>
        </row>
        <row r="1074">
          <cell r="A1074" t="str">
            <v>DIRECTION DE LA COMMUNICATION</v>
          </cell>
          <cell r="B1074" t="str">
            <v>COMMUNICATION</v>
          </cell>
          <cell r="C1074" t="str">
            <v>PROD</v>
          </cell>
          <cell r="D1074">
            <v>2020</v>
          </cell>
          <cell r="E1074" t="str">
            <v>Fonctionnement</v>
          </cell>
          <cell r="F1074">
            <v>0</v>
          </cell>
        </row>
        <row r="1075">
          <cell r="A1075" t="str">
            <v>DIRECTION ALMAGHRIBIA</v>
          </cell>
          <cell r="B1075" t="str">
            <v>ALMAGHRIBIA</v>
          </cell>
          <cell r="C1075" t="str">
            <v>PROD</v>
          </cell>
          <cell r="D1075">
            <v>2020</v>
          </cell>
          <cell r="E1075" t="str">
            <v>Fonctionnement</v>
          </cell>
          <cell r="F1075">
            <v>0</v>
          </cell>
        </row>
        <row r="1076">
          <cell r="A1076" t="str">
            <v xml:space="preserve">DIRECTION CENTRALE DE LA CHAINE TV LAAYOUNE </v>
          </cell>
          <cell r="B1076" t="str">
            <v xml:space="preserve">LAAYOUNE </v>
          </cell>
          <cell r="C1076" t="str">
            <v>PROD</v>
          </cell>
          <cell r="D1076">
            <v>2020</v>
          </cell>
          <cell r="E1076" t="str">
            <v>Fonctionnement</v>
          </cell>
          <cell r="F1076">
            <v>21.666814060000004</v>
          </cell>
        </row>
        <row r="1077">
          <cell r="A1077" t="str">
            <v>DIRECTION CENTRALE DE LA CHAÎNE ARRYADIA</v>
          </cell>
          <cell r="B1077" t="str">
            <v>ARRYADIA</v>
          </cell>
          <cell r="C1077" t="str">
            <v>PROD</v>
          </cell>
          <cell r="D1077">
            <v>2020</v>
          </cell>
          <cell r="E1077" t="str">
            <v>Fonctionnement</v>
          </cell>
          <cell r="F1077">
            <v>0</v>
          </cell>
        </row>
        <row r="1078">
          <cell r="A1078" t="str">
            <v>DIRECTION CENTRALE DE LA CHAÎNE TAMAZIGHT</v>
          </cell>
          <cell r="B1078" t="str">
            <v>TAMAZIGHT</v>
          </cell>
          <cell r="C1078" t="str">
            <v>PROD</v>
          </cell>
          <cell r="D1078">
            <v>2020</v>
          </cell>
          <cell r="E1078" t="str">
            <v>Fonctionnement</v>
          </cell>
          <cell r="F1078">
            <v>108.62076911600001</v>
          </cell>
        </row>
        <row r="1079">
          <cell r="A1079" t="str">
            <v>DIRECTION CENTRALE DE LA PRODUCTION ET DE L'ANTENNE</v>
          </cell>
          <cell r="B1079" t="str">
            <v>ALAOULA</v>
          </cell>
          <cell r="C1079" t="str">
            <v>PROD</v>
          </cell>
          <cell r="D1079">
            <v>2020</v>
          </cell>
          <cell r="E1079" t="str">
            <v>Fonctionnement</v>
          </cell>
          <cell r="F1079">
            <v>195.10206481999998</v>
          </cell>
        </row>
        <row r="1080">
          <cell r="A1080" t="str">
            <v>DIRECTION DE LA QUATRIEME</v>
          </cell>
          <cell r="B1080" t="str">
            <v>QUATRIEME</v>
          </cell>
          <cell r="C1080" t="str">
            <v>PROD</v>
          </cell>
          <cell r="D1080">
            <v>2020</v>
          </cell>
          <cell r="E1080" t="str">
            <v>Fonctionnement</v>
          </cell>
          <cell r="F1080">
            <v>0</v>
          </cell>
        </row>
        <row r="1081">
          <cell r="A1081" t="str">
            <v>DIRECTION DES CHAÎNES CORANIQUES TV RADIO</v>
          </cell>
          <cell r="B1081" t="str">
            <v>ASSADISSA ET RADIO COR</v>
          </cell>
          <cell r="C1081" t="str">
            <v>PROD</v>
          </cell>
          <cell r="D1081">
            <v>2020</v>
          </cell>
          <cell r="E1081" t="str">
            <v>Fonctionnement</v>
          </cell>
          <cell r="F1081">
            <v>0</v>
          </cell>
        </row>
        <row r="1082">
          <cell r="A1082" t="str">
            <v>DIRECTION DES SYSTEMES D'INFORMATION</v>
          </cell>
          <cell r="B1082" t="str">
            <v>DSI</v>
          </cell>
          <cell r="C1082" t="str">
            <v>PROD</v>
          </cell>
          <cell r="D1082">
            <v>2020</v>
          </cell>
          <cell r="E1082" t="str">
            <v>Fonctionnement</v>
          </cell>
          <cell r="F1082">
            <v>0</v>
          </cell>
        </row>
        <row r="1083">
          <cell r="A1083" t="str">
            <v>DIRECTION TECHNIQUE</v>
          </cell>
          <cell r="B1083" t="str">
            <v>TECHNIQUE</v>
          </cell>
          <cell r="C1083" t="str">
            <v>PROD</v>
          </cell>
          <cell r="D1083">
            <v>2021</v>
          </cell>
          <cell r="E1083" t="str">
            <v>Fonctionnement</v>
          </cell>
          <cell r="F1083">
            <v>0</v>
          </cell>
        </row>
        <row r="1084">
          <cell r="A1084" t="str">
            <v>DIRECTION DE LA TELEDIFFUSION</v>
          </cell>
          <cell r="B1084" t="str">
            <v>TELEDIFFUSION</v>
          </cell>
          <cell r="C1084" t="str">
            <v>PROD</v>
          </cell>
          <cell r="D1084">
            <v>2021</v>
          </cell>
          <cell r="E1084" t="str">
            <v>Fonctionnement</v>
          </cell>
          <cell r="F1084">
            <v>0</v>
          </cell>
        </row>
        <row r="1085">
          <cell r="A1085" t="str">
            <v>DIRECTION DES ACHATS</v>
          </cell>
          <cell r="B1085" t="str">
            <v>ACHATS</v>
          </cell>
          <cell r="C1085" t="str">
            <v>PROD</v>
          </cell>
          <cell r="D1085">
            <v>2021</v>
          </cell>
          <cell r="E1085" t="str">
            <v>Fonctionnement</v>
          </cell>
          <cell r="F1085">
            <v>0</v>
          </cell>
        </row>
        <row r="1086">
          <cell r="A1086" t="str">
            <v>DIRECTION FINANCIERE</v>
          </cell>
          <cell r="B1086" t="str">
            <v>FINANCES</v>
          </cell>
          <cell r="C1086" t="str">
            <v>PROD</v>
          </cell>
          <cell r="D1086">
            <v>2021</v>
          </cell>
          <cell r="E1086" t="str">
            <v>Fonctionnement</v>
          </cell>
          <cell r="F1086">
            <v>0</v>
          </cell>
        </row>
        <row r="1087">
          <cell r="A1087" t="str">
            <v>DIRECTION DES RESSOURCES HUMAINES</v>
          </cell>
          <cell r="B1087" t="str">
            <v>RESSOURCES HUMAINES</v>
          </cell>
          <cell r="C1087" t="str">
            <v>PROD</v>
          </cell>
          <cell r="D1087">
            <v>2021</v>
          </cell>
          <cell r="E1087" t="str">
            <v>Fonctionnement</v>
          </cell>
          <cell r="F1087">
            <v>0</v>
          </cell>
        </row>
        <row r="1088">
          <cell r="A1088" t="str">
            <v>DIRECTION DU PATRIMOINE  ET DES MOYENS GENERAUX</v>
          </cell>
          <cell r="B1088" t="str">
            <v>DPMG</v>
          </cell>
          <cell r="C1088" t="str">
            <v>PROD</v>
          </cell>
          <cell r="D1088">
            <v>2021</v>
          </cell>
          <cell r="E1088" t="str">
            <v>Fonctionnement</v>
          </cell>
          <cell r="F1088">
            <v>0</v>
          </cell>
        </row>
        <row r="1089">
          <cell r="A1089" t="str">
            <v>DIRECTION JURIDIQUE</v>
          </cell>
          <cell r="B1089" t="str">
            <v>JURIDIQUE</v>
          </cell>
          <cell r="C1089" t="str">
            <v>PROD</v>
          </cell>
          <cell r="D1089">
            <v>2021</v>
          </cell>
          <cell r="E1089" t="str">
            <v>Fonctionnement</v>
          </cell>
          <cell r="F1089">
            <v>0</v>
          </cell>
        </row>
        <row r="1090">
          <cell r="A1090" t="str">
            <v>DIRECTION CHARGEE DES RELATIONS INTERNATIONALES</v>
          </cell>
          <cell r="B1090" t="str">
            <v>DRI</v>
          </cell>
          <cell r="C1090" t="str">
            <v>PROD</v>
          </cell>
          <cell r="D1090">
            <v>2021</v>
          </cell>
          <cell r="E1090" t="str">
            <v>Fonctionnement</v>
          </cell>
          <cell r="F1090">
            <v>0</v>
          </cell>
        </row>
        <row r="1091">
          <cell r="A1091" t="str">
            <v>DIRECTION DE L'AUDIT ET DU CONTRÔLE DE LA GESTION</v>
          </cell>
          <cell r="B1091" t="str">
            <v>AUDIT ET CONTRÔLE DE LA GESTION</v>
          </cell>
          <cell r="C1091" t="str">
            <v>PROD</v>
          </cell>
          <cell r="D1091">
            <v>2021</v>
          </cell>
          <cell r="E1091" t="str">
            <v>Fonctionnement</v>
          </cell>
          <cell r="F1091">
            <v>0</v>
          </cell>
        </row>
        <row r="1092">
          <cell r="A1092" t="str">
            <v>DIRECTION DE L’INFORMATION RADIO</v>
          </cell>
          <cell r="B1092" t="str">
            <v>INFORMATION RADIO</v>
          </cell>
          <cell r="C1092" t="str">
            <v>PROD</v>
          </cell>
          <cell r="D1092">
            <v>2021</v>
          </cell>
          <cell r="E1092" t="str">
            <v>Fonctionnement</v>
          </cell>
          <cell r="F1092">
            <v>0</v>
          </cell>
        </row>
        <row r="1093">
          <cell r="A1093" t="str">
            <v>DIRECTION DE L’INFORMATION TV</v>
          </cell>
          <cell r="B1093" t="str">
            <v>INFORMATION TV</v>
          </cell>
          <cell r="C1093" t="str">
            <v>PROD</v>
          </cell>
          <cell r="D1093">
            <v>2021</v>
          </cell>
          <cell r="E1093" t="str">
            <v>Fonctionnement</v>
          </cell>
          <cell r="F1093">
            <v>0</v>
          </cell>
        </row>
        <row r="1094">
          <cell r="A1094" t="str">
            <v>DIRECTION DE LA PRODUCTION ET DE LA PROGRAMMATION RADIO</v>
          </cell>
          <cell r="B1094" t="str">
            <v>RADIO PROD PROG</v>
          </cell>
          <cell r="C1094" t="str">
            <v>PROD</v>
          </cell>
          <cell r="D1094">
            <v>2021</v>
          </cell>
          <cell r="E1094" t="str">
            <v>Fonctionnement</v>
          </cell>
          <cell r="F1094">
            <v>4.8</v>
          </cell>
        </row>
        <row r="1095">
          <cell r="A1095" t="str">
            <v>DIRECTION DE LA REGIE PUBLICITAIRE ET DES SOLUTIONS DIGITALES</v>
          </cell>
          <cell r="B1095" t="str">
            <v xml:space="preserve">REGIE PUBLICITAIRE </v>
          </cell>
          <cell r="C1095" t="str">
            <v>PROD</v>
          </cell>
          <cell r="D1095">
            <v>2021</v>
          </cell>
          <cell r="E1095" t="str">
            <v>Fonctionnement</v>
          </cell>
          <cell r="F1095">
            <v>0</v>
          </cell>
        </row>
        <row r="1096">
          <cell r="A1096" t="str">
            <v>DIRECTION MARKETING ET PROGRAMATION TV</v>
          </cell>
          <cell r="B1096" t="str">
            <v>MARKETING ET PROG TV</v>
          </cell>
          <cell r="C1096" t="str">
            <v>PROD</v>
          </cell>
          <cell r="D1096">
            <v>2021</v>
          </cell>
          <cell r="E1096" t="str">
            <v>Fonctionnement</v>
          </cell>
          <cell r="F1096">
            <v>0</v>
          </cell>
        </row>
        <row r="1097">
          <cell r="A1097" t="str">
            <v>DIRECTION DE LA COMMUNICATION</v>
          </cell>
          <cell r="B1097" t="str">
            <v>COMMUNICATION</v>
          </cell>
          <cell r="C1097" t="str">
            <v>PROD</v>
          </cell>
          <cell r="D1097">
            <v>2021</v>
          </cell>
          <cell r="E1097" t="str">
            <v>Fonctionnement</v>
          </cell>
          <cell r="F1097">
            <v>0</v>
          </cell>
        </row>
        <row r="1098">
          <cell r="A1098" t="str">
            <v>DIRECTION ALMAGHRIBIA</v>
          </cell>
          <cell r="B1098" t="str">
            <v>ALMAGHRIBIA</v>
          </cell>
          <cell r="C1098" t="str">
            <v>PROD</v>
          </cell>
          <cell r="D1098">
            <v>2021</v>
          </cell>
          <cell r="E1098" t="str">
            <v>Fonctionnement</v>
          </cell>
          <cell r="F1098">
            <v>0</v>
          </cell>
        </row>
        <row r="1099">
          <cell r="A1099" t="str">
            <v xml:space="preserve">DIRECTION CENTRALE DE LA CHAINE TV LAAYOUNE </v>
          </cell>
          <cell r="B1099" t="str">
            <v xml:space="preserve">LAAYOUNE </v>
          </cell>
          <cell r="C1099" t="str">
            <v>PROD</v>
          </cell>
          <cell r="D1099">
            <v>2021</v>
          </cell>
          <cell r="E1099" t="str">
            <v>Fonctionnement</v>
          </cell>
          <cell r="F1099">
            <v>39.171585360000002</v>
          </cell>
        </row>
        <row r="1100">
          <cell r="A1100" t="str">
            <v>DIRECTION CENTRALE DE LA CHAÎNE ARRYADIA</v>
          </cell>
          <cell r="B1100" t="str">
            <v>ARRYADIA</v>
          </cell>
          <cell r="C1100" t="str">
            <v>PROD</v>
          </cell>
          <cell r="D1100">
            <v>2021</v>
          </cell>
          <cell r="E1100" t="str">
            <v>Fonctionnement</v>
          </cell>
          <cell r="F1100">
            <v>0</v>
          </cell>
        </row>
        <row r="1101">
          <cell r="A1101" t="str">
            <v>DIRECTION CENTRALE DE LA CHAÎNE TAMAZIGHT</v>
          </cell>
          <cell r="B1101" t="str">
            <v>TAMAZIGHT</v>
          </cell>
          <cell r="C1101" t="str">
            <v>PROD</v>
          </cell>
          <cell r="D1101">
            <v>2021</v>
          </cell>
          <cell r="E1101" t="str">
            <v>Fonctionnement</v>
          </cell>
          <cell r="F1101">
            <v>179.90213317600001</v>
          </cell>
        </row>
        <row r="1102">
          <cell r="A1102" t="str">
            <v>DIRECTION CENTRALE DE LA PRODUCTION ET DE L'ANTENNE</v>
          </cell>
          <cell r="B1102" t="str">
            <v>ALAOULA</v>
          </cell>
          <cell r="C1102" t="str">
            <v>PROD</v>
          </cell>
          <cell r="D1102">
            <v>2021</v>
          </cell>
          <cell r="E1102" t="str">
            <v>Fonctionnement</v>
          </cell>
          <cell r="F1102">
            <v>429.73309727599997</v>
          </cell>
        </row>
        <row r="1103">
          <cell r="A1103" t="str">
            <v>DIRECTION DE LA QUATRIEME</v>
          </cell>
          <cell r="B1103" t="str">
            <v>QUATRIEME</v>
          </cell>
          <cell r="C1103" t="str">
            <v>PROD</v>
          </cell>
          <cell r="D1103">
            <v>2021</v>
          </cell>
          <cell r="E1103" t="str">
            <v>Fonctionnement</v>
          </cell>
          <cell r="F1103">
            <v>0</v>
          </cell>
        </row>
        <row r="1104">
          <cell r="A1104" t="str">
            <v>DIRECTION DES CHAÎNES CORANIQUES TV RADIO</v>
          </cell>
          <cell r="B1104" t="str">
            <v>ASSADISSA ET RADIO COR</v>
          </cell>
          <cell r="C1104" t="str">
            <v>PROD</v>
          </cell>
          <cell r="D1104">
            <v>2021</v>
          </cell>
          <cell r="E1104" t="str">
            <v>Fonctionnement</v>
          </cell>
          <cell r="F1104">
            <v>0</v>
          </cell>
        </row>
        <row r="1105">
          <cell r="A1105" t="str">
            <v>DIRECTION DES SYSTEMES D'INFORMATION</v>
          </cell>
          <cell r="B1105" t="str">
            <v>DSI</v>
          </cell>
          <cell r="C1105" t="str">
            <v>PROD</v>
          </cell>
          <cell r="D1105">
            <v>2021</v>
          </cell>
          <cell r="E1105" t="str">
            <v>Fonctionnement</v>
          </cell>
          <cell r="F1105">
            <v>0</v>
          </cell>
        </row>
      </sheetData>
      <sheetData sheetId="45" refreshError="1"/>
      <sheetData sheetId="46">
        <row r="1">
          <cell r="A1" t="str">
            <v>Année</v>
          </cell>
          <cell r="D1" t="str">
            <v>DIRECTION</v>
          </cell>
          <cell r="V1" t="str">
            <v>Montant TTCDHS</v>
          </cell>
          <cell r="W1" t="str">
            <v>Nature</v>
          </cell>
        </row>
        <row r="2">
          <cell r="A2">
            <v>2016</v>
          </cell>
          <cell r="D2" t="str">
            <v>DIRECTION DES ACHATS</v>
          </cell>
          <cell r="V2">
            <v>916688.73600000003</v>
          </cell>
          <cell r="W2" t="str">
            <v>Fonctionnement</v>
          </cell>
        </row>
        <row r="3">
          <cell r="A3">
            <v>2016</v>
          </cell>
          <cell r="D3" t="str">
            <v>DIRECTION DE LA PRODUCTION ET DE LA PROGRAMMATION RADIO</v>
          </cell>
          <cell r="V3">
            <v>96000</v>
          </cell>
          <cell r="W3" t="str">
            <v>Fonctionnement</v>
          </cell>
        </row>
        <row r="4">
          <cell r="A4">
            <v>2016</v>
          </cell>
          <cell r="D4" t="str">
            <v>DIRECTION DE LA PRODUCTION ET DE LA PROGRAMMATION RADIO</v>
          </cell>
          <cell r="V4">
            <v>60000</v>
          </cell>
          <cell r="W4" t="str">
            <v>Fonctionnement</v>
          </cell>
        </row>
        <row r="5">
          <cell r="A5">
            <v>2016</v>
          </cell>
          <cell r="D5" t="str">
            <v>DIRECTION DE LA PRODUCTION ET DE LA PROGRAMMATION RADIO</v>
          </cell>
          <cell r="V5">
            <v>96000</v>
          </cell>
          <cell r="W5" t="str">
            <v>Fonctionnement</v>
          </cell>
        </row>
        <row r="6">
          <cell r="A6">
            <v>2016</v>
          </cell>
          <cell r="D6" t="str">
            <v>DIRECTION DE LA PRODUCTION ET DE LA PROGRAMMATION RADIO</v>
          </cell>
          <cell r="V6">
            <v>96000</v>
          </cell>
          <cell r="W6" t="str">
            <v>Fonctionnement</v>
          </cell>
        </row>
        <row r="7">
          <cell r="A7">
            <v>2016</v>
          </cell>
          <cell r="D7" t="str">
            <v>DIRECTION DE LA PRODUCTION ET DE LA PROGRAMMATION RADIO</v>
          </cell>
          <cell r="V7">
            <v>96000</v>
          </cell>
          <cell r="W7" t="str">
            <v>Fonctionnement</v>
          </cell>
        </row>
        <row r="8">
          <cell r="A8">
            <v>2016</v>
          </cell>
          <cell r="D8" t="str">
            <v>DIRECTION DE LA PRODUCTION ET DE LA PROGRAMMATION RADIO</v>
          </cell>
          <cell r="V8">
            <v>96000</v>
          </cell>
          <cell r="W8" t="str">
            <v>Fonctionnement</v>
          </cell>
        </row>
        <row r="9">
          <cell r="A9">
            <v>2016</v>
          </cell>
          <cell r="D9" t="str">
            <v>DIRECTION DE LA PRODUCTION ET DE LA PROGRAMMATION RADIO</v>
          </cell>
          <cell r="V9">
            <v>96000</v>
          </cell>
          <cell r="W9" t="str">
            <v>Fonctionnement</v>
          </cell>
        </row>
        <row r="10">
          <cell r="A10">
            <v>2016</v>
          </cell>
          <cell r="D10" t="str">
            <v>DIRECTION DE LA PRODUCTION ET DE LA PROGRAMMATION RADIO</v>
          </cell>
          <cell r="V10">
            <v>96000</v>
          </cell>
          <cell r="W10" t="str">
            <v>Fonctionnement</v>
          </cell>
        </row>
        <row r="11">
          <cell r="A11">
            <v>2016</v>
          </cell>
          <cell r="D11" t="str">
            <v>DIRECTION DE LA PRODUCTION ET DE LA PROGRAMMATION RADIO</v>
          </cell>
          <cell r="V11">
            <v>96000</v>
          </cell>
          <cell r="W11" t="str">
            <v>Fonctionnement</v>
          </cell>
        </row>
        <row r="12">
          <cell r="A12">
            <v>2016</v>
          </cell>
          <cell r="D12" t="str">
            <v>DIRECTION DE LA PRODUCTION ET DE LA PROGRAMMATION RADIO</v>
          </cell>
          <cell r="V12">
            <v>96000</v>
          </cell>
          <cell r="W12" t="str">
            <v>Fonctionnement</v>
          </cell>
        </row>
        <row r="13">
          <cell r="A13">
            <v>2016</v>
          </cell>
          <cell r="D13" t="str">
            <v>DIRECTION DE LA PRODUCTION ET DE LA PROGRAMMATION RADIO</v>
          </cell>
          <cell r="V13">
            <v>96000</v>
          </cell>
          <cell r="W13" t="str">
            <v>Fonctionnement</v>
          </cell>
        </row>
        <row r="14">
          <cell r="A14">
            <v>2016</v>
          </cell>
          <cell r="D14" t="str">
            <v>DIRECTION DE LA PRODUCTION ET DE LA PROGRAMMATION RADIO</v>
          </cell>
          <cell r="V14">
            <v>82576</v>
          </cell>
          <cell r="W14" t="str">
            <v>Fonctionnement</v>
          </cell>
        </row>
        <row r="15">
          <cell r="A15">
            <v>2016</v>
          </cell>
          <cell r="D15" t="str">
            <v>DIRECTION DE LA PRODUCTION ET DE LA PROGRAMMATION RADIO</v>
          </cell>
          <cell r="V15">
            <v>72000</v>
          </cell>
          <cell r="W15" t="str">
            <v>Fonctionnement</v>
          </cell>
        </row>
        <row r="16">
          <cell r="A16">
            <v>2016</v>
          </cell>
          <cell r="D16" t="str">
            <v>DIRECTION DE LA PRODUCTION ET DE LA PROGRAMMATION RADIO</v>
          </cell>
          <cell r="V16">
            <v>84000</v>
          </cell>
          <cell r="W16" t="str">
            <v>Fonctionnement</v>
          </cell>
        </row>
        <row r="17">
          <cell r="A17">
            <v>2016</v>
          </cell>
          <cell r="D17" t="str">
            <v>DIRECTION DE LA PRODUCTION ET DE LA PROGRAMMATION RADIO</v>
          </cell>
          <cell r="V17">
            <v>180000</v>
          </cell>
          <cell r="W17" t="str">
            <v>Fonctionnement</v>
          </cell>
        </row>
        <row r="18">
          <cell r="A18">
            <v>2016</v>
          </cell>
          <cell r="D18" t="str">
            <v>DIRECTION DE LA PRODUCTION ET DE LA PROGRAMMATION RADIO</v>
          </cell>
          <cell r="V18">
            <v>60000</v>
          </cell>
          <cell r="W18" t="str">
            <v>Fonctionnement</v>
          </cell>
        </row>
        <row r="19">
          <cell r="A19">
            <v>2016</v>
          </cell>
          <cell r="D19" t="str">
            <v>DIRECTION DE LA PRODUCTION ET DE LA PROGRAMMATION RADIO</v>
          </cell>
          <cell r="V19">
            <v>36000</v>
          </cell>
          <cell r="W19" t="str">
            <v>Fonctionnement</v>
          </cell>
        </row>
        <row r="20">
          <cell r="A20">
            <v>2016</v>
          </cell>
          <cell r="D20" t="str">
            <v>DIRECTION DE LA PRODUCTION ET DE LA PROGRAMMATION RADIO</v>
          </cell>
          <cell r="V20">
            <v>96000</v>
          </cell>
          <cell r="W20" t="str">
            <v>Fonctionnement</v>
          </cell>
        </row>
        <row r="21">
          <cell r="A21">
            <v>2016</v>
          </cell>
          <cell r="D21" t="str">
            <v>DIRECTION DE LA PRODUCTION ET DE LA PROGRAMMATION RADIO</v>
          </cell>
          <cell r="V21">
            <v>40320</v>
          </cell>
          <cell r="W21" t="str">
            <v>Fonctionnement</v>
          </cell>
        </row>
        <row r="22">
          <cell r="A22">
            <v>2016</v>
          </cell>
          <cell r="D22" t="str">
            <v>DIRECTION DE LA PRODUCTION ET DE LA PROGRAMMATION RADIO</v>
          </cell>
          <cell r="V22">
            <v>72000</v>
          </cell>
          <cell r="W22" t="str">
            <v>Fonctionnement</v>
          </cell>
        </row>
        <row r="23">
          <cell r="A23">
            <v>2016</v>
          </cell>
          <cell r="D23" t="str">
            <v>DIRECTION DE LA PRODUCTION ET DE LA PROGRAMMATION RADIO</v>
          </cell>
          <cell r="V23">
            <v>48000</v>
          </cell>
          <cell r="W23" t="str">
            <v>Fonctionnement</v>
          </cell>
        </row>
        <row r="24">
          <cell r="A24">
            <v>2016</v>
          </cell>
          <cell r="D24" t="str">
            <v>DIRECTION DE LA PRODUCTION ET DE LA PROGRAMMATION RADIO</v>
          </cell>
          <cell r="V24">
            <v>60000</v>
          </cell>
          <cell r="W24" t="str">
            <v>Fonctionnement</v>
          </cell>
        </row>
        <row r="25">
          <cell r="A25">
            <v>2016</v>
          </cell>
          <cell r="D25" t="str">
            <v>DIRECTION DE LA PRODUCTION ET DE LA PROGRAMMATION RADIO</v>
          </cell>
          <cell r="V25">
            <v>96000</v>
          </cell>
          <cell r="W25" t="str">
            <v>Fonctionnement</v>
          </cell>
        </row>
        <row r="26">
          <cell r="A26">
            <v>2016</v>
          </cell>
          <cell r="D26" t="str">
            <v>DIRECTION DE LA PRODUCTION ET DE LA PROGRAMMATION RADIO</v>
          </cell>
          <cell r="V26">
            <v>96000</v>
          </cell>
          <cell r="W26" t="str">
            <v>Fonctionnement</v>
          </cell>
        </row>
        <row r="27">
          <cell r="A27">
            <v>2016</v>
          </cell>
          <cell r="D27" t="str">
            <v>DIRECTION DE LA PRODUCTION ET DE LA PROGRAMMATION RADIO</v>
          </cell>
          <cell r="V27">
            <v>96000</v>
          </cell>
          <cell r="W27" t="str">
            <v>Fonctionnement</v>
          </cell>
        </row>
        <row r="28">
          <cell r="A28">
            <v>2016</v>
          </cell>
          <cell r="D28" t="str">
            <v>DIRECTION DE LA PRODUCTION ET DE LA PROGRAMMATION RADIO</v>
          </cell>
          <cell r="V28">
            <v>96000</v>
          </cell>
          <cell r="W28" t="str">
            <v>Fonctionnement</v>
          </cell>
        </row>
        <row r="29">
          <cell r="A29">
            <v>2016</v>
          </cell>
          <cell r="D29" t="str">
            <v>DIRECTION DE LA PRODUCTION ET DE LA PROGRAMMATION RADIO</v>
          </cell>
          <cell r="V29">
            <v>96000</v>
          </cell>
          <cell r="W29" t="str">
            <v>Fonctionnement</v>
          </cell>
        </row>
        <row r="30">
          <cell r="A30">
            <v>2016</v>
          </cell>
          <cell r="D30" t="str">
            <v>DIRECTION DE LA PRODUCTION ET DE LA PROGRAMMATION RADIO</v>
          </cell>
          <cell r="V30">
            <v>48000</v>
          </cell>
          <cell r="W30" t="str">
            <v>Fonctionnement</v>
          </cell>
        </row>
        <row r="31">
          <cell r="A31">
            <v>2016</v>
          </cell>
          <cell r="D31" t="str">
            <v>DIRECTION DE LA PRODUCTION ET DE LA PROGRAMMATION RADIO</v>
          </cell>
          <cell r="V31">
            <v>24000</v>
          </cell>
          <cell r="W31" t="str">
            <v>Fonctionnement</v>
          </cell>
        </row>
        <row r="32">
          <cell r="A32">
            <v>2016</v>
          </cell>
          <cell r="D32" t="str">
            <v>DIRECTION DE LA PRODUCTION ET DE LA PROGRAMMATION RADIO</v>
          </cell>
          <cell r="V32">
            <v>21000</v>
          </cell>
          <cell r="W32" t="str">
            <v>Fonctionnement</v>
          </cell>
        </row>
        <row r="33">
          <cell r="A33">
            <v>2016</v>
          </cell>
          <cell r="D33" t="str">
            <v>DIRECTION DE LA PRODUCTION ET DE LA PROGRAMMATION RADIO</v>
          </cell>
          <cell r="V33">
            <v>96000</v>
          </cell>
          <cell r="W33" t="str">
            <v>Fonctionnement</v>
          </cell>
        </row>
        <row r="34">
          <cell r="A34">
            <v>2016</v>
          </cell>
          <cell r="D34" t="str">
            <v>DIRECTION DE LA PRODUCTION ET DE LA PROGRAMMATION RADIO</v>
          </cell>
          <cell r="V34">
            <v>96000</v>
          </cell>
          <cell r="W34" t="str">
            <v>Fonctionnement</v>
          </cell>
        </row>
        <row r="35">
          <cell r="A35">
            <v>2016</v>
          </cell>
          <cell r="D35" t="str">
            <v>DIRECTION DE LA PRODUCTION ET DE LA PROGRAMMATION RADIO</v>
          </cell>
          <cell r="V35">
            <v>96000</v>
          </cell>
          <cell r="W35" t="str">
            <v>Fonctionnement</v>
          </cell>
        </row>
        <row r="36">
          <cell r="A36">
            <v>2016</v>
          </cell>
          <cell r="D36" t="str">
            <v>DIRECTION DE LA PRODUCTION ET DE LA PROGRAMMATION RADIO</v>
          </cell>
          <cell r="V36">
            <v>96000</v>
          </cell>
          <cell r="W36" t="str">
            <v>Fonctionnement</v>
          </cell>
        </row>
        <row r="37">
          <cell r="A37">
            <v>2016</v>
          </cell>
          <cell r="D37" t="str">
            <v>DIRECTION CENTRALE DE LA CHAÎNE ARRYADIA</v>
          </cell>
          <cell r="V37">
            <v>2079000</v>
          </cell>
          <cell r="W37" t="str">
            <v>Fonctionnement</v>
          </cell>
        </row>
        <row r="38">
          <cell r="A38">
            <v>2016</v>
          </cell>
          <cell r="D38" t="str">
            <v>DIRECTION DE L’INFORMATION RADIO</v>
          </cell>
          <cell r="V38">
            <v>156000</v>
          </cell>
          <cell r="W38" t="str">
            <v>Fonctionnement</v>
          </cell>
        </row>
        <row r="39">
          <cell r="A39">
            <v>2016</v>
          </cell>
          <cell r="D39" t="str">
            <v>DIRECTION DE LA PRODUCTION ET DE LA PROGRAMMATION RADIO</v>
          </cell>
          <cell r="V39">
            <v>16800</v>
          </cell>
          <cell r="W39" t="str">
            <v>Fonctionnement</v>
          </cell>
        </row>
        <row r="40">
          <cell r="A40">
            <v>2016</v>
          </cell>
          <cell r="D40" t="str">
            <v>DIRECTION DE LA PRODUCTION ET DE LA PROGRAMMATION RADIO</v>
          </cell>
          <cell r="V40">
            <v>120000</v>
          </cell>
          <cell r="W40" t="str">
            <v>Fonctionnement</v>
          </cell>
        </row>
        <row r="41">
          <cell r="A41">
            <v>2016</v>
          </cell>
          <cell r="D41" t="str">
            <v>DIRECTION DE L’INFORMATION RADIO</v>
          </cell>
          <cell r="V41">
            <v>156000</v>
          </cell>
          <cell r="W41" t="str">
            <v>Fonctionnement</v>
          </cell>
        </row>
        <row r="42">
          <cell r="A42">
            <v>2016</v>
          </cell>
          <cell r="D42" t="str">
            <v>DIRECTION DE LA PRODUCTION ET DE LA PROGRAMMATION RADIO</v>
          </cell>
          <cell r="V42">
            <v>72000</v>
          </cell>
          <cell r="W42" t="str">
            <v>Fonctionnement</v>
          </cell>
        </row>
        <row r="43">
          <cell r="A43">
            <v>2016</v>
          </cell>
          <cell r="D43" t="str">
            <v>DIRECTION DE LA PRODUCTION ET DE LA PROGRAMMATION RADIO</v>
          </cell>
          <cell r="V43">
            <v>240000</v>
          </cell>
          <cell r="W43" t="str">
            <v>Fonctionnement</v>
          </cell>
        </row>
        <row r="44">
          <cell r="A44">
            <v>2016</v>
          </cell>
          <cell r="D44" t="str">
            <v>DIRECTION DE LA PRODUCTION ET DE LA PROGRAMMATION RADIO</v>
          </cell>
          <cell r="V44">
            <v>130000</v>
          </cell>
          <cell r="W44" t="str">
            <v>Fonctionnement</v>
          </cell>
        </row>
        <row r="45">
          <cell r="A45">
            <v>2016</v>
          </cell>
          <cell r="D45" t="str">
            <v>DIRECTION DE LA PRODUCTION ET DE LA PROGRAMMATION RADIO</v>
          </cell>
          <cell r="V45">
            <v>180000</v>
          </cell>
          <cell r="W45" t="str">
            <v>Fonctionnement</v>
          </cell>
        </row>
        <row r="46">
          <cell r="A46">
            <v>2016</v>
          </cell>
          <cell r="D46" t="str">
            <v>DIRECTION DE LA PRODUCTION ET DE LA PROGRAMMATION RADIO</v>
          </cell>
          <cell r="V46">
            <v>120000</v>
          </cell>
          <cell r="W46" t="str">
            <v>Fonctionnement</v>
          </cell>
        </row>
        <row r="47">
          <cell r="A47">
            <v>2016</v>
          </cell>
          <cell r="D47" t="str">
            <v>DIRECTION DE LA PRODUCTION ET DE LA PROGRAMMATION RADIO</v>
          </cell>
          <cell r="V47">
            <v>72000</v>
          </cell>
          <cell r="W47" t="str">
            <v>Fonctionnement</v>
          </cell>
        </row>
        <row r="48">
          <cell r="A48">
            <v>2016</v>
          </cell>
          <cell r="D48" t="str">
            <v>DIRECTION DE L’INFORMATION RADIO</v>
          </cell>
          <cell r="V48">
            <v>96000</v>
          </cell>
          <cell r="W48" t="str">
            <v>Fonctionnement</v>
          </cell>
        </row>
        <row r="49">
          <cell r="A49">
            <v>2016</v>
          </cell>
          <cell r="D49" t="str">
            <v>DIRECTION DE L’INFORMATION RADIO</v>
          </cell>
          <cell r="V49">
            <v>96000</v>
          </cell>
          <cell r="W49" t="str">
            <v>Fonctionnement</v>
          </cell>
        </row>
        <row r="50">
          <cell r="A50">
            <v>2016</v>
          </cell>
          <cell r="D50" t="str">
            <v>DIRECTION DE L’INFORMATION RADIO</v>
          </cell>
          <cell r="V50">
            <v>72000</v>
          </cell>
          <cell r="W50" t="str">
            <v>Fonctionnement</v>
          </cell>
        </row>
        <row r="51">
          <cell r="A51">
            <v>2016</v>
          </cell>
          <cell r="D51" t="str">
            <v>DIRECTION DE L’INFORMATION RADIO</v>
          </cell>
          <cell r="V51">
            <v>72000</v>
          </cell>
          <cell r="W51" t="str">
            <v>Fonctionnement</v>
          </cell>
        </row>
        <row r="52">
          <cell r="A52">
            <v>2016</v>
          </cell>
          <cell r="D52" t="str">
            <v>DIRECTION DE L’INFORMATION RADIO</v>
          </cell>
          <cell r="V52">
            <v>72000</v>
          </cell>
          <cell r="W52" t="str">
            <v>Fonctionnement</v>
          </cell>
        </row>
        <row r="53">
          <cell r="A53">
            <v>2016</v>
          </cell>
          <cell r="D53" t="str">
            <v>DIRECTION DE L’INFORMATION RADIO</v>
          </cell>
          <cell r="V53">
            <v>72000</v>
          </cell>
          <cell r="W53" t="str">
            <v>Fonctionnement</v>
          </cell>
        </row>
        <row r="54">
          <cell r="A54">
            <v>2016</v>
          </cell>
          <cell r="D54" t="str">
            <v>DIRECTION DE LA PRODUCTION ET DE LA PROGRAMMATION RADIO</v>
          </cell>
          <cell r="V54">
            <v>78000</v>
          </cell>
          <cell r="W54" t="str">
            <v>Fonctionnement</v>
          </cell>
        </row>
        <row r="55">
          <cell r="A55">
            <v>2016</v>
          </cell>
          <cell r="D55" t="str">
            <v>DIRECTION DE LA PRODUCTION ET DE LA PROGRAMMATION RADIO</v>
          </cell>
          <cell r="V55">
            <v>72000</v>
          </cell>
          <cell r="W55" t="str">
            <v>Fonctionnement</v>
          </cell>
        </row>
        <row r="56">
          <cell r="A56">
            <v>2016</v>
          </cell>
          <cell r="D56" t="str">
            <v>DIRECTION DE LA PRODUCTION ET DE LA PROGRAMMATION RADIO</v>
          </cell>
          <cell r="V56">
            <v>78084</v>
          </cell>
          <cell r="W56" t="str">
            <v>Fonctionnement</v>
          </cell>
        </row>
        <row r="57">
          <cell r="A57">
            <v>2016</v>
          </cell>
          <cell r="D57" t="str">
            <v>DIRECTION DE LA PRODUCTION ET DE LA PROGRAMMATION RADIO</v>
          </cell>
          <cell r="V57">
            <v>84000</v>
          </cell>
          <cell r="W57" t="str">
            <v>Fonctionnement</v>
          </cell>
        </row>
        <row r="58">
          <cell r="A58">
            <v>2016</v>
          </cell>
          <cell r="D58" t="str">
            <v>DIRECTION DE LA PRODUCTION ET DE LA PROGRAMMATION RADIO</v>
          </cell>
          <cell r="V58">
            <v>90000</v>
          </cell>
          <cell r="W58" t="str">
            <v>Fonctionnement</v>
          </cell>
        </row>
        <row r="59">
          <cell r="A59">
            <v>2016</v>
          </cell>
          <cell r="D59" t="str">
            <v>DIRECTION DE LA PRODUCTION ET DE LA PROGRAMMATION RADIO</v>
          </cell>
          <cell r="V59">
            <v>72000</v>
          </cell>
          <cell r="W59" t="str">
            <v>Fonctionnement</v>
          </cell>
        </row>
        <row r="60">
          <cell r="A60">
            <v>2016</v>
          </cell>
          <cell r="D60" t="str">
            <v>DIRECTION DE LA PRODUCTION ET DE LA PROGRAMMATION RADIO</v>
          </cell>
          <cell r="V60">
            <v>216000</v>
          </cell>
          <cell r="W60" t="str">
            <v>Fonctionnement</v>
          </cell>
        </row>
        <row r="61">
          <cell r="A61">
            <v>2016</v>
          </cell>
          <cell r="D61" t="str">
            <v>DIRECTION DE LA PRODUCTION ET DE LA PROGRAMMATION RADIO</v>
          </cell>
          <cell r="V61">
            <v>96000</v>
          </cell>
          <cell r="W61" t="str">
            <v>Fonctionnement</v>
          </cell>
        </row>
        <row r="62">
          <cell r="A62">
            <v>2016</v>
          </cell>
          <cell r="D62" t="str">
            <v>DIRECTION TECHNIQUE</v>
          </cell>
          <cell r="V62">
            <v>84000</v>
          </cell>
          <cell r="W62" t="str">
            <v>Fonctionnement</v>
          </cell>
        </row>
        <row r="63">
          <cell r="A63">
            <v>2016</v>
          </cell>
          <cell r="D63" t="str">
            <v>DIRECTION TECHNIQUE</v>
          </cell>
          <cell r="V63">
            <v>84000</v>
          </cell>
          <cell r="W63" t="str">
            <v>Fonctionnement</v>
          </cell>
        </row>
        <row r="64">
          <cell r="A64">
            <v>2016</v>
          </cell>
          <cell r="D64" t="str">
            <v>DIRECTION TECHNIQUE</v>
          </cell>
          <cell r="V64">
            <v>84000</v>
          </cell>
          <cell r="W64" t="str">
            <v>Fonctionnement</v>
          </cell>
        </row>
        <row r="65">
          <cell r="A65">
            <v>2016</v>
          </cell>
          <cell r="D65" t="str">
            <v>DIRECTION TECHNIQUE</v>
          </cell>
          <cell r="V65">
            <v>84000</v>
          </cell>
          <cell r="W65" t="str">
            <v>Fonctionnement</v>
          </cell>
        </row>
        <row r="66">
          <cell r="A66">
            <v>2016</v>
          </cell>
          <cell r="D66" t="str">
            <v>DIRECTION TECHNIQUE</v>
          </cell>
          <cell r="V66">
            <v>84000</v>
          </cell>
          <cell r="W66" t="str">
            <v>Fonctionnement</v>
          </cell>
        </row>
        <row r="67">
          <cell r="A67">
            <v>2016</v>
          </cell>
          <cell r="D67" t="str">
            <v>DIRECTION CENTRALE DE LA PRODUCTION ET DE L'ANTENNE</v>
          </cell>
          <cell r="V67">
            <v>210960</v>
          </cell>
          <cell r="W67" t="str">
            <v>Fonctionnement</v>
          </cell>
        </row>
        <row r="68">
          <cell r="A68">
            <v>2016</v>
          </cell>
          <cell r="D68" t="str">
            <v>DIRECTION CENTRALE DE LA PRODUCTION ET DE L'ANTENNE</v>
          </cell>
          <cell r="V68">
            <v>44000</v>
          </cell>
          <cell r="W68" t="str">
            <v>Fonctionnement</v>
          </cell>
        </row>
        <row r="69">
          <cell r="A69">
            <v>2016</v>
          </cell>
          <cell r="D69" t="str">
            <v>DIRECTION CENTRALE DE LA PRODUCTION ET DE L'ANTENNE</v>
          </cell>
          <cell r="V69">
            <v>240000</v>
          </cell>
          <cell r="W69" t="str">
            <v>Fonctionnement</v>
          </cell>
        </row>
        <row r="70">
          <cell r="A70">
            <v>2016</v>
          </cell>
          <cell r="D70" t="str">
            <v>DIRECTION CENTRALE DE LA PRODUCTION ET DE L'ANTENNE</v>
          </cell>
          <cell r="V70">
            <v>739200</v>
          </cell>
          <cell r="W70" t="str">
            <v>Fonctionnement</v>
          </cell>
        </row>
        <row r="71">
          <cell r="A71">
            <v>2016</v>
          </cell>
          <cell r="D71" t="str">
            <v>DIRECTION CENTRALE DE LA PRODUCTION ET DE L'ANTENNE</v>
          </cell>
          <cell r="V71">
            <v>110000</v>
          </cell>
          <cell r="W71" t="str">
            <v>Fonctionnement</v>
          </cell>
        </row>
        <row r="72">
          <cell r="A72">
            <v>2016</v>
          </cell>
          <cell r="D72" t="str">
            <v>DIRECTION CENTRALE DE LA PRODUCTION ET DE L'ANTENNE</v>
          </cell>
          <cell r="V72">
            <v>154000</v>
          </cell>
          <cell r="W72" t="str">
            <v>Fonctionnement</v>
          </cell>
        </row>
        <row r="73">
          <cell r="A73">
            <v>2016</v>
          </cell>
          <cell r="D73" t="str">
            <v>DIRECTION CENTRALE DE LA PRODUCTION ET DE L'ANTENNE</v>
          </cell>
          <cell r="V73">
            <v>312000</v>
          </cell>
          <cell r="W73" t="str">
            <v>Fonctionnement</v>
          </cell>
        </row>
        <row r="74">
          <cell r="A74">
            <v>2016</v>
          </cell>
          <cell r="D74" t="str">
            <v>DIRECTION CENTRALE DE LA PRODUCTION ET DE L'ANTENNE</v>
          </cell>
          <cell r="V74">
            <v>111600</v>
          </cell>
          <cell r="W74" t="str">
            <v>Fonctionnement</v>
          </cell>
        </row>
        <row r="75">
          <cell r="A75">
            <v>2016</v>
          </cell>
          <cell r="D75" t="str">
            <v>DIRECTION CENTRALE DE LA PRODUCTION ET DE L'ANTENNE</v>
          </cell>
          <cell r="V75">
            <v>93000</v>
          </cell>
          <cell r="W75" t="str">
            <v>Fonctionnement</v>
          </cell>
        </row>
        <row r="76">
          <cell r="A76">
            <v>2016</v>
          </cell>
          <cell r="D76" t="str">
            <v>DIRECTION CENTRALE DE LA PRODUCTION ET DE L'ANTENNE</v>
          </cell>
          <cell r="V76">
            <v>155000</v>
          </cell>
          <cell r="W76" t="str">
            <v>Fonctionnement</v>
          </cell>
        </row>
        <row r="77">
          <cell r="A77">
            <v>2016</v>
          </cell>
          <cell r="D77" t="str">
            <v>DIRECTION CENTRALE DE LA CHAÎNE TAMAZIGHT</v>
          </cell>
          <cell r="V77">
            <v>96000</v>
          </cell>
          <cell r="W77" t="str">
            <v>Fonctionnement</v>
          </cell>
        </row>
        <row r="78">
          <cell r="A78">
            <v>2016</v>
          </cell>
          <cell r="D78" t="str">
            <v>DIRECTION CENTRALE DE LA CHAÎNE TAMAZIGHT</v>
          </cell>
          <cell r="V78">
            <v>96000</v>
          </cell>
          <cell r="W78" t="str">
            <v>Fonctionnement</v>
          </cell>
        </row>
        <row r="79">
          <cell r="A79">
            <v>2016</v>
          </cell>
          <cell r="D79" t="str">
            <v>DIRECTION CENTRALE DE LA CHAÎNE TAMAZIGHT</v>
          </cell>
          <cell r="V79">
            <v>96000</v>
          </cell>
          <cell r="W79" t="str">
            <v>Fonctionnement</v>
          </cell>
        </row>
        <row r="80">
          <cell r="A80">
            <v>2016</v>
          </cell>
          <cell r="D80" t="str">
            <v>DIRECTION CENTRALE DE LA CHAÎNE TAMAZIGHT</v>
          </cell>
          <cell r="V80">
            <v>96000</v>
          </cell>
          <cell r="W80" t="str">
            <v>Fonctionnement</v>
          </cell>
        </row>
        <row r="81">
          <cell r="A81">
            <v>2016</v>
          </cell>
          <cell r="D81" t="str">
            <v>DIRECTION CENTRALE DE LA CHAÎNE TAMAZIGHT</v>
          </cell>
          <cell r="V81">
            <v>96000</v>
          </cell>
          <cell r="W81" t="str">
            <v>Fonctionnement</v>
          </cell>
        </row>
        <row r="82">
          <cell r="A82">
            <v>2016</v>
          </cell>
          <cell r="D82" t="str">
            <v>DIRECTION CENTRALE DE LA CHAÎNE TAMAZIGHT</v>
          </cell>
          <cell r="V82">
            <v>71400</v>
          </cell>
          <cell r="W82" t="str">
            <v>Fonctionnement</v>
          </cell>
        </row>
        <row r="83">
          <cell r="A83">
            <v>2016</v>
          </cell>
          <cell r="D83" t="str">
            <v>DIRECTION CENTRALE DE LA CHAÎNE TAMAZIGHT</v>
          </cell>
          <cell r="V83">
            <v>96000</v>
          </cell>
          <cell r="W83" t="str">
            <v>Fonctionnement</v>
          </cell>
        </row>
        <row r="84">
          <cell r="A84">
            <v>2016</v>
          </cell>
          <cell r="D84" t="str">
            <v>DIRECTION CENTRALE DE LA CHAÎNE TAMAZIGHT</v>
          </cell>
          <cell r="V84">
            <v>96000</v>
          </cell>
          <cell r="W84" t="str">
            <v>Fonctionnement</v>
          </cell>
        </row>
        <row r="85">
          <cell r="A85">
            <v>2016</v>
          </cell>
          <cell r="D85" t="str">
            <v>DIRECTION CENTRALE DE LA CHAÎNE TAMAZIGHT</v>
          </cell>
          <cell r="V85">
            <v>96000</v>
          </cell>
          <cell r="W85" t="str">
            <v>Fonctionnement</v>
          </cell>
        </row>
        <row r="86">
          <cell r="A86">
            <v>2016</v>
          </cell>
          <cell r="D86" t="str">
            <v>DIRECTION CENTRALE DE LA CHAÎNE TAMAZIGHT</v>
          </cell>
          <cell r="V86">
            <v>96000</v>
          </cell>
          <cell r="W86" t="str">
            <v>Fonctionnement</v>
          </cell>
        </row>
        <row r="87">
          <cell r="A87">
            <v>2016</v>
          </cell>
          <cell r="D87" t="str">
            <v>DIRECTION CENTRALE DE LA CHAÎNE TAMAZIGHT</v>
          </cell>
          <cell r="V87">
            <v>96000</v>
          </cell>
          <cell r="W87" t="str">
            <v>Fonctionnement</v>
          </cell>
        </row>
        <row r="88">
          <cell r="A88">
            <v>2016</v>
          </cell>
          <cell r="D88" t="str">
            <v>DIRECTION CENTRALE DE LA CHAÎNE TAMAZIGHT</v>
          </cell>
          <cell r="V88">
            <v>96000</v>
          </cell>
          <cell r="W88" t="str">
            <v>Fonctionnement</v>
          </cell>
        </row>
        <row r="89">
          <cell r="A89">
            <v>2016</v>
          </cell>
          <cell r="D89" t="str">
            <v>DIRECTION CENTRALE DE LA CHAÎNE TAMAZIGHT</v>
          </cell>
          <cell r="V89">
            <v>96000</v>
          </cell>
          <cell r="W89" t="str">
            <v>Fonctionnement</v>
          </cell>
        </row>
        <row r="90">
          <cell r="A90">
            <v>2016</v>
          </cell>
          <cell r="D90" t="str">
            <v>DIRECTION CENTRALE DE LA CHAÎNE TAMAZIGHT</v>
          </cell>
          <cell r="V90">
            <v>96000</v>
          </cell>
          <cell r="W90" t="str">
            <v>Fonctionnement</v>
          </cell>
        </row>
        <row r="91">
          <cell r="A91">
            <v>2016</v>
          </cell>
          <cell r="D91" t="str">
            <v>DIRECTION CENTRALE DE LA CHAÎNE TAMAZIGHT</v>
          </cell>
          <cell r="V91">
            <v>96000</v>
          </cell>
          <cell r="W91" t="str">
            <v>Fonctionnement</v>
          </cell>
        </row>
        <row r="92">
          <cell r="A92">
            <v>2016</v>
          </cell>
          <cell r="D92" t="str">
            <v>DIRECTION CENTRALE DE LA CHAÎNE TAMAZIGHT</v>
          </cell>
          <cell r="V92">
            <v>71400</v>
          </cell>
          <cell r="W92" t="str">
            <v>Fonctionnement</v>
          </cell>
        </row>
        <row r="93">
          <cell r="A93">
            <v>2016</v>
          </cell>
          <cell r="D93" t="str">
            <v>DIRECTION CENTRALE DE LA CHAÎNE TAMAZIGHT</v>
          </cell>
          <cell r="V93">
            <v>96000</v>
          </cell>
          <cell r="W93" t="str">
            <v>Fonctionnement</v>
          </cell>
        </row>
        <row r="94">
          <cell r="A94">
            <v>2016</v>
          </cell>
          <cell r="D94" t="str">
            <v>DIRECTION CENTRALE DE LA CHAÎNE TAMAZIGHT</v>
          </cell>
          <cell r="V94">
            <v>96000</v>
          </cell>
          <cell r="W94" t="str">
            <v>Fonctionnement</v>
          </cell>
        </row>
        <row r="95">
          <cell r="A95">
            <v>2016</v>
          </cell>
          <cell r="D95" t="str">
            <v>DIRECTION CENTRALE DE LA CHAÎNE TAMAZIGHT</v>
          </cell>
          <cell r="V95">
            <v>96000</v>
          </cell>
          <cell r="W95" t="str">
            <v>Fonctionnement</v>
          </cell>
        </row>
        <row r="96">
          <cell r="A96">
            <v>2016</v>
          </cell>
          <cell r="D96" t="str">
            <v>DIRECTION CENTRALE DE LA PRODUCTION ET DE L'ANTENNE</v>
          </cell>
          <cell r="V96">
            <v>150000</v>
          </cell>
          <cell r="W96" t="str">
            <v>Fonctionnement</v>
          </cell>
        </row>
        <row r="97">
          <cell r="A97">
            <v>2016</v>
          </cell>
          <cell r="D97" t="str">
            <v>DIRECTION CENTRALE DE LA PRODUCTION ET DE L'ANTENNE</v>
          </cell>
          <cell r="V97">
            <v>180000</v>
          </cell>
          <cell r="W97" t="str">
            <v>Fonctionnement</v>
          </cell>
        </row>
        <row r="98">
          <cell r="A98">
            <v>2016</v>
          </cell>
          <cell r="D98" t="str">
            <v>DIRECTION CENTRALE DE LA PRODUCTION ET DE L'ANTENNE</v>
          </cell>
          <cell r="V98">
            <v>413286.1</v>
          </cell>
          <cell r="W98" t="str">
            <v>Fonctionnement</v>
          </cell>
        </row>
        <row r="99">
          <cell r="A99">
            <v>2016</v>
          </cell>
          <cell r="D99" t="str">
            <v>DIRECTION CENTRALE DE LA PRODUCTION ET DE L'ANTENNE</v>
          </cell>
          <cell r="V99">
            <v>30000</v>
          </cell>
          <cell r="W99" t="str">
            <v>Fonctionnement</v>
          </cell>
        </row>
        <row r="100">
          <cell r="A100">
            <v>2016</v>
          </cell>
          <cell r="D100" t="str">
            <v>DIRECTION CENTRALE DE LA PRODUCTION ET DE L'ANTENNE</v>
          </cell>
          <cell r="V100">
            <v>50000</v>
          </cell>
          <cell r="W100" t="str">
            <v>Fonctionnement</v>
          </cell>
        </row>
        <row r="101">
          <cell r="A101">
            <v>2016</v>
          </cell>
          <cell r="D101" t="str">
            <v>DIRECTION CENTRALE DE LA PRODUCTION ET DE L'ANTENNE</v>
          </cell>
          <cell r="V101">
            <v>1234286.21</v>
          </cell>
          <cell r="W101" t="str">
            <v>Fonctionnement</v>
          </cell>
        </row>
        <row r="102">
          <cell r="A102">
            <v>2016</v>
          </cell>
          <cell r="D102" t="str">
            <v>DIRECTION DE LA PRODUCTION ET DE LA PROGRAMMATION RADIO</v>
          </cell>
          <cell r="V102">
            <v>120000</v>
          </cell>
          <cell r="W102" t="str">
            <v>Fonctionnement</v>
          </cell>
        </row>
        <row r="103">
          <cell r="A103">
            <v>2016</v>
          </cell>
          <cell r="D103" t="str">
            <v>DIRECTION DE LA PRODUCTION ET DE LA PROGRAMMATION RADIO</v>
          </cell>
          <cell r="V103">
            <v>120000</v>
          </cell>
          <cell r="W103" t="str">
            <v>Fonctionnement</v>
          </cell>
        </row>
        <row r="104">
          <cell r="A104">
            <v>2016</v>
          </cell>
          <cell r="D104" t="str">
            <v>DIRECTION DE LA PRODUCTION ET DE LA PROGRAMMATION RADIO</v>
          </cell>
          <cell r="V104">
            <v>84000</v>
          </cell>
          <cell r="W104" t="str">
            <v>Fonctionnement</v>
          </cell>
        </row>
        <row r="105">
          <cell r="A105">
            <v>2016</v>
          </cell>
          <cell r="D105" t="str">
            <v>DIRECTION CENTRALE DE LA PRODUCTION ET DE L'ANTENNE</v>
          </cell>
          <cell r="V105">
            <v>120000</v>
          </cell>
          <cell r="W105" t="str">
            <v>Fonctionnement</v>
          </cell>
        </row>
        <row r="106">
          <cell r="A106">
            <v>2016</v>
          </cell>
          <cell r="D106" t="str">
            <v>DIRECTION CENTRALE DE LA CHAÎNE TAMAZIGHT</v>
          </cell>
          <cell r="V106">
            <v>71400</v>
          </cell>
          <cell r="W106" t="str">
            <v>Fonctionnement</v>
          </cell>
        </row>
        <row r="107">
          <cell r="A107">
            <v>2016</v>
          </cell>
          <cell r="D107" t="str">
            <v>DIRECTION CENTRALE DE LA CHAÎNE TAMAZIGHT</v>
          </cell>
          <cell r="V107">
            <v>96000</v>
          </cell>
          <cell r="W107" t="str">
            <v>Fonctionnement</v>
          </cell>
        </row>
        <row r="108">
          <cell r="A108">
            <v>2016</v>
          </cell>
          <cell r="D108" t="str">
            <v>DIRECTION CENTRALE DE LA CHAÎNE TAMAZIGHT</v>
          </cell>
          <cell r="V108">
            <v>71400</v>
          </cell>
          <cell r="W108" t="str">
            <v>Fonctionnement</v>
          </cell>
        </row>
        <row r="109">
          <cell r="A109">
            <v>2016</v>
          </cell>
          <cell r="D109" t="str">
            <v>DIRECTION DE LA PRODUCTION ET DE LA PROGRAMMATION RADIO</v>
          </cell>
          <cell r="V109">
            <v>180000</v>
          </cell>
          <cell r="W109" t="str">
            <v>Fonctionnement</v>
          </cell>
        </row>
        <row r="110">
          <cell r="A110">
            <v>2016</v>
          </cell>
          <cell r="D110" t="str">
            <v>DIRECTION CENTRALE DE LA CHAÎNE TAMAZIGHT</v>
          </cell>
          <cell r="V110">
            <v>85800</v>
          </cell>
          <cell r="W110" t="str">
            <v>Fonctionnement</v>
          </cell>
        </row>
        <row r="111">
          <cell r="A111">
            <v>2016</v>
          </cell>
          <cell r="D111" t="str">
            <v>DIRECTION CENTRALE DE LA CHAÎNE TAMAZIGHT</v>
          </cell>
          <cell r="V111">
            <v>109200</v>
          </cell>
          <cell r="W111" t="str">
            <v>Fonctionnement</v>
          </cell>
        </row>
        <row r="112">
          <cell r="A112">
            <v>2016</v>
          </cell>
          <cell r="D112" t="str">
            <v>DIRECTION CENTRALE DE LA CHAÎNE TAMAZIGHT</v>
          </cell>
          <cell r="V112">
            <v>96000</v>
          </cell>
          <cell r="W112" t="str">
            <v>Fonctionnement</v>
          </cell>
        </row>
        <row r="113">
          <cell r="A113">
            <v>2016</v>
          </cell>
          <cell r="D113" t="str">
            <v>DIRECTION CENTRALE DE LA CHAÎNE TAMAZIGHT</v>
          </cell>
          <cell r="V113">
            <v>109200</v>
          </cell>
          <cell r="W113" t="str">
            <v>Fonctionnement</v>
          </cell>
        </row>
        <row r="114">
          <cell r="A114">
            <v>2016</v>
          </cell>
          <cell r="D114" t="str">
            <v>DIRECTION CENTRALE DE LA CHAÎNE TAMAZIGHT</v>
          </cell>
          <cell r="V114">
            <v>144000</v>
          </cell>
          <cell r="W114" t="str">
            <v>Fonctionnement</v>
          </cell>
        </row>
        <row r="115">
          <cell r="A115">
            <v>2016</v>
          </cell>
          <cell r="D115" t="str">
            <v>DIRECTION CENTRALE DE LA CHAÎNE TAMAZIGHT</v>
          </cell>
          <cell r="V115">
            <v>96000</v>
          </cell>
          <cell r="W115" t="str">
            <v>Fonctionnement</v>
          </cell>
        </row>
        <row r="116">
          <cell r="A116">
            <v>2016</v>
          </cell>
          <cell r="D116" t="str">
            <v>DIRECTION CENTRALE DE LA CHAÎNE TAMAZIGHT</v>
          </cell>
          <cell r="V116">
            <v>124800</v>
          </cell>
          <cell r="W116" t="str">
            <v>Fonctionnement</v>
          </cell>
        </row>
        <row r="117">
          <cell r="A117">
            <v>2016</v>
          </cell>
          <cell r="D117" t="str">
            <v>DIRECTION CENTRALE DE LA CHAÎNE TAMAZIGHT</v>
          </cell>
          <cell r="V117">
            <v>72000</v>
          </cell>
          <cell r="W117" t="str">
            <v>Fonctionnement</v>
          </cell>
        </row>
        <row r="118">
          <cell r="A118">
            <v>2016</v>
          </cell>
          <cell r="D118" t="str">
            <v>DIRECTION CENTRALE DE LA CHAÎNE TAMAZIGHT</v>
          </cell>
          <cell r="V118">
            <v>109200</v>
          </cell>
          <cell r="W118" t="str">
            <v>Fonctionnement</v>
          </cell>
        </row>
        <row r="119">
          <cell r="A119">
            <v>2016</v>
          </cell>
          <cell r="D119" t="str">
            <v>DIRECTION CENTRALE DE LA CHAÎNE TAMAZIGHT</v>
          </cell>
          <cell r="V119">
            <v>78000</v>
          </cell>
          <cell r="W119" t="str">
            <v>Fonctionnement</v>
          </cell>
        </row>
        <row r="120">
          <cell r="A120">
            <v>2016</v>
          </cell>
          <cell r="D120" t="str">
            <v>DIRECTION CENTRALE DE LA CHAÎNE TAMAZIGHT</v>
          </cell>
          <cell r="V120">
            <v>72000</v>
          </cell>
          <cell r="W120" t="str">
            <v>Fonctionnement</v>
          </cell>
        </row>
        <row r="121">
          <cell r="A121">
            <v>2016</v>
          </cell>
          <cell r="D121" t="str">
            <v>DIRECTION CENTRALE DE LA CHAÎNE TAMAZIGHT</v>
          </cell>
          <cell r="V121">
            <v>78000</v>
          </cell>
          <cell r="W121" t="str">
            <v>Fonctionnement</v>
          </cell>
        </row>
        <row r="122">
          <cell r="A122">
            <v>2016</v>
          </cell>
          <cell r="D122" t="str">
            <v>DIRECTION CENTRALE DE LA CHAÎNE TAMAZIGHT</v>
          </cell>
          <cell r="V122">
            <v>72000</v>
          </cell>
          <cell r="W122" t="str">
            <v>Fonctionnement</v>
          </cell>
        </row>
        <row r="123">
          <cell r="A123">
            <v>2016</v>
          </cell>
          <cell r="D123" t="str">
            <v>DIRECTION CENTRALE DE LA CHAÎNE TAMAZIGHT</v>
          </cell>
          <cell r="V123">
            <v>109200</v>
          </cell>
          <cell r="W123" t="str">
            <v>Fonctionnement</v>
          </cell>
        </row>
        <row r="124">
          <cell r="A124">
            <v>2016</v>
          </cell>
          <cell r="D124" t="str">
            <v>DIRECTION CENTRALE DE LA CHAÎNE TAMAZIGHT</v>
          </cell>
          <cell r="V124">
            <v>84000</v>
          </cell>
          <cell r="W124" t="str">
            <v>Fonctionnement</v>
          </cell>
        </row>
        <row r="125">
          <cell r="A125">
            <v>2016</v>
          </cell>
          <cell r="D125" t="str">
            <v>DIRECTION CENTRALE DE LA CHAÎNE TAMAZIGHT</v>
          </cell>
          <cell r="V125">
            <v>62400</v>
          </cell>
          <cell r="W125" t="str">
            <v>Fonctionnement</v>
          </cell>
        </row>
        <row r="126">
          <cell r="A126">
            <v>2016</v>
          </cell>
          <cell r="D126" t="str">
            <v>DIRECTION DE LA PRODUCTION ET DE LA PROGRAMMATION RADIO</v>
          </cell>
          <cell r="V126">
            <v>100000</v>
          </cell>
          <cell r="W126" t="str">
            <v>Fonctionnement</v>
          </cell>
        </row>
        <row r="127">
          <cell r="A127">
            <v>2016</v>
          </cell>
          <cell r="D127" t="str">
            <v>DIRECTION DE LA PRODUCTION ET DE LA PROGRAMMATION RADIO</v>
          </cell>
          <cell r="V127">
            <v>120000</v>
          </cell>
          <cell r="W127" t="str">
            <v>Fonctionnement</v>
          </cell>
        </row>
        <row r="128">
          <cell r="A128">
            <v>2016</v>
          </cell>
          <cell r="D128" t="str">
            <v>DIRECTION DE LA PRODUCTION ET DE LA PROGRAMMATION RADIO</v>
          </cell>
          <cell r="V128">
            <v>96000</v>
          </cell>
          <cell r="W128" t="str">
            <v>Fonctionnement</v>
          </cell>
        </row>
        <row r="129">
          <cell r="A129">
            <v>2016</v>
          </cell>
          <cell r="D129" t="str">
            <v>DIRECTION CENTRALE DE LA PRODUCTION ET DE L'ANTENNE</v>
          </cell>
          <cell r="V129">
            <v>890736</v>
          </cell>
          <cell r="W129" t="str">
            <v>Fonctionnement</v>
          </cell>
        </row>
        <row r="130">
          <cell r="A130">
            <v>2016</v>
          </cell>
          <cell r="D130" t="str">
            <v>DIRECTION CENTRALE DE LA PRODUCTION ET DE L'ANTENNE</v>
          </cell>
          <cell r="V130">
            <v>748800</v>
          </cell>
          <cell r="W130" t="str">
            <v>Fonctionnement</v>
          </cell>
        </row>
        <row r="131">
          <cell r="A131">
            <v>2016</v>
          </cell>
          <cell r="D131" t="str">
            <v>DIRECTION DE L’INFORMATION TV</v>
          </cell>
          <cell r="V131">
            <v>1859000.0000000002</v>
          </cell>
          <cell r="W131" t="str">
            <v>Fonctionnement</v>
          </cell>
        </row>
        <row r="132">
          <cell r="A132">
            <v>2016</v>
          </cell>
          <cell r="D132" t="str">
            <v>DIRECTION CENTRALE DE LA CHAÎNE TAMAZIGHT</v>
          </cell>
          <cell r="V132">
            <v>41600</v>
          </cell>
          <cell r="W132" t="str">
            <v>Fonctionnement</v>
          </cell>
        </row>
        <row r="133">
          <cell r="A133">
            <v>2016</v>
          </cell>
          <cell r="D133" t="str">
            <v>DIRECTION DES CHAÎNES CORANIQUES TV RADIO</v>
          </cell>
          <cell r="V133">
            <v>60000</v>
          </cell>
          <cell r="W133" t="str">
            <v>Fonctionnement</v>
          </cell>
        </row>
        <row r="134">
          <cell r="A134">
            <v>2016</v>
          </cell>
          <cell r="D134" t="str">
            <v>DIRECTION DES CHAÎNES CORANIQUES TV RADIO</v>
          </cell>
          <cell r="V134">
            <v>60000</v>
          </cell>
          <cell r="W134" t="str">
            <v>Fonctionnement</v>
          </cell>
        </row>
        <row r="135">
          <cell r="A135">
            <v>2016</v>
          </cell>
          <cell r="D135" t="str">
            <v>DIRECTION DES CHAÎNES CORANIQUES TV RADIO</v>
          </cell>
          <cell r="V135">
            <v>60000</v>
          </cell>
          <cell r="W135" t="str">
            <v>Fonctionnement</v>
          </cell>
        </row>
        <row r="136">
          <cell r="A136">
            <v>2016</v>
          </cell>
          <cell r="D136" t="str">
            <v>DIRECTION DES CHAÎNES CORANIQUES TV RADIO</v>
          </cell>
          <cell r="V136">
            <v>180500</v>
          </cell>
          <cell r="W136" t="str">
            <v>Fonctionnement</v>
          </cell>
        </row>
        <row r="137">
          <cell r="A137">
            <v>2016</v>
          </cell>
          <cell r="D137" t="str">
            <v>DIRECTION DES CHAÎNES CORANIQUES TV RADIO</v>
          </cell>
          <cell r="V137">
            <v>121700</v>
          </cell>
          <cell r="W137" t="str">
            <v>Fonctionnement</v>
          </cell>
        </row>
        <row r="138">
          <cell r="A138">
            <v>2016</v>
          </cell>
          <cell r="D138" t="str">
            <v>DIRECTION DES CHAÎNES CORANIQUES TV RADIO</v>
          </cell>
          <cell r="V138">
            <v>60000</v>
          </cell>
          <cell r="W138" t="str">
            <v>Fonctionnement</v>
          </cell>
        </row>
        <row r="139">
          <cell r="A139">
            <v>2016</v>
          </cell>
          <cell r="D139" t="str">
            <v>DIRECTION DES CHAÎNES CORANIQUES TV RADIO</v>
          </cell>
          <cell r="V139">
            <v>76000</v>
          </cell>
          <cell r="W139" t="str">
            <v>Fonctionnement</v>
          </cell>
        </row>
        <row r="140">
          <cell r="A140">
            <v>2016</v>
          </cell>
          <cell r="D140" t="str">
            <v>DIRECTION DES CHAÎNES CORANIQUES TV RADIO</v>
          </cell>
          <cell r="V140">
            <v>150000</v>
          </cell>
          <cell r="W140" t="str">
            <v>Fonctionnement</v>
          </cell>
        </row>
        <row r="141">
          <cell r="A141">
            <v>2016</v>
          </cell>
          <cell r="D141" t="str">
            <v>DIRECTION DES CHAÎNES CORANIQUES TV RADIO</v>
          </cell>
          <cell r="V141">
            <v>85800</v>
          </cell>
          <cell r="W141" t="str">
            <v>Fonctionnement</v>
          </cell>
        </row>
        <row r="142">
          <cell r="A142">
            <v>2016</v>
          </cell>
          <cell r="D142" t="str">
            <v>DIRECTION DES CHAÎNES CORANIQUES TV RADIO</v>
          </cell>
          <cell r="V142">
            <v>96000</v>
          </cell>
          <cell r="W142" t="str">
            <v>Fonctionnement</v>
          </cell>
        </row>
        <row r="143">
          <cell r="A143">
            <v>2016</v>
          </cell>
          <cell r="D143" t="str">
            <v>DIRECTION DES CHAÎNES CORANIQUES TV RADIO</v>
          </cell>
          <cell r="V143">
            <v>36000</v>
          </cell>
          <cell r="W143" t="str">
            <v>Fonctionnement</v>
          </cell>
        </row>
        <row r="144">
          <cell r="A144">
            <v>2016</v>
          </cell>
          <cell r="D144" t="str">
            <v>DIRECTION DES CHAÎNES CORANIQUES TV RADIO</v>
          </cell>
          <cell r="V144">
            <v>85900</v>
          </cell>
          <cell r="W144" t="str">
            <v>Fonctionnement</v>
          </cell>
        </row>
        <row r="145">
          <cell r="A145">
            <v>2016</v>
          </cell>
          <cell r="D145" t="str">
            <v>DIRECTION DES CHAÎNES CORANIQUES TV RADIO</v>
          </cell>
          <cell r="V145">
            <v>60000</v>
          </cell>
          <cell r="W145" t="str">
            <v>Fonctionnement</v>
          </cell>
        </row>
        <row r="146">
          <cell r="A146">
            <v>2016</v>
          </cell>
          <cell r="D146" t="str">
            <v>DIRECTION DES CHAÎNES CORANIQUES TV RADIO</v>
          </cell>
          <cell r="V146">
            <v>60000</v>
          </cell>
          <cell r="W146" t="str">
            <v>Fonctionnement</v>
          </cell>
        </row>
        <row r="147">
          <cell r="A147">
            <v>2016</v>
          </cell>
          <cell r="D147" t="str">
            <v>DIRECTION DES CHAÎNES CORANIQUES TV RADIO</v>
          </cell>
          <cell r="V147">
            <v>240000</v>
          </cell>
          <cell r="W147" t="str">
            <v>Fonctionnement</v>
          </cell>
        </row>
        <row r="148">
          <cell r="A148">
            <v>2016</v>
          </cell>
          <cell r="D148" t="str">
            <v>DIRECTION DES CHAÎNES CORANIQUES TV RADIO</v>
          </cell>
          <cell r="V148">
            <v>312000</v>
          </cell>
          <cell r="W148" t="str">
            <v>Fonctionnement</v>
          </cell>
        </row>
        <row r="149">
          <cell r="A149">
            <v>2016</v>
          </cell>
          <cell r="D149" t="str">
            <v>DIRECTION DES CHAÎNES CORANIQUES TV RADIO</v>
          </cell>
          <cell r="V149">
            <v>36400</v>
          </cell>
          <cell r="W149" t="str">
            <v>Fonctionnement</v>
          </cell>
        </row>
        <row r="150">
          <cell r="A150">
            <v>2016</v>
          </cell>
          <cell r="D150" t="str">
            <v>DIRECTION DES CHAÎNES CORANIQUES TV RADIO</v>
          </cell>
          <cell r="V150">
            <v>71600</v>
          </cell>
          <cell r="W150" t="str">
            <v>Fonctionnement</v>
          </cell>
        </row>
        <row r="151">
          <cell r="A151">
            <v>2016</v>
          </cell>
          <cell r="D151" t="str">
            <v>DIRECTION DES CHAÎNES CORANIQUES TV RADIO</v>
          </cell>
          <cell r="V151">
            <v>36400</v>
          </cell>
          <cell r="W151" t="str">
            <v>Fonctionnement</v>
          </cell>
        </row>
        <row r="152">
          <cell r="A152">
            <v>2016</v>
          </cell>
          <cell r="D152" t="str">
            <v>DIRECTION DES CHAÎNES CORANIQUES TV RADIO</v>
          </cell>
          <cell r="V152">
            <v>255000</v>
          </cell>
          <cell r="W152" t="str">
            <v>Fonctionnement</v>
          </cell>
        </row>
        <row r="153">
          <cell r="A153">
            <v>2016</v>
          </cell>
          <cell r="D153" t="str">
            <v>DIRECTION DES CHAÎNES CORANIQUES TV RADIO</v>
          </cell>
          <cell r="V153">
            <v>121700</v>
          </cell>
          <cell r="W153" t="str">
            <v>Fonctionnement</v>
          </cell>
        </row>
        <row r="154">
          <cell r="A154">
            <v>2016</v>
          </cell>
          <cell r="D154" t="str">
            <v>DIRECTION DES CHAÎNES CORANIQUES TV RADIO</v>
          </cell>
          <cell r="V154">
            <v>60000</v>
          </cell>
          <cell r="W154" t="str">
            <v>Fonctionnement</v>
          </cell>
        </row>
        <row r="155">
          <cell r="A155">
            <v>2016</v>
          </cell>
          <cell r="D155" t="str">
            <v>DIRECTION DES CHAÎNES CORANIQUES TV RADIO</v>
          </cell>
          <cell r="V155">
            <v>60000</v>
          </cell>
          <cell r="W155" t="str">
            <v>Fonctionnement</v>
          </cell>
        </row>
        <row r="156">
          <cell r="A156">
            <v>2016</v>
          </cell>
          <cell r="D156" t="str">
            <v>DIRECTION DES CHAÎNES CORANIQUES TV RADIO</v>
          </cell>
          <cell r="V156">
            <v>290000</v>
          </cell>
          <cell r="W156" t="str">
            <v>Fonctionnement</v>
          </cell>
        </row>
        <row r="157">
          <cell r="A157">
            <v>2016</v>
          </cell>
          <cell r="D157" t="str">
            <v>DIRECTION DES CHAÎNES CORANIQUES TV RADIO</v>
          </cell>
          <cell r="V157">
            <v>220000</v>
          </cell>
          <cell r="W157" t="str">
            <v>Fonctionnement</v>
          </cell>
        </row>
        <row r="158">
          <cell r="A158">
            <v>2016</v>
          </cell>
          <cell r="D158" t="str">
            <v>DIRECTION CENTRALE DE LA PRODUCTION ET DE L'ANTENNE</v>
          </cell>
          <cell r="V158">
            <v>40000</v>
          </cell>
          <cell r="W158" t="str">
            <v>Fonctionnement</v>
          </cell>
        </row>
        <row r="159">
          <cell r="A159">
            <v>2016</v>
          </cell>
          <cell r="D159" t="str">
            <v>DIRECTION CENTRALE DE LA PRODUCTION ET DE L'ANTENNE</v>
          </cell>
          <cell r="V159">
            <v>105000</v>
          </cell>
          <cell r="W159" t="str">
            <v>Fonctionnement</v>
          </cell>
        </row>
        <row r="160">
          <cell r="A160">
            <v>2016</v>
          </cell>
          <cell r="D160" t="str">
            <v>DIRECTION CENTRALE DE LA PRODUCTION ET DE L'ANTENNE</v>
          </cell>
          <cell r="V160">
            <v>105000</v>
          </cell>
          <cell r="W160" t="str">
            <v>Fonctionnement</v>
          </cell>
        </row>
        <row r="161">
          <cell r="A161">
            <v>2016</v>
          </cell>
          <cell r="D161" t="str">
            <v>DIRECTION CENTRALE DE LA PRODUCTION ET DE L'ANTENNE</v>
          </cell>
          <cell r="V161">
            <v>45000</v>
          </cell>
          <cell r="W161" t="str">
            <v>Fonctionnement</v>
          </cell>
        </row>
        <row r="162">
          <cell r="A162">
            <v>2016</v>
          </cell>
          <cell r="D162" t="str">
            <v>DIRECTION DE LA PRODUCTION ET DE LA PROGRAMMATION RADIO</v>
          </cell>
          <cell r="V162">
            <v>120000</v>
          </cell>
          <cell r="W162" t="str">
            <v>Fonctionnement</v>
          </cell>
        </row>
        <row r="163">
          <cell r="A163">
            <v>2016</v>
          </cell>
          <cell r="D163" t="str">
            <v>DIRECTION DE L’INFORMATION TV</v>
          </cell>
          <cell r="V163">
            <v>214751.31</v>
          </cell>
          <cell r="W163" t="str">
            <v>Fonctionnement</v>
          </cell>
        </row>
        <row r="164">
          <cell r="A164">
            <v>2016</v>
          </cell>
          <cell r="D164" t="str">
            <v>DIRECTION DE L’INFORMATION TV</v>
          </cell>
          <cell r="V164">
            <v>210000</v>
          </cell>
          <cell r="W164" t="str">
            <v>Fonctionnement</v>
          </cell>
        </row>
        <row r="165">
          <cell r="A165">
            <v>2016</v>
          </cell>
          <cell r="D165" t="str">
            <v>DIRECTION CENTRALE DE LA CHAÎNE ARRYADIA</v>
          </cell>
          <cell r="V165">
            <v>77213.97</v>
          </cell>
          <cell r="W165" t="str">
            <v>Fonctionnement</v>
          </cell>
        </row>
        <row r="166">
          <cell r="A166">
            <v>2016</v>
          </cell>
          <cell r="D166" t="str">
            <v>DIRECTION CENTRALE DE LA CHAÎNE ARRYADIA</v>
          </cell>
          <cell r="V166">
            <v>97427.92</v>
          </cell>
          <cell r="W166" t="str">
            <v>Fonctionnement</v>
          </cell>
        </row>
        <row r="167">
          <cell r="A167">
            <v>2016</v>
          </cell>
          <cell r="D167" t="str">
            <v>DIRECTION CENTRALE DE LA CHAÎNE ARRYADIA</v>
          </cell>
          <cell r="V167">
            <v>97427.92</v>
          </cell>
          <cell r="W167" t="str">
            <v>Fonctionnement</v>
          </cell>
        </row>
        <row r="168">
          <cell r="A168">
            <v>2016</v>
          </cell>
          <cell r="D168" t="str">
            <v>DIRECTION CENTRALE DE LA CHAÎNE ARRYADIA</v>
          </cell>
          <cell r="V168">
            <v>97285.28</v>
          </cell>
          <cell r="W168" t="str">
            <v>Fonctionnement</v>
          </cell>
        </row>
        <row r="169">
          <cell r="A169">
            <v>2016</v>
          </cell>
          <cell r="D169" t="str">
            <v>DIRECTION CENTRALE DE LA CHAÎNE ARRYADIA</v>
          </cell>
          <cell r="V169">
            <v>97499.5</v>
          </cell>
          <cell r="W169" t="str">
            <v>Fonctionnement</v>
          </cell>
        </row>
        <row r="170">
          <cell r="A170">
            <v>2016</v>
          </cell>
          <cell r="D170" t="str">
            <v>DIRECTION CENTRALE DE LA CHAÎNE ARRYADIA</v>
          </cell>
          <cell r="V170">
            <v>102856.44</v>
          </cell>
          <cell r="W170" t="str">
            <v>Fonctionnement</v>
          </cell>
        </row>
        <row r="171">
          <cell r="A171">
            <v>2016</v>
          </cell>
          <cell r="D171" t="str">
            <v>DIRECTION CENTRALE DE LA CHAÎNE ARRYADIA</v>
          </cell>
          <cell r="V171">
            <v>77142.38</v>
          </cell>
          <cell r="W171" t="str">
            <v>Fonctionnement</v>
          </cell>
        </row>
        <row r="172">
          <cell r="A172">
            <v>2016</v>
          </cell>
          <cell r="D172" t="str">
            <v>DIRECTION CENTRALE DE LA CHAÎNE ARRYADIA</v>
          </cell>
          <cell r="V172">
            <v>67142.399999999994</v>
          </cell>
          <cell r="W172" t="str">
            <v>Fonctionnement</v>
          </cell>
        </row>
        <row r="173">
          <cell r="A173">
            <v>2016</v>
          </cell>
          <cell r="D173" t="str">
            <v>DIRECTION CENTRALE DE LA CHAÎNE ARRYADIA</v>
          </cell>
          <cell r="V173">
            <v>60000</v>
          </cell>
          <cell r="W173" t="str">
            <v>Fonctionnement</v>
          </cell>
        </row>
        <row r="174">
          <cell r="A174">
            <v>2016</v>
          </cell>
          <cell r="D174" t="str">
            <v>DIRECTION CENTRALE DE LA CHAÎNE ARRYADIA</v>
          </cell>
          <cell r="V174">
            <v>171360</v>
          </cell>
          <cell r="W174" t="str">
            <v>Fonctionnement</v>
          </cell>
        </row>
        <row r="175">
          <cell r="A175">
            <v>2016</v>
          </cell>
          <cell r="D175" t="str">
            <v>DIRECTION CENTRALE DE LA CHAÎNE ARRYADIA</v>
          </cell>
          <cell r="V175">
            <v>150000</v>
          </cell>
          <cell r="W175" t="str">
            <v>Fonctionnement</v>
          </cell>
        </row>
        <row r="176">
          <cell r="A176">
            <v>2016</v>
          </cell>
          <cell r="D176" t="str">
            <v>DIRECTION CENTRALE DE LA CHAÎNE ARRYADIA</v>
          </cell>
          <cell r="V176">
            <v>48571.38</v>
          </cell>
          <cell r="W176" t="str">
            <v>Fonctionnement</v>
          </cell>
        </row>
        <row r="177">
          <cell r="A177">
            <v>2016</v>
          </cell>
          <cell r="D177" t="str">
            <v>DIRECTION CENTRALE DE LA CHAÎNE ARRYADIA</v>
          </cell>
          <cell r="V177">
            <v>51000</v>
          </cell>
          <cell r="W177" t="str">
            <v>Fonctionnement</v>
          </cell>
        </row>
        <row r="178">
          <cell r="A178">
            <v>2016</v>
          </cell>
          <cell r="D178" t="str">
            <v>DIRECTION CENTRALE DE LA CHAÎNE ARRYADIA</v>
          </cell>
          <cell r="V178">
            <v>49000</v>
          </cell>
          <cell r="W178" t="str">
            <v>Fonctionnement</v>
          </cell>
        </row>
        <row r="179">
          <cell r="A179">
            <v>2016</v>
          </cell>
          <cell r="D179" t="str">
            <v>DIRECTION CENTRALE DE LA CHAÎNE ARRYADIA</v>
          </cell>
          <cell r="V179">
            <v>240000</v>
          </cell>
          <cell r="W179" t="str">
            <v>Fonctionnement</v>
          </cell>
        </row>
        <row r="180">
          <cell r="A180">
            <v>2016</v>
          </cell>
          <cell r="D180" t="str">
            <v>DIRECTION CENTRALE DE LA CHAÎNE ARRYADIA</v>
          </cell>
          <cell r="V180">
            <v>70000</v>
          </cell>
          <cell r="W180" t="str">
            <v>Fonctionnement</v>
          </cell>
        </row>
        <row r="181">
          <cell r="A181">
            <v>2016</v>
          </cell>
          <cell r="D181" t="str">
            <v>DIRECTION DE LA PRODUCTION ET DE LA PROGRAMMATION RADIO</v>
          </cell>
          <cell r="V181">
            <v>8000</v>
          </cell>
          <cell r="W181" t="str">
            <v>Fonctionnement</v>
          </cell>
        </row>
        <row r="182">
          <cell r="A182">
            <v>2016</v>
          </cell>
          <cell r="D182" t="str">
            <v>DIRECTION DE LA PRODUCTION ET DE LA PROGRAMMATION RADIO</v>
          </cell>
          <cell r="V182">
            <v>5000</v>
          </cell>
          <cell r="W182" t="str">
            <v>Fonctionnement</v>
          </cell>
        </row>
        <row r="183">
          <cell r="A183">
            <v>2016</v>
          </cell>
          <cell r="D183" t="str">
            <v>DIRECTION DE LA PRODUCTION ET DE LA PROGRAMMATION RADIO</v>
          </cell>
          <cell r="V183">
            <v>20000</v>
          </cell>
          <cell r="W183" t="str">
            <v>Fonctionnement</v>
          </cell>
        </row>
        <row r="184">
          <cell r="A184">
            <v>2016</v>
          </cell>
          <cell r="D184" t="str">
            <v>DIRECTION DE LA PRODUCTION ET DE LA PROGRAMMATION RADIO</v>
          </cell>
          <cell r="V184">
            <v>20000</v>
          </cell>
          <cell r="W184" t="str">
            <v>Fonctionnement</v>
          </cell>
        </row>
        <row r="185">
          <cell r="A185">
            <v>2016</v>
          </cell>
          <cell r="D185" t="str">
            <v>DIRECTION DE LA PRODUCTION ET DE LA PROGRAMMATION RADIO</v>
          </cell>
          <cell r="V185">
            <v>5000</v>
          </cell>
          <cell r="W185" t="str">
            <v>Fonctionnement</v>
          </cell>
        </row>
        <row r="186">
          <cell r="A186">
            <v>2016</v>
          </cell>
          <cell r="D186" t="str">
            <v>DIRECTION CENTRALE DE LA CHAÎNE TAMAZIGHT</v>
          </cell>
          <cell r="V186">
            <v>96000</v>
          </cell>
          <cell r="W186" t="str">
            <v>Fonctionnement</v>
          </cell>
        </row>
        <row r="187">
          <cell r="A187">
            <v>2016</v>
          </cell>
          <cell r="D187" t="str">
            <v>DIRECTION CENTRALE DE LA CHAÎNE TAMAZIGHT</v>
          </cell>
          <cell r="V187">
            <v>96000</v>
          </cell>
          <cell r="W187" t="str">
            <v>Fonctionnement</v>
          </cell>
        </row>
        <row r="188">
          <cell r="A188">
            <v>2016</v>
          </cell>
          <cell r="D188" t="str">
            <v>DIRECTION CENTRALE DE LA CHAÎNE TAMAZIGHT</v>
          </cell>
          <cell r="V188">
            <v>84000</v>
          </cell>
          <cell r="W188" t="str">
            <v>Fonctionnement</v>
          </cell>
        </row>
        <row r="189">
          <cell r="A189">
            <v>2016</v>
          </cell>
          <cell r="D189" t="str">
            <v>DIRECTION CENTRALE DE LA CHAÎNE TAMAZIGHT</v>
          </cell>
          <cell r="V189">
            <v>124800</v>
          </cell>
          <cell r="W189" t="str">
            <v>Fonctionnement</v>
          </cell>
        </row>
        <row r="190">
          <cell r="A190">
            <v>2016</v>
          </cell>
          <cell r="D190" t="str">
            <v>DIRECTION CENTRALE DE LA CHAÎNE TAMAZIGHT</v>
          </cell>
          <cell r="V190">
            <v>96000</v>
          </cell>
          <cell r="W190" t="str">
            <v>Fonctionnement</v>
          </cell>
        </row>
        <row r="191">
          <cell r="A191">
            <v>2016</v>
          </cell>
          <cell r="D191" t="str">
            <v>DIRECTION CENTRALE DE LA CHAÎNE TAMAZIGHT</v>
          </cell>
          <cell r="V191">
            <v>108000</v>
          </cell>
          <cell r="W191" t="str">
            <v>Fonctionnement</v>
          </cell>
        </row>
        <row r="192">
          <cell r="A192">
            <v>2016</v>
          </cell>
          <cell r="D192" t="str">
            <v>DIRECTION CENTRALE DE LA CHAÎNE TAMAZIGHT</v>
          </cell>
          <cell r="V192">
            <v>36000</v>
          </cell>
          <cell r="W192" t="str">
            <v>Fonctionnement</v>
          </cell>
        </row>
        <row r="193">
          <cell r="A193">
            <v>2016</v>
          </cell>
          <cell r="D193" t="str">
            <v>DIRECTION CENTRALE DE LA CHAÎNE TAMAZIGHT</v>
          </cell>
          <cell r="V193">
            <v>117000</v>
          </cell>
          <cell r="W193" t="str">
            <v>Fonctionnement</v>
          </cell>
        </row>
        <row r="194">
          <cell r="A194">
            <v>2016</v>
          </cell>
          <cell r="D194" t="str">
            <v>DIRECTION CENTRALE DE LA CHAÎNE TAMAZIGHT</v>
          </cell>
          <cell r="V194">
            <v>96000</v>
          </cell>
          <cell r="W194" t="str">
            <v>Fonctionnement</v>
          </cell>
        </row>
        <row r="195">
          <cell r="A195">
            <v>2016</v>
          </cell>
          <cell r="D195" t="str">
            <v>DIRECTION CENTRALE DE LA CHAÎNE ARRYADIA</v>
          </cell>
          <cell r="V195">
            <v>1201200</v>
          </cell>
          <cell r="W195" t="str">
            <v>Fonctionnement</v>
          </cell>
        </row>
        <row r="196">
          <cell r="A196">
            <v>2016</v>
          </cell>
          <cell r="D196" t="str">
            <v>DIRECTION DE L’INFORMATION TV</v>
          </cell>
          <cell r="V196">
            <v>214800</v>
          </cell>
          <cell r="W196" t="str">
            <v>Fonctionnement</v>
          </cell>
        </row>
        <row r="197">
          <cell r="A197">
            <v>2016</v>
          </cell>
          <cell r="D197" t="str">
            <v>DIRECTION DE L’INFORMATION TV</v>
          </cell>
          <cell r="V197">
            <v>96000</v>
          </cell>
          <cell r="W197" t="str">
            <v>Fonctionnement</v>
          </cell>
        </row>
        <row r="198">
          <cell r="A198">
            <v>2016</v>
          </cell>
          <cell r="D198" t="str">
            <v>DIRECTION CENTRALE DE LA CHAÎNE ARRYADIA</v>
          </cell>
          <cell r="V198">
            <v>97499.5</v>
          </cell>
          <cell r="W198" t="str">
            <v>Fonctionnement</v>
          </cell>
        </row>
        <row r="199">
          <cell r="A199">
            <v>2016</v>
          </cell>
          <cell r="D199" t="str">
            <v>DIRECTION CENTRALE DE LA CHAÎNE ARRYADIA</v>
          </cell>
          <cell r="V199">
            <v>97427.92</v>
          </cell>
          <cell r="W199" t="str">
            <v>Fonctionnement</v>
          </cell>
        </row>
        <row r="200">
          <cell r="A200">
            <v>2016</v>
          </cell>
          <cell r="D200" t="str">
            <v>DIRECTION CENTRALE DE LA CHAÎNE ARRYADIA</v>
          </cell>
          <cell r="V200">
            <v>97427.92</v>
          </cell>
          <cell r="W200" t="str">
            <v>Fonctionnement</v>
          </cell>
        </row>
        <row r="201">
          <cell r="A201">
            <v>2016</v>
          </cell>
          <cell r="D201" t="str">
            <v>DIRECTION CENTRALE DE LA CHAÎNE ARRYADIA</v>
          </cell>
          <cell r="V201">
            <v>107142.02</v>
          </cell>
          <cell r="W201" t="str">
            <v>Fonctionnement</v>
          </cell>
        </row>
        <row r="202">
          <cell r="A202">
            <v>2016</v>
          </cell>
          <cell r="D202" t="str">
            <v>DIRECTION CENTRALE DE LA CHAÎNE ARRYADIA</v>
          </cell>
          <cell r="V202">
            <v>85356.62</v>
          </cell>
          <cell r="W202" t="str">
            <v>Fonctionnement</v>
          </cell>
        </row>
        <row r="203">
          <cell r="A203">
            <v>2016</v>
          </cell>
          <cell r="D203" t="str">
            <v>DIRECTION CENTRALE DE LA CHAÎNE ARRYADIA</v>
          </cell>
          <cell r="V203">
            <v>85356.62</v>
          </cell>
          <cell r="W203" t="str">
            <v>Fonctionnement</v>
          </cell>
        </row>
        <row r="204">
          <cell r="A204">
            <v>2016</v>
          </cell>
          <cell r="D204" t="str">
            <v>DIRECTION CENTRALE DE LA CHAÎNE ARRYADIA</v>
          </cell>
          <cell r="V204">
            <v>67285.179999999993</v>
          </cell>
          <cell r="W204" t="str">
            <v>Fonctionnement</v>
          </cell>
        </row>
        <row r="205">
          <cell r="A205">
            <v>2016</v>
          </cell>
          <cell r="D205" t="str">
            <v>DIRECTION CENTRALE DE LA CHAÎNE ARRYADIA</v>
          </cell>
          <cell r="V205">
            <v>97285.08</v>
          </cell>
          <cell r="W205" t="str">
            <v>Fonctionnement</v>
          </cell>
        </row>
        <row r="206">
          <cell r="A206">
            <v>2016</v>
          </cell>
          <cell r="D206" t="str">
            <v>DIRECTION CENTRALE DE LA CHAÎNE ARRYADIA</v>
          </cell>
          <cell r="V206">
            <v>76928.08</v>
          </cell>
          <cell r="W206" t="str">
            <v>Fonctionnement</v>
          </cell>
        </row>
        <row r="207">
          <cell r="A207">
            <v>2016</v>
          </cell>
          <cell r="D207" t="str">
            <v>DIRECTION CENTRALE DE LA CHAÎNE ARRYADIA</v>
          </cell>
          <cell r="V207">
            <v>65142.38</v>
          </cell>
          <cell r="W207" t="str">
            <v>Fonctionnement</v>
          </cell>
        </row>
        <row r="208">
          <cell r="A208">
            <v>2016</v>
          </cell>
          <cell r="D208" t="str">
            <v>DIRECTION CENTRALE DE LA CHAÎNE ARRYADIA</v>
          </cell>
          <cell r="V208">
            <v>67285.179999999993</v>
          </cell>
          <cell r="W208" t="str">
            <v>Fonctionnement</v>
          </cell>
        </row>
        <row r="209">
          <cell r="A209">
            <v>2016</v>
          </cell>
          <cell r="D209" t="str">
            <v>DIRECTION CENTRALE DE LA CHAÎNE ARRYADIA</v>
          </cell>
          <cell r="V209">
            <v>67356.639999999999</v>
          </cell>
          <cell r="W209" t="str">
            <v>Fonctionnement</v>
          </cell>
        </row>
        <row r="210">
          <cell r="A210">
            <v>2016</v>
          </cell>
          <cell r="D210" t="str">
            <v>DIRECTION CENTRALE DE LA CHAÎNE ARRYADIA</v>
          </cell>
          <cell r="V210">
            <v>97427.92</v>
          </cell>
          <cell r="W210" t="str">
            <v>Fonctionnement</v>
          </cell>
        </row>
        <row r="211">
          <cell r="A211">
            <v>2016</v>
          </cell>
          <cell r="D211" t="str">
            <v>DIRECTION CENTRALE DE LA CHAÎNE ARRYADIA</v>
          </cell>
          <cell r="V211">
            <v>67142.399999999994</v>
          </cell>
          <cell r="W211" t="str">
            <v>Fonctionnement</v>
          </cell>
        </row>
        <row r="212">
          <cell r="A212">
            <v>2016</v>
          </cell>
          <cell r="D212" t="str">
            <v>DIRECTION CENTRALE DE LA CHAÎNE ARRYADIA</v>
          </cell>
          <cell r="V212">
            <v>97427.92</v>
          </cell>
          <cell r="W212" t="str">
            <v>Fonctionnement</v>
          </cell>
        </row>
        <row r="213">
          <cell r="A213">
            <v>2016</v>
          </cell>
          <cell r="D213" t="str">
            <v>DIRECTION CENTRALE DE LA CHAÎNE ARRYADIA</v>
          </cell>
          <cell r="V213">
            <v>97142.14</v>
          </cell>
          <cell r="W213" t="str">
            <v>Fonctionnement</v>
          </cell>
        </row>
        <row r="214">
          <cell r="A214">
            <v>2016</v>
          </cell>
          <cell r="D214" t="str">
            <v>DIRECTION CENTRALE DE LA CHAÎNE ARRYADIA</v>
          </cell>
          <cell r="V214">
            <v>97356.76</v>
          </cell>
          <cell r="W214" t="str">
            <v>Fonctionnement</v>
          </cell>
        </row>
        <row r="215">
          <cell r="A215">
            <v>2016</v>
          </cell>
          <cell r="D215" t="str">
            <v>DIRECTION CENTRALE DE LA CHAÎNE ARRYADIA</v>
          </cell>
          <cell r="V215">
            <v>97356.76</v>
          </cell>
          <cell r="W215" t="str">
            <v>Fonctionnement</v>
          </cell>
        </row>
        <row r="216">
          <cell r="A216">
            <v>2016</v>
          </cell>
          <cell r="D216" t="str">
            <v>DIRECTION CENTRALE DE LA CHAÎNE ARRYADIA</v>
          </cell>
          <cell r="V216">
            <v>97142.3</v>
          </cell>
          <cell r="W216" t="str">
            <v>Fonctionnement</v>
          </cell>
        </row>
        <row r="217">
          <cell r="A217">
            <v>2016</v>
          </cell>
          <cell r="D217" t="str">
            <v>DIRECTION CENTRALE DE LA PRODUCTION ET DE L'ANTENNE</v>
          </cell>
          <cell r="V217">
            <v>200000</v>
          </cell>
          <cell r="W217" t="str">
            <v>Fonctionnement</v>
          </cell>
        </row>
        <row r="218">
          <cell r="A218">
            <v>2016</v>
          </cell>
          <cell r="D218" t="str">
            <v>DIRECTION DE LA PRODUCTION ET DE LA PROGRAMMATION RADIO</v>
          </cell>
          <cell r="V218">
            <v>10714.28</v>
          </cell>
          <cell r="W218" t="str">
            <v>Fonctionnement</v>
          </cell>
        </row>
        <row r="219">
          <cell r="A219">
            <v>2016</v>
          </cell>
          <cell r="D219" t="str">
            <v>DIRECTION DE LA PRODUCTION ET DE LA PROGRAMMATION RADIO</v>
          </cell>
          <cell r="V219">
            <v>3571.42</v>
          </cell>
          <cell r="W219" t="str">
            <v>Fonctionnement</v>
          </cell>
        </row>
        <row r="220">
          <cell r="A220">
            <v>2016</v>
          </cell>
          <cell r="D220" t="str">
            <v>DIRECTION DE LA PRODUCTION ET DE LA PROGRAMMATION RADIO</v>
          </cell>
          <cell r="V220">
            <v>28571.42</v>
          </cell>
          <cell r="W220" t="str">
            <v>Fonctionnement</v>
          </cell>
        </row>
        <row r="221">
          <cell r="A221">
            <v>2016</v>
          </cell>
          <cell r="D221" t="str">
            <v>DIRECTION DE LA PRODUCTION ET DE LA PROGRAMMATION RADIO</v>
          </cell>
          <cell r="V221">
            <v>21428.57</v>
          </cell>
          <cell r="W221" t="str">
            <v>Fonctionnement</v>
          </cell>
        </row>
        <row r="222">
          <cell r="A222">
            <v>2016</v>
          </cell>
          <cell r="D222" t="str">
            <v>DIRECTION DE LA PRODUCTION ET DE LA PROGRAMMATION RADIO</v>
          </cell>
          <cell r="V222">
            <v>14285.71</v>
          </cell>
          <cell r="W222" t="str">
            <v>Fonctionnement</v>
          </cell>
        </row>
        <row r="223">
          <cell r="A223">
            <v>2016</v>
          </cell>
          <cell r="D223" t="str">
            <v>DIRECTION DE LA PRODUCTION ET DE LA PROGRAMMATION RADIO</v>
          </cell>
          <cell r="V223">
            <v>14285.71</v>
          </cell>
          <cell r="W223" t="str">
            <v>Fonctionnement</v>
          </cell>
        </row>
        <row r="224">
          <cell r="A224">
            <v>2016</v>
          </cell>
          <cell r="D224" t="str">
            <v>DIRECTION CENTRALE DE LA PRODUCTION ET DE L'ANTENNE</v>
          </cell>
          <cell r="V224">
            <v>300000</v>
          </cell>
          <cell r="W224" t="str">
            <v>Fonctionnement</v>
          </cell>
        </row>
        <row r="225">
          <cell r="A225">
            <v>2016</v>
          </cell>
          <cell r="D225" t="str">
            <v>DIRECTION CENTRALE DE LA CHAÎNE TAMAZIGHT</v>
          </cell>
          <cell r="V225">
            <v>84000</v>
          </cell>
          <cell r="W225" t="str">
            <v>Fonctionnement</v>
          </cell>
        </row>
        <row r="226">
          <cell r="A226">
            <v>2016</v>
          </cell>
          <cell r="D226" t="str">
            <v>DIRECTION CENTRALE DE LA CHAÎNE TAMAZIGHT</v>
          </cell>
          <cell r="V226">
            <v>84000</v>
          </cell>
          <cell r="W226" t="str">
            <v>Fonctionnement</v>
          </cell>
        </row>
        <row r="227">
          <cell r="A227">
            <v>2016</v>
          </cell>
          <cell r="D227" t="str">
            <v>DIRECTION CENTRALE DE LA CHAÎNE ARRYADIA</v>
          </cell>
          <cell r="V227">
            <v>150000</v>
          </cell>
          <cell r="W227" t="str">
            <v>Fonctionnement</v>
          </cell>
        </row>
        <row r="228">
          <cell r="A228">
            <v>2016</v>
          </cell>
          <cell r="D228" t="str">
            <v>DIRECTION CENTRALE DE LA CHAÎNE ARRYADIA</v>
          </cell>
          <cell r="V228">
            <v>66000</v>
          </cell>
          <cell r="W228" t="str">
            <v>Fonctionnement</v>
          </cell>
        </row>
        <row r="229">
          <cell r="A229">
            <v>2016</v>
          </cell>
          <cell r="D229" t="str">
            <v>DIRECTION CENTRALE DE LA CHAÎNE ARRYADIA</v>
          </cell>
          <cell r="V229">
            <v>150000</v>
          </cell>
          <cell r="W229" t="str">
            <v>Fonctionnement</v>
          </cell>
        </row>
        <row r="230">
          <cell r="A230">
            <v>2016</v>
          </cell>
          <cell r="D230" t="str">
            <v>DIRECTION CENTRALE DE LA CHAÎNE ARRYADIA</v>
          </cell>
          <cell r="V230">
            <v>97285.08</v>
          </cell>
          <cell r="W230" t="str">
            <v>Fonctionnement</v>
          </cell>
        </row>
        <row r="231">
          <cell r="A231">
            <v>2016</v>
          </cell>
          <cell r="D231" t="str">
            <v>DIRECTION DES RESSOURCES HUMAINES</v>
          </cell>
          <cell r="V231">
            <v>496449.36</v>
          </cell>
          <cell r="W231" t="str">
            <v>Fonctionnement</v>
          </cell>
        </row>
        <row r="232">
          <cell r="A232">
            <v>2016</v>
          </cell>
          <cell r="D232" t="str">
            <v>DIRECTION DE LA PRODUCTION ET DE LA PROGRAMMATION RADIO</v>
          </cell>
          <cell r="V232">
            <v>28571.42</v>
          </cell>
          <cell r="W232" t="str">
            <v>Fonctionnement</v>
          </cell>
        </row>
        <row r="233">
          <cell r="A233">
            <v>2016</v>
          </cell>
          <cell r="D233" t="str">
            <v>DIRECTION DE LA PRODUCTION ET DE LA PROGRAMMATION RADIO</v>
          </cell>
          <cell r="V233">
            <v>28571.42</v>
          </cell>
          <cell r="W233" t="str">
            <v>Fonctionnement</v>
          </cell>
        </row>
        <row r="234">
          <cell r="A234">
            <v>2016</v>
          </cell>
          <cell r="D234" t="str">
            <v>DIRECTION CENTRALE DE LA CHAÎNE ARRYADIA</v>
          </cell>
          <cell r="V234">
            <v>97427.92</v>
          </cell>
          <cell r="W234" t="str">
            <v>Fonctionnement</v>
          </cell>
        </row>
        <row r="235">
          <cell r="A235">
            <v>2016</v>
          </cell>
          <cell r="D235" t="str">
            <v>DIRECTION CENTRALE DE LA CHAÎNE ARRYADIA</v>
          </cell>
          <cell r="V235">
            <v>156000</v>
          </cell>
          <cell r="W235" t="str">
            <v>Fonctionnement</v>
          </cell>
        </row>
        <row r="236">
          <cell r="A236">
            <v>2016</v>
          </cell>
          <cell r="D236" t="str">
            <v>DIRECTION CENTRALE DE LA CHAÎNE ARRYADIA</v>
          </cell>
          <cell r="V236">
            <v>67356.639999999999</v>
          </cell>
          <cell r="W236" t="str">
            <v>Fonctionnement</v>
          </cell>
        </row>
        <row r="237">
          <cell r="A237">
            <v>2016</v>
          </cell>
          <cell r="D237" t="str">
            <v>DIRECTION CENTRALE DE LA CHAÎNE ARRYADIA</v>
          </cell>
          <cell r="V237">
            <v>135000</v>
          </cell>
          <cell r="W237" t="str">
            <v>Fonctionnement</v>
          </cell>
        </row>
        <row r="238">
          <cell r="A238">
            <v>2016</v>
          </cell>
          <cell r="D238" t="str">
            <v>DIRECTION CENTRALE DE LA CHAÎNE ARRYADIA</v>
          </cell>
          <cell r="V238">
            <v>97142.3</v>
          </cell>
          <cell r="W238" t="str">
            <v>Fonctionnement</v>
          </cell>
        </row>
        <row r="239">
          <cell r="A239">
            <v>2016</v>
          </cell>
          <cell r="D239" t="str">
            <v>DIRECTION DE LA PRODUCTION ET DE LA PROGRAMMATION RADIO</v>
          </cell>
          <cell r="V239">
            <v>171428.52</v>
          </cell>
          <cell r="W239" t="str">
            <v>Fonctionnement</v>
          </cell>
        </row>
        <row r="240">
          <cell r="A240">
            <v>2016</v>
          </cell>
          <cell r="D240" t="str">
            <v>DIRECTION CENTRALE DE LA CHAÎNE ARRYADIA</v>
          </cell>
          <cell r="V240">
            <v>150000</v>
          </cell>
          <cell r="W240" t="str">
            <v>Fonctionnement</v>
          </cell>
        </row>
        <row r="241">
          <cell r="A241">
            <v>2016</v>
          </cell>
          <cell r="D241" t="str">
            <v>DIRECTION CENTRALE DE LA CHAÎNE ARRYADIA</v>
          </cell>
          <cell r="V241">
            <v>85356.62</v>
          </cell>
          <cell r="W241" t="str">
            <v>Fonctionnement</v>
          </cell>
        </row>
        <row r="242">
          <cell r="A242">
            <v>2016</v>
          </cell>
          <cell r="D242" t="str">
            <v>DIRECTION CENTRALE DE LA CHAÎNE ARRYADIA</v>
          </cell>
          <cell r="V242">
            <v>67285.179999999993</v>
          </cell>
          <cell r="W242" t="str">
            <v>Fonctionnement</v>
          </cell>
        </row>
        <row r="243">
          <cell r="A243">
            <v>2016</v>
          </cell>
          <cell r="D243" t="str">
            <v>DIRECTION CENTRALE DE LA PRODUCTION ET DE L'ANTENNE</v>
          </cell>
          <cell r="V243">
            <v>200000</v>
          </cell>
          <cell r="W243" t="str">
            <v>Fonctionnement</v>
          </cell>
        </row>
        <row r="244">
          <cell r="A244">
            <v>2016</v>
          </cell>
          <cell r="D244" t="str">
            <v>DIRECTION DE LA PRODUCTION ET DE LA PROGRAMMATION RADIO</v>
          </cell>
          <cell r="V244">
            <v>8000</v>
          </cell>
          <cell r="W244" t="str">
            <v>Fonctionnement</v>
          </cell>
        </row>
        <row r="245">
          <cell r="A245">
            <v>2016</v>
          </cell>
          <cell r="D245" t="str">
            <v>DIRECTION DE LA PRODUCTION ET DE LA PROGRAMMATION RADIO</v>
          </cell>
          <cell r="V245">
            <v>4285.71</v>
          </cell>
          <cell r="W245" t="str">
            <v>Fonctionnement</v>
          </cell>
        </row>
        <row r="246">
          <cell r="A246">
            <v>2016</v>
          </cell>
          <cell r="D246" t="str">
            <v>DIRECTION DE LA PRODUCTION ET DE LA PROGRAMMATION RADIO</v>
          </cell>
          <cell r="V246">
            <v>3571.48</v>
          </cell>
          <cell r="W246" t="str">
            <v>Fonctionnement</v>
          </cell>
        </row>
        <row r="247">
          <cell r="A247">
            <v>2016</v>
          </cell>
          <cell r="D247" t="str">
            <v>DIRECTION DE LA PRODUCTION ET DE LA PROGRAMMATION RADIO</v>
          </cell>
          <cell r="V247">
            <v>28571.42</v>
          </cell>
          <cell r="W247" t="str">
            <v>Fonctionnement</v>
          </cell>
        </row>
        <row r="248">
          <cell r="A248">
            <v>2016</v>
          </cell>
          <cell r="D248" t="str">
            <v>DIRECTION CENTRALE DE LA PRODUCTION ET DE L'ANTENNE</v>
          </cell>
          <cell r="V248">
            <v>9840000</v>
          </cell>
          <cell r="W248" t="str">
            <v>Fonctionnement</v>
          </cell>
        </row>
        <row r="249">
          <cell r="A249">
            <v>2016</v>
          </cell>
          <cell r="D249" t="str">
            <v>DIRECTION CENTRALE DE LA PRODUCTION ET DE L'ANTENNE</v>
          </cell>
          <cell r="V249">
            <v>80000</v>
          </cell>
          <cell r="W249" t="str">
            <v>Fonctionnement</v>
          </cell>
        </row>
        <row r="250">
          <cell r="A250">
            <v>2016</v>
          </cell>
          <cell r="D250" t="str">
            <v>DIRECTION CENTRALE DE LA PRODUCTION ET DE L'ANTENNE</v>
          </cell>
          <cell r="V250">
            <v>190650</v>
          </cell>
          <cell r="W250" t="str">
            <v>Fonctionnement</v>
          </cell>
        </row>
        <row r="251">
          <cell r="A251">
            <v>2016</v>
          </cell>
          <cell r="D251" t="str">
            <v>DIRECTION CENTRALE DE LA PRODUCTION ET DE L'ANTENNE</v>
          </cell>
          <cell r="V251">
            <v>164650</v>
          </cell>
          <cell r="W251" t="str">
            <v>Fonctionnement</v>
          </cell>
        </row>
        <row r="252">
          <cell r="A252">
            <v>2016</v>
          </cell>
          <cell r="D252" t="str">
            <v>DIRECTION CENTRALE DE LA PRODUCTION ET DE L'ANTENNE</v>
          </cell>
          <cell r="V252">
            <v>137650</v>
          </cell>
          <cell r="W252" t="str">
            <v>Fonctionnement</v>
          </cell>
        </row>
        <row r="253">
          <cell r="A253">
            <v>2016</v>
          </cell>
          <cell r="D253" t="str">
            <v>DIRECTION CENTRALE DE LA CHAÎNE TAMAZIGHT</v>
          </cell>
          <cell r="V253">
            <v>71400</v>
          </cell>
          <cell r="W253" t="str">
            <v>Fonctionnement</v>
          </cell>
        </row>
        <row r="254">
          <cell r="A254">
            <v>2016</v>
          </cell>
          <cell r="D254" t="str">
            <v>DIRECTION CENTRALE DE LA CHAÎNE TAMAZIGHT</v>
          </cell>
          <cell r="V254">
            <v>41600</v>
          </cell>
          <cell r="W254" t="str">
            <v>Fonctionnement</v>
          </cell>
        </row>
        <row r="255">
          <cell r="A255">
            <v>2016</v>
          </cell>
          <cell r="D255" t="str">
            <v>DIRECTION CENTRALE DE LA PRODUCTION ET DE L'ANTENNE</v>
          </cell>
          <cell r="V255">
            <v>80000</v>
          </cell>
          <cell r="W255" t="str">
            <v>Fonctionnement</v>
          </cell>
        </row>
        <row r="256">
          <cell r="A256">
            <v>2016</v>
          </cell>
          <cell r="D256" t="str">
            <v>DIRECTION CENTRALE DE LA PRODUCTION ET DE L'ANTENNE</v>
          </cell>
          <cell r="V256">
            <v>132150</v>
          </cell>
          <cell r="W256" t="str">
            <v>Fonctionnement</v>
          </cell>
        </row>
        <row r="257">
          <cell r="A257">
            <v>2016</v>
          </cell>
          <cell r="D257" t="str">
            <v>DIRECTION CENTRALE DE LA PRODUCTION ET DE L'ANTENNE</v>
          </cell>
          <cell r="V257">
            <v>103650</v>
          </cell>
          <cell r="W257" t="str">
            <v>Fonctionnement</v>
          </cell>
        </row>
        <row r="258">
          <cell r="A258">
            <v>2016</v>
          </cell>
          <cell r="D258" t="str">
            <v>DIRECTION CENTRALE DE LA PRODUCTION ET DE L'ANTENNE</v>
          </cell>
          <cell r="V258">
            <v>21428.58</v>
          </cell>
          <cell r="W258" t="str">
            <v>Fonctionnement</v>
          </cell>
        </row>
        <row r="259">
          <cell r="A259">
            <v>2016</v>
          </cell>
          <cell r="D259" t="str">
            <v>DIRECTION DES CHAÎNES CORANIQUES TV RADIO</v>
          </cell>
          <cell r="V259">
            <v>51600</v>
          </cell>
          <cell r="W259" t="str">
            <v>Fonctionnement</v>
          </cell>
        </row>
        <row r="260">
          <cell r="A260">
            <v>2016</v>
          </cell>
          <cell r="D260" t="str">
            <v>DIRECTION DES CHAÎNES CORANIQUES TV RADIO</v>
          </cell>
          <cell r="V260">
            <v>76950</v>
          </cell>
          <cell r="W260" t="str">
            <v>Fonctionnement</v>
          </cell>
        </row>
        <row r="261">
          <cell r="A261">
            <v>2016</v>
          </cell>
          <cell r="D261" t="str">
            <v>DIRECTION DES CHAÎNES CORANIQUES TV RADIO</v>
          </cell>
          <cell r="V261">
            <v>140500</v>
          </cell>
          <cell r="W261" t="str">
            <v>Fonctionnement</v>
          </cell>
        </row>
        <row r="262">
          <cell r="A262">
            <v>2016</v>
          </cell>
          <cell r="D262" t="str">
            <v>DIRECTION DES CHAÎNES CORANIQUES TV RADIO</v>
          </cell>
          <cell r="V262">
            <v>285000</v>
          </cell>
          <cell r="W262" t="str">
            <v>Fonctionnement</v>
          </cell>
        </row>
        <row r="263">
          <cell r="A263">
            <v>2016</v>
          </cell>
          <cell r="D263" t="str">
            <v>DIRECTION DES CHAÎNES CORANIQUES TV RADIO</v>
          </cell>
          <cell r="V263">
            <v>192000</v>
          </cell>
          <cell r="W263" t="str">
            <v>Fonctionnement</v>
          </cell>
        </row>
        <row r="264">
          <cell r="A264">
            <v>2016</v>
          </cell>
          <cell r="D264" t="str">
            <v>DIRECTION DES CHAÎNES CORANIQUES TV RADIO</v>
          </cell>
          <cell r="V264">
            <v>225000</v>
          </cell>
          <cell r="W264" t="str">
            <v>Fonctionnement</v>
          </cell>
        </row>
        <row r="265">
          <cell r="A265">
            <v>2016</v>
          </cell>
          <cell r="D265" t="str">
            <v>DIRECTION DE LA PRODUCTION ET DE LA PROGRAMMATION RADIO</v>
          </cell>
          <cell r="V265">
            <v>28571.42</v>
          </cell>
          <cell r="W265" t="str">
            <v>Fonctionnement</v>
          </cell>
        </row>
        <row r="266">
          <cell r="A266">
            <v>2016</v>
          </cell>
          <cell r="D266" t="str">
            <v>DIRECTION DE LA PRODUCTION ET DE LA PROGRAMMATION RADIO</v>
          </cell>
          <cell r="V266">
            <v>28571.42</v>
          </cell>
          <cell r="W266" t="str">
            <v>Fonctionnement</v>
          </cell>
        </row>
        <row r="267">
          <cell r="A267">
            <v>2016</v>
          </cell>
          <cell r="D267" t="str">
            <v>DIRECTION DE LA PRODUCTION ET DE LA PROGRAMMATION RADIO</v>
          </cell>
          <cell r="V267">
            <v>14285.71</v>
          </cell>
          <cell r="W267" t="str">
            <v>Fonctionnement</v>
          </cell>
        </row>
        <row r="268">
          <cell r="A268">
            <v>2016</v>
          </cell>
          <cell r="D268" t="str">
            <v>DIRECTION DE LA PRODUCTION ET DE LA PROGRAMMATION RADIO</v>
          </cell>
          <cell r="V268">
            <v>14285.71</v>
          </cell>
          <cell r="W268" t="str">
            <v>Fonctionnement</v>
          </cell>
        </row>
        <row r="269">
          <cell r="A269">
            <v>2016</v>
          </cell>
          <cell r="D269" t="str">
            <v>DIRECTION DE LA PRODUCTION ET DE LA PROGRAMMATION RADIO</v>
          </cell>
          <cell r="V269">
            <v>28571.42</v>
          </cell>
          <cell r="W269" t="str">
            <v>Fonctionnement</v>
          </cell>
        </row>
        <row r="270">
          <cell r="A270">
            <v>2016</v>
          </cell>
          <cell r="D270" t="str">
            <v>DIRECTION DE LA PRODUCTION ET DE LA PROGRAMMATION RADIO</v>
          </cell>
          <cell r="V270">
            <v>7142.85</v>
          </cell>
          <cell r="W270" t="str">
            <v>Fonctionnement</v>
          </cell>
        </row>
        <row r="271">
          <cell r="A271">
            <v>2016</v>
          </cell>
          <cell r="D271" t="str">
            <v>DIRECTION DE LA PRODUCTION ET DE LA PROGRAMMATION RADIO</v>
          </cell>
          <cell r="V271">
            <v>28571.42</v>
          </cell>
          <cell r="W271" t="str">
            <v>Fonctionnement</v>
          </cell>
        </row>
        <row r="272">
          <cell r="A272">
            <v>2016</v>
          </cell>
          <cell r="D272" t="str">
            <v>DIRECTION DE LA PRODUCTION ET DE LA PROGRAMMATION RADIO</v>
          </cell>
          <cell r="V272">
            <v>2857.14</v>
          </cell>
          <cell r="W272" t="str">
            <v>Fonctionnement</v>
          </cell>
        </row>
        <row r="273">
          <cell r="A273">
            <v>2016</v>
          </cell>
          <cell r="D273" t="str">
            <v>DIRECTION DE LA PRODUCTION ET DE LA PROGRAMMATION RADIO</v>
          </cell>
          <cell r="V273">
            <v>14285.71</v>
          </cell>
          <cell r="W273" t="str">
            <v>Fonctionnement</v>
          </cell>
        </row>
        <row r="274">
          <cell r="A274">
            <v>2016</v>
          </cell>
          <cell r="D274" t="str">
            <v>DIRECTION DE LA PRODUCTION ET DE LA PROGRAMMATION RADIO</v>
          </cell>
          <cell r="V274">
            <v>14285.71</v>
          </cell>
          <cell r="W274" t="str">
            <v>Fonctionnement</v>
          </cell>
        </row>
        <row r="275">
          <cell r="A275">
            <v>2016</v>
          </cell>
          <cell r="D275" t="str">
            <v>DIRECTION DE LA PRODUCTION ET DE LA PROGRAMMATION RADIO</v>
          </cell>
          <cell r="V275">
            <v>3571.42</v>
          </cell>
          <cell r="W275" t="str">
            <v>Fonctionnement</v>
          </cell>
        </row>
        <row r="276">
          <cell r="A276">
            <v>2016</v>
          </cell>
          <cell r="D276" t="str">
            <v>DIRECTION DE LA PRODUCTION ET DE LA PROGRAMMATION RADIO</v>
          </cell>
          <cell r="V276">
            <v>3571.42</v>
          </cell>
          <cell r="W276" t="str">
            <v>Fonctionnement</v>
          </cell>
        </row>
        <row r="277">
          <cell r="A277">
            <v>2016</v>
          </cell>
          <cell r="D277" t="str">
            <v>DIRECTION DE LA PRODUCTION ET DE LA PROGRAMMATION RADIO</v>
          </cell>
          <cell r="V277">
            <v>28571.42</v>
          </cell>
          <cell r="W277" t="str">
            <v>Fonctionnement</v>
          </cell>
        </row>
        <row r="278">
          <cell r="A278">
            <v>2016</v>
          </cell>
          <cell r="D278" t="str">
            <v>DIRECTION DE LA PRODUCTION ET DE LA PROGRAMMATION RADIO</v>
          </cell>
          <cell r="V278">
            <v>3571.42</v>
          </cell>
          <cell r="W278" t="str">
            <v>Fonctionnement</v>
          </cell>
        </row>
        <row r="279">
          <cell r="A279">
            <v>2016</v>
          </cell>
          <cell r="D279" t="str">
            <v>DIRECTION CENTRALE DE LA PRODUCTION ET DE L'ANTENNE</v>
          </cell>
          <cell r="V279">
            <v>180000</v>
          </cell>
          <cell r="W279" t="str">
            <v>Fonctionnement</v>
          </cell>
        </row>
        <row r="280">
          <cell r="A280">
            <v>2016</v>
          </cell>
          <cell r="D280" t="str">
            <v>DIRECTION CENTRALE DE LA PRODUCTION ET DE L'ANTENNE</v>
          </cell>
          <cell r="V280">
            <v>180000</v>
          </cell>
          <cell r="W280" t="str">
            <v>Fonctionnement</v>
          </cell>
        </row>
        <row r="281">
          <cell r="A281">
            <v>2016</v>
          </cell>
          <cell r="D281" t="str">
            <v>DIRECTION CENTRALE DE LA CHAÎNE TAMAZIGHT</v>
          </cell>
          <cell r="V281">
            <v>1597200</v>
          </cell>
          <cell r="W281" t="str">
            <v>Fonctionnement</v>
          </cell>
        </row>
        <row r="282">
          <cell r="A282">
            <v>2016</v>
          </cell>
          <cell r="D282" t="str">
            <v>DIRECTION CENTRALE DE LA PRODUCTION ET DE L'ANTENNE</v>
          </cell>
          <cell r="V282">
            <v>400000</v>
          </cell>
          <cell r="W282" t="str">
            <v>Fonctionnement</v>
          </cell>
        </row>
        <row r="283">
          <cell r="A283">
            <v>2016</v>
          </cell>
          <cell r="D283" t="str">
            <v>DIRECTION DE LA PRODUCTION ET DE LA PROGRAMMATION RADIO</v>
          </cell>
          <cell r="V283">
            <v>8000</v>
          </cell>
          <cell r="W283" t="str">
            <v>Fonctionnement</v>
          </cell>
        </row>
        <row r="284">
          <cell r="A284">
            <v>2016</v>
          </cell>
          <cell r="D284" t="str">
            <v>DIRECTION DES CHAÎNES CORANIQUES TV RADIO</v>
          </cell>
          <cell r="V284">
            <v>18200</v>
          </cell>
          <cell r="W284" t="str">
            <v>Fonctionnement</v>
          </cell>
        </row>
        <row r="285">
          <cell r="A285">
            <v>2016</v>
          </cell>
          <cell r="D285" t="str">
            <v>DIRECTION DES CHAÎNES CORANIQUES TV RADIO</v>
          </cell>
          <cell r="V285">
            <v>36400</v>
          </cell>
          <cell r="W285" t="str">
            <v>Fonctionnement</v>
          </cell>
        </row>
        <row r="286">
          <cell r="A286">
            <v>2016</v>
          </cell>
          <cell r="D286" t="str">
            <v>DIRECTION DES CHAÎNES CORANIQUES TV RADIO</v>
          </cell>
          <cell r="V286">
            <v>57600</v>
          </cell>
          <cell r="W286" t="str">
            <v>Fonctionnement</v>
          </cell>
        </row>
        <row r="287">
          <cell r="A287">
            <v>2016</v>
          </cell>
          <cell r="D287" t="str">
            <v>DIRECTION DES CHAÎNES CORANIQUES TV RADIO</v>
          </cell>
          <cell r="V287">
            <v>36000</v>
          </cell>
          <cell r="W287" t="str">
            <v>Fonctionnement</v>
          </cell>
        </row>
        <row r="288">
          <cell r="A288">
            <v>2016</v>
          </cell>
          <cell r="D288" t="str">
            <v>DIRECTION DES CHAÎNES CORANIQUES TV RADIO</v>
          </cell>
          <cell r="V288">
            <v>154800</v>
          </cell>
          <cell r="W288" t="str">
            <v>Fonctionnement</v>
          </cell>
        </row>
        <row r="289">
          <cell r="A289">
            <v>2016</v>
          </cell>
          <cell r="D289" t="str">
            <v>DIRECTION DES CHAÎNES CORANIQUES TV RADIO</v>
          </cell>
          <cell r="V289">
            <v>144000</v>
          </cell>
          <cell r="W289" t="str">
            <v>Fonctionnement</v>
          </cell>
        </row>
        <row r="290">
          <cell r="A290">
            <v>2016</v>
          </cell>
          <cell r="D290" t="str">
            <v>DIRECTION DES CHAÎNES CORANIQUES TV RADIO</v>
          </cell>
          <cell r="V290">
            <v>43200</v>
          </cell>
          <cell r="W290" t="str">
            <v>Fonctionnement</v>
          </cell>
        </row>
        <row r="291">
          <cell r="A291">
            <v>2016</v>
          </cell>
          <cell r="D291" t="str">
            <v>DIRECTION DES CHAÎNES CORANIQUES TV RADIO</v>
          </cell>
          <cell r="V291">
            <v>190440</v>
          </cell>
          <cell r="W291" t="str">
            <v>Fonctionnement</v>
          </cell>
        </row>
        <row r="292">
          <cell r="A292">
            <v>2016</v>
          </cell>
          <cell r="D292" t="str">
            <v>DIRECTION DES CHAÎNES CORANIQUES TV RADIO</v>
          </cell>
          <cell r="V292">
            <v>96000</v>
          </cell>
          <cell r="W292" t="str">
            <v>Fonctionnement</v>
          </cell>
        </row>
        <row r="293">
          <cell r="A293">
            <v>2016</v>
          </cell>
          <cell r="D293" t="str">
            <v>DIRECTION DES CHAÎNES CORANIQUES TV RADIO</v>
          </cell>
          <cell r="V293">
            <v>96000</v>
          </cell>
          <cell r="W293" t="str">
            <v>Fonctionnement</v>
          </cell>
        </row>
        <row r="294">
          <cell r="A294">
            <v>2016</v>
          </cell>
          <cell r="D294" t="str">
            <v>DIRECTION DES CHAÎNES CORANIQUES TV RADIO</v>
          </cell>
          <cell r="V294">
            <v>84000</v>
          </cell>
          <cell r="W294" t="str">
            <v>Fonctionnement</v>
          </cell>
        </row>
        <row r="295">
          <cell r="A295">
            <v>2016</v>
          </cell>
          <cell r="D295" t="str">
            <v>DIRECTION DES CHAÎNES CORANIQUES TV RADIO</v>
          </cell>
          <cell r="V295">
            <v>120000</v>
          </cell>
          <cell r="W295" t="str">
            <v>Fonctionnement</v>
          </cell>
        </row>
        <row r="296">
          <cell r="A296">
            <v>2016</v>
          </cell>
          <cell r="D296" t="str">
            <v>DIRECTION DES CHAÎNES CORANIQUES TV RADIO</v>
          </cell>
          <cell r="V296">
            <v>133560</v>
          </cell>
          <cell r="W296" t="str">
            <v>Fonctionnement</v>
          </cell>
        </row>
        <row r="297">
          <cell r="A297">
            <v>2016</v>
          </cell>
          <cell r="D297" t="str">
            <v>DIRECTION CENTRALE DE LA PRODUCTION ET DE L'ANTENNE</v>
          </cell>
          <cell r="V297">
            <v>200000</v>
          </cell>
          <cell r="W297" t="str">
            <v>Fonctionnement</v>
          </cell>
        </row>
        <row r="298">
          <cell r="A298">
            <v>2016</v>
          </cell>
          <cell r="D298" t="str">
            <v>DIRECTION CENTRALE DE LA PRODUCTION ET DE L'ANTENNE</v>
          </cell>
          <cell r="V298">
            <v>175000</v>
          </cell>
          <cell r="W298" t="str">
            <v>Fonctionnement</v>
          </cell>
        </row>
        <row r="299">
          <cell r="A299">
            <v>2016</v>
          </cell>
          <cell r="D299" t="str">
            <v>DIRECTION CENTRALE DE LA PRODUCTION ET DE L'ANTENNE</v>
          </cell>
          <cell r="V299">
            <v>60000</v>
          </cell>
          <cell r="W299" t="str">
            <v>Fonctionnement</v>
          </cell>
        </row>
        <row r="300">
          <cell r="A300">
            <v>2016</v>
          </cell>
          <cell r="D300" t="str">
            <v>DIRECTION CENTRALE DE LA PRODUCTION ET DE L'ANTENNE</v>
          </cell>
          <cell r="V300">
            <v>5000</v>
          </cell>
          <cell r="W300" t="str">
            <v>Fonctionnement</v>
          </cell>
        </row>
        <row r="301">
          <cell r="A301">
            <v>2016</v>
          </cell>
          <cell r="D301" t="str">
            <v>DIRECTION CENTRALE DE LA PRODUCTION ET DE L'ANTENNE</v>
          </cell>
          <cell r="V301">
            <v>40000</v>
          </cell>
          <cell r="W301" t="str">
            <v>Fonctionnement</v>
          </cell>
        </row>
        <row r="302">
          <cell r="A302">
            <v>2016</v>
          </cell>
          <cell r="D302" t="str">
            <v>DIRECTION CENTRALE DE LA PRODUCTION ET DE L'ANTENNE</v>
          </cell>
          <cell r="V302">
            <v>80000</v>
          </cell>
          <cell r="W302" t="str">
            <v>Fonctionnement</v>
          </cell>
        </row>
        <row r="303">
          <cell r="A303">
            <v>2016</v>
          </cell>
          <cell r="D303" t="str">
            <v>DIRECTION CENTRALE DE LA PRODUCTION ET DE L'ANTENNE</v>
          </cell>
          <cell r="V303">
            <v>10000</v>
          </cell>
          <cell r="W303" t="str">
            <v>Fonctionnement</v>
          </cell>
        </row>
        <row r="304">
          <cell r="A304">
            <v>2016</v>
          </cell>
          <cell r="D304" t="str">
            <v>DIRECTION DE L’INFORMATION TV</v>
          </cell>
          <cell r="V304">
            <v>60000</v>
          </cell>
          <cell r="W304" t="str">
            <v>Fonctionnement</v>
          </cell>
        </row>
        <row r="305">
          <cell r="A305">
            <v>2016</v>
          </cell>
          <cell r="D305" t="str">
            <v>DIRECTION DE L’INFORMATION TV</v>
          </cell>
          <cell r="V305">
            <v>44571.360000000001</v>
          </cell>
          <cell r="W305" t="str">
            <v>Fonctionnement</v>
          </cell>
        </row>
        <row r="306">
          <cell r="A306">
            <v>2016</v>
          </cell>
          <cell r="D306" t="str">
            <v>DIRECTION DE L’INFORMATION TV</v>
          </cell>
          <cell r="V306">
            <v>72000</v>
          </cell>
          <cell r="W306" t="str">
            <v>Fonctionnement</v>
          </cell>
        </row>
        <row r="307">
          <cell r="A307">
            <v>2016</v>
          </cell>
          <cell r="D307" t="str">
            <v xml:space="preserve">DIRECTION CENTRALE DE LA CHAINE TV LAAYOUNE </v>
          </cell>
          <cell r="V307">
            <v>205714.32</v>
          </cell>
          <cell r="W307" t="str">
            <v>Fonctionnement</v>
          </cell>
        </row>
        <row r="308">
          <cell r="A308">
            <v>2016</v>
          </cell>
          <cell r="D308" t="str">
            <v xml:space="preserve">DIRECTION CENTRALE DE LA CHAINE TV LAAYOUNE </v>
          </cell>
          <cell r="V308">
            <v>148571.28</v>
          </cell>
          <cell r="W308" t="str">
            <v>Fonctionnement</v>
          </cell>
        </row>
        <row r="309">
          <cell r="A309">
            <v>2016</v>
          </cell>
          <cell r="D309" t="str">
            <v xml:space="preserve">DIRECTION CENTRALE DE LA CHAINE TV LAAYOUNE </v>
          </cell>
          <cell r="V309">
            <v>205714.94</v>
          </cell>
          <cell r="W309" t="str">
            <v>Fonctionnement</v>
          </cell>
        </row>
        <row r="310">
          <cell r="A310">
            <v>2016</v>
          </cell>
          <cell r="D310" t="str">
            <v xml:space="preserve">DIRECTION CENTRALE DE LA CHAINE TV LAAYOUNE </v>
          </cell>
          <cell r="V310">
            <v>240000</v>
          </cell>
          <cell r="W310" t="str">
            <v>Fonctionnement</v>
          </cell>
        </row>
        <row r="311">
          <cell r="A311">
            <v>2016</v>
          </cell>
          <cell r="D311" t="str">
            <v>DIRECTION CENTRALE DE LA PRODUCTION ET DE L'ANTENNE</v>
          </cell>
          <cell r="V311">
            <v>5000</v>
          </cell>
          <cell r="W311" t="str">
            <v>Fonctionnement</v>
          </cell>
        </row>
        <row r="312">
          <cell r="A312">
            <v>2016</v>
          </cell>
          <cell r="D312" t="str">
            <v>DIRECTION CENTRALE DE LA PRODUCTION ET DE L'ANTENNE</v>
          </cell>
          <cell r="V312">
            <v>10000</v>
          </cell>
          <cell r="W312" t="str">
            <v>Fonctionnement</v>
          </cell>
        </row>
        <row r="313">
          <cell r="A313">
            <v>2016</v>
          </cell>
          <cell r="D313" t="str">
            <v>DIRECTION CENTRALE DE LA PRODUCTION ET DE L'ANTENNE</v>
          </cell>
          <cell r="V313">
            <v>100000</v>
          </cell>
          <cell r="W313" t="str">
            <v>Fonctionnement</v>
          </cell>
        </row>
        <row r="314">
          <cell r="A314">
            <v>2016</v>
          </cell>
          <cell r="D314" t="str">
            <v>DIRECTION CENTRALE DE LA PRODUCTION ET DE L'ANTENNE</v>
          </cell>
          <cell r="V314">
            <v>10000</v>
          </cell>
          <cell r="W314" t="str">
            <v>Fonctionnement</v>
          </cell>
        </row>
        <row r="315">
          <cell r="A315">
            <v>2016</v>
          </cell>
          <cell r="D315" t="str">
            <v>DIRECTION CENTRALE DE LA PRODUCTION ET DE L'ANTENNE</v>
          </cell>
          <cell r="V315">
            <v>10000</v>
          </cell>
          <cell r="W315" t="str">
            <v>Fonctionnement</v>
          </cell>
        </row>
        <row r="316">
          <cell r="A316">
            <v>2016</v>
          </cell>
          <cell r="D316" t="str">
            <v>DIRECTION CENTRALE DE LA PRODUCTION ET DE L'ANTENNE</v>
          </cell>
          <cell r="V316">
            <v>15000</v>
          </cell>
          <cell r="W316" t="str">
            <v>Fonctionnement</v>
          </cell>
        </row>
        <row r="317">
          <cell r="A317">
            <v>2016</v>
          </cell>
          <cell r="D317" t="str">
            <v>DIRECTION CENTRALE DE LA PRODUCTION ET DE L'ANTENNE</v>
          </cell>
          <cell r="V317">
            <v>10000</v>
          </cell>
          <cell r="W317" t="str">
            <v>Fonctionnement</v>
          </cell>
        </row>
        <row r="318">
          <cell r="A318">
            <v>2016</v>
          </cell>
          <cell r="D318" t="str">
            <v>DIRECTION CENTRALE DE LA PRODUCTION ET DE L'ANTENNE</v>
          </cell>
          <cell r="V318">
            <v>8000</v>
          </cell>
          <cell r="W318" t="str">
            <v>Fonctionnement</v>
          </cell>
        </row>
        <row r="319">
          <cell r="A319">
            <v>2016</v>
          </cell>
          <cell r="D319" t="str">
            <v>DIRECTION CENTRALE DE LA PRODUCTION ET DE L'ANTENNE</v>
          </cell>
          <cell r="V319">
            <v>6000</v>
          </cell>
          <cell r="W319" t="str">
            <v>Fonctionnement</v>
          </cell>
        </row>
        <row r="320">
          <cell r="A320">
            <v>2016</v>
          </cell>
          <cell r="D320" t="str">
            <v>DIRECTION CENTRALE DE LA PRODUCTION ET DE L'ANTENNE</v>
          </cell>
          <cell r="V320">
            <v>10000</v>
          </cell>
          <cell r="W320" t="str">
            <v>Fonctionnement</v>
          </cell>
        </row>
        <row r="321">
          <cell r="A321">
            <v>2016</v>
          </cell>
          <cell r="D321" t="str">
            <v>DIRECTION CENTRALE DE LA PRODUCTION ET DE L'ANTENNE</v>
          </cell>
          <cell r="V321">
            <v>100000</v>
          </cell>
          <cell r="W321" t="str">
            <v>Fonctionnement</v>
          </cell>
        </row>
        <row r="322">
          <cell r="A322">
            <v>2016</v>
          </cell>
          <cell r="D322" t="str">
            <v>DIRECTION CENTRALE DE LA PRODUCTION ET DE L'ANTENNE</v>
          </cell>
          <cell r="V322">
            <v>10000</v>
          </cell>
          <cell r="W322" t="str">
            <v>Fonctionnement</v>
          </cell>
        </row>
        <row r="323">
          <cell r="A323">
            <v>2016</v>
          </cell>
          <cell r="D323" t="str">
            <v>DIRECTION CENTRALE DE LA PRODUCTION ET DE L'ANTENNE</v>
          </cell>
          <cell r="V323">
            <v>10000</v>
          </cell>
          <cell r="W323" t="str">
            <v>Fonctionnement</v>
          </cell>
        </row>
        <row r="324">
          <cell r="A324">
            <v>2016</v>
          </cell>
          <cell r="D324" t="str">
            <v>DIRECTION CENTRALE DE LA PRODUCTION ET DE L'ANTENNE</v>
          </cell>
          <cell r="V324">
            <v>15000</v>
          </cell>
          <cell r="W324" t="str">
            <v>Fonctionnement</v>
          </cell>
        </row>
        <row r="325">
          <cell r="A325">
            <v>2016</v>
          </cell>
          <cell r="D325" t="str">
            <v>DIRECTION CENTRALE DE LA PRODUCTION ET DE L'ANTENNE</v>
          </cell>
          <cell r="V325">
            <v>16000</v>
          </cell>
          <cell r="W325" t="str">
            <v>Fonctionnement</v>
          </cell>
        </row>
        <row r="326">
          <cell r="A326">
            <v>2016</v>
          </cell>
          <cell r="D326" t="str">
            <v>DIRECTION CENTRALE DE LA PRODUCTION ET DE L'ANTENNE</v>
          </cell>
          <cell r="V326">
            <v>10000</v>
          </cell>
          <cell r="W326" t="str">
            <v>Fonctionnement</v>
          </cell>
        </row>
        <row r="327">
          <cell r="A327">
            <v>2016</v>
          </cell>
          <cell r="D327" t="str">
            <v>DIRECTION CENTRALE DE LA PRODUCTION ET DE L'ANTENNE</v>
          </cell>
          <cell r="V327">
            <v>100000</v>
          </cell>
          <cell r="W327" t="str">
            <v>Fonctionnement</v>
          </cell>
        </row>
        <row r="328">
          <cell r="A328">
            <v>2016</v>
          </cell>
          <cell r="D328" t="str">
            <v>DIRECTION CENTRALE DE LA PRODUCTION ET DE L'ANTENNE</v>
          </cell>
          <cell r="V328">
            <v>5000</v>
          </cell>
          <cell r="W328" t="str">
            <v>Fonctionnement</v>
          </cell>
        </row>
        <row r="329">
          <cell r="A329">
            <v>2016</v>
          </cell>
          <cell r="D329" t="str">
            <v>DIRECTION CENTRALE DE LA PRODUCTION ET DE L'ANTENNE</v>
          </cell>
          <cell r="V329">
            <v>9000</v>
          </cell>
          <cell r="W329" t="str">
            <v>Fonctionnement</v>
          </cell>
        </row>
        <row r="330">
          <cell r="A330">
            <v>2016</v>
          </cell>
          <cell r="D330" t="str">
            <v>DIRECTION CENTRALE DE LA PRODUCTION ET DE L'ANTENNE</v>
          </cell>
          <cell r="V330">
            <v>150000</v>
          </cell>
          <cell r="W330" t="str">
            <v>Fonctionnement</v>
          </cell>
        </row>
        <row r="331">
          <cell r="A331">
            <v>2016</v>
          </cell>
          <cell r="D331" t="str">
            <v>DIRECTION CENTRALE DE LA PRODUCTION ET DE L'ANTENNE</v>
          </cell>
          <cell r="V331">
            <v>5000</v>
          </cell>
          <cell r="W331" t="str">
            <v>Fonctionnement</v>
          </cell>
        </row>
        <row r="332">
          <cell r="A332">
            <v>2016</v>
          </cell>
          <cell r="D332" t="str">
            <v>DIRECTION CENTRALE DE LA PRODUCTION ET DE L'ANTENNE</v>
          </cell>
          <cell r="V332">
            <v>10000</v>
          </cell>
          <cell r="W332" t="str">
            <v>Fonctionnement</v>
          </cell>
        </row>
        <row r="333">
          <cell r="A333">
            <v>2016</v>
          </cell>
          <cell r="D333" t="str">
            <v>DIRECTION CENTRALE DE LA PRODUCTION ET DE L'ANTENNE</v>
          </cell>
          <cell r="V333">
            <v>5000</v>
          </cell>
          <cell r="W333" t="str">
            <v>Fonctionnement</v>
          </cell>
        </row>
        <row r="334">
          <cell r="A334">
            <v>2016</v>
          </cell>
          <cell r="D334" t="str">
            <v>DIRECTION CENTRALE DE LA PRODUCTION ET DE L'ANTENNE</v>
          </cell>
          <cell r="V334">
            <v>6000</v>
          </cell>
          <cell r="W334" t="str">
            <v>Fonctionnement</v>
          </cell>
        </row>
        <row r="335">
          <cell r="A335">
            <v>2016</v>
          </cell>
          <cell r="D335" t="str">
            <v>DIRECTION CENTRALE DE LA PRODUCTION ET DE L'ANTENNE</v>
          </cell>
          <cell r="V335">
            <v>8571.43</v>
          </cell>
          <cell r="W335" t="str">
            <v>Fonctionnement</v>
          </cell>
        </row>
        <row r="336">
          <cell r="A336">
            <v>2016</v>
          </cell>
          <cell r="D336" t="str">
            <v>DIRECTION CENTRALE DE LA PRODUCTION ET DE L'ANTENNE</v>
          </cell>
          <cell r="V336">
            <v>6000</v>
          </cell>
          <cell r="W336" t="str">
            <v>Fonctionnement</v>
          </cell>
        </row>
        <row r="337">
          <cell r="A337">
            <v>2016</v>
          </cell>
          <cell r="D337" t="str">
            <v>DIRECTION CENTRALE DE LA PRODUCTION ET DE L'ANTENNE</v>
          </cell>
          <cell r="V337">
            <v>10000</v>
          </cell>
          <cell r="W337" t="str">
            <v>Fonctionnement</v>
          </cell>
        </row>
        <row r="338">
          <cell r="A338">
            <v>2016</v>
          </cell>
          <cell r="D338" t="str">
            <v>DIRECTION CENTRALE DE LA PRODUCTION ET DE L'ANTENNE</v>
          </cell>
          <cell r="V338">
            <v>5000</v>
          </cell>
          <cell r="W338" t="str">
            <v>Fonctionnement</v>
          </cell>
        </row>
        <row r="339">
          <cell r="A339">
            <v>2016</v>
          </cell>
          <cell r="D339" t="str">
            <v>DIRECTION CENTRALE DE LA PRODUCTION ET DE L'ANTENNE</v>
          </cell>
          <cell r="V339">
            <v>10000</v>
          </cell>
          <cell r="W339" t="str">
            <v>Fonctionnement</v>
          </cell>
        </row>
        <row r="340">
          <cell r="A340">
            <v>2016</v>
          </cell>
          <cell r="D340" t="str">
            <v>DIRECTION CENTRALE DE LA PRODUCTION ET DE L'ANTENNE</v>
          </cell>
          <cell r="V340">
            <v>7000</v>
          </cell>
          <cell r="W340" t="str">
            <v>Fonctionnement</v>
          </cell>
        </row>
        <row r="341">
          <cell r="A341">
            <v>2016</v>
          </cell>
          <cell r="D341" t="str">
            <v>DIRECTION CENTRALE DE LA PRODUCTION ET DE L'ANTENNE</v>
          </cell>
          <cell r="V341">
            <v>14285.72</v>
          </cell>
          <cell r="W341" t="str">
            <v>Fonctionnement</v>
          </cell>
        </row>
        <row r="342">
          <cell r="A342">
            <v>2016</v>
          </cell>
          <cell r="D342" t="str">
            <v>DIRECTION CENTRALE DE LA PRODUCTION ET DE L'ANTENNE</v>
          </cell>
          <cell r="V342">
            <v>100000</v>
          </cell>
          <cell r="W342" t="str">
            <v>Fonctionnement</v>
          </cell>
        </row>
        <row r="343">
          <cell r="A343">
            <v>2016</v>
          </cell>
          <cell r="D343" t="str">
            <v>DIRECTION DE LA PRODUCTION ET DE LA PROGRAMMATION RADIO</v>
          </cell>
          <cell r="V343">
            <v>3571.42</v>
          </cell>
          <cell r="W343" t="str">
            <v>Fonctionnement</v>
          </cell>
        </row>
        <row r="344">
          <cell r="A344">
            <v>2016</v>
          </cell>
          <cell r="D344" t="str">
            <v>DIRECTION DE LA PRODUCTION ET DE LA PROGRAMMATION RADIO</v>
          </cell>
          <cell r="V344">
            <v>8000</v>
          </cell>
          <cell r="W344" t="str">
            <v>Fonctionnement</v>
          </cell>
        </row>
        <row r="345">
          <cell r="A345">
            <v>2016</v>
          </cell>
          <cell r="D345" t="str">
            <v>DIRECTION DE LA PRODUCTION ET DE LA PROGRAMMATION RADIO</v>
          </cell>
          <cell r="V345">
            <v>3571.42</v>
          </cell>
          <cell r="W345" t="str">
            <v>Fonctionnement</v>
          </cell>
        </row>
        <row r="346">
          <cell r="A346">
            <v>2016</v>
          </cell>
          <cell r="D346" t="str">
            <v>DIRECTION DE LA PRODUCTION ET DE LA PROGRAMMATION RADIO</v>
          </cell>
          <cell r="V346">
            <v>8000</v>
          </cell>
          <cell r="W346" t="str">
            <v>Fonctionnement</v>
          </cell>
        </row>
        <row r="347">
          <cell r="A347">
            <v>2016</v>
          </cell>
          <cell r="D347" t="str">
            <v>DIRECTION CENTRALE DE LA PRODUCTION ET DE L'ANTENNE</v>
          </cell>
          <cell r="V347">
            <v>8000</v>
          </cell>
          <cell r="W347" t="str">
            <v>Fonctionnement</v>
          </cell>
        </row>
        <row r="348">
          <cell r="A348">
            <v>2016</v>
          </cell>
          <cell r="D348" t="str">
            <v>DIRECTION CENTRALE DE LA PRODUCTION ET DE L'ANTENNE</v>
          </cell>
          <cell r="V348">
            <v>15000</v>
          </cell>
          <cell r="W348" t="str">
            <v>Fonctionnement</v>
          </cell>
        </row>
        <row r="349">
          <cell r="A349">
            <v>2016</v>
          </cell>
          <cell r="D349" t="str">
            <v>DIRECTION CENTRALE DE LA PRODUCTION ET DE L'ANTENNE</v>
          </cell>
          <cell r="V349">
            <v>5000</v>
          </cell>
          <cell r="W349" t="str">
            <v>Fonctionnement</v>
          </cell>
        </row>
        <row r="350">
          <cell r="A350">
            <v>2016</v>
          </cell>
          <cell r="D350" t="str">
            <v>DIRECTION CENTRALE DE LA PRODUCTION ET DE L'ANTENNE</v>
          </cell>
          <cell r="V350">
            <v>160000</v>
          </cell>
          <cell r="W350" t="str">
            <v>Fonctionnement</v>
          </cell>
        </row>
        <row r="351">
          <cell r="A351">
            <v>2016</v>
          </cell>
          <cell r="D351" t="str">
            <v>DIRECTION DES CHAÎNES CORANIQUES TV RADIO</v>
          </cell>
          <cell r="V351">
            <v>156000</v>
          </cell>
          <cell r="W351" t="str">
            <v>Fonctionnement</v>
          </cell>
        </row>
        <row r="352">
          <cell r="A352">
            <v>2016</v>
          </cell>
          <cell r="D352" t="str">
            <v>DIRECTION DES CHAÎNES CORANIQUES TV RADIO</v>
          </cell>
          <cell r="V352">
            <v>50400</v>
          </cell>
          <cell r="W352" t="str">
            <v>Fonctionnement</v>
          </cell>
        </row>
        <row r="353">
          <cell r="A353">
            <v>2016</v>
          </cell>
          <cell r="D353" t="str">
            <v>DIRECTION DES CHAÎNES CORANIQUES TV RADIO</v>
          </cell>
          <cell r="V353">
            <v>24000</v>
          </cell>
          <cell r="W353" t="str">
            <v>Fonctionnement</v>
          </cell>
        </row>
        <row r="354">
          <cell r="A354">
            <v>2016</v>
          </cell>
          <cell r="D354" t="str">
            <v>DIRECTION DES CHAÎNES CORANIQUES TV RADIO</v>
          </cell>
          <cell r="V354">
            <v>163200</v>
          </cell>
          <cell r="W354" t="str">
            <v>Fonctionnement</v>
          </cell>
        </row>
        <row r="355">
          <cell r="A355">
            <v>2016</v>
          </cell>
          <cell r="D355" t="str">
            <v>DIRECTION CENTRALE DE LA PRODUCTION ET DE L'ANTENNE</v>
          </cell>
          <cell r="V355">
            <v>174200</v>
          </cell>
          <cell r="W355" t="str">
            <v>Fonctionnement</v>
          </cell>
        </row>
        <row r="356">
          <cell r="A356">
            <v>2016</v>
          </cell>
          <cell r="D356" t="str">
            <v>DIRECTION CENTRALE DE LA CHAÎNE TAMAZIGHT</v>
          </cell>
          <cell r="V356">
            <v>336000</v>
          </cell>
          <cell r="W356" t="str">
            <v>Fonctionnement</v>
          </cell>
        </row>
        <row r="357">
          <cell r="A357">
            <v>2016</v>
          </cell>
          <cell r="D357" t="str">
            <v>DIRECTION CENTRALE DE LA PRODUCTION ET DE L'ANTENNE</v>
          </cell>
          <cell r="V357">
            <v>280800</v>
          </cell>
          <cell r="W357" t="str">
            <v>Fonctionnement</v>
          </cell>
        </row>
        <row r="358">
          <cell r="A358">
            <v>2016</v>
          </cell>
          <cell r="D358" t="str">
            <v>DIRECTION MARKETING ET PROGRAMATION TV</v>
          </cell>
          <cell r="V358">
            <v>84000</v>
          </cell>
          <cell r="W358" t="str">
            <v>Fonctionnement</v>
          </cell>
        </row>
        <row r="359">
          <cell r="A359">
            <v>2016</v>
          </cell>
          <cell r="D359" t="str">
            <v xml:space="preserve">DIRECTION CENTRALE DE LA CHAINE TV LAAYOUNE </v>
          </cell>
          <cell r="V359">
            <v>171428.64</v>
          </cell>
          <cell r="W359" t="str">
            <v>Fonctionnement</v>
          </cell>
        </row>
        <row r="360">
          <cell r="A360">
            <v>2016</v>
          </cell>
          <cell r="D360" t="str">
            <v>DIRECTION DE LA TELEDIFFUSION</v>
          </cell>
          <cell r="V360">
            <v>216428.4</v>
          </cell>
          <cell r="W360" t="str">
            <v>Fonctionnement</v>
          </cell>
        </row>
        <row r="361">
          <cell r="A361">
            <v>2016</v>
          </cell>
          <cell r="D361" t="str">
            <v>DIRECTION DES CHAÎNES CORANIQUES TV RADIO</v>
          </cell>
          <cell r="V361">
            <v>24000</v>
          </cell>
          <cell r="W361" t="str">
            <v>Fonctionnement</v>
          </cell>
        </row>
        <row r="362">
          <cell r="A362">
            <v>2016</v>
          </cell>
          <cell r="D362" t="str">
            <v>DIRECTION DES CHAÎNES CORANIQUES TV RADIO</v>
          </cell>
          <cell r="V362">
            <v>24000</v>
          </cell>
          <cell r="W362" t="str">
            <v>Fonctionnement</v>
          </cell>
        </row>
        <row r="363">
          <cell r="A363">
            <v>2016</v>
          </cell>
          <cell r="D363" t="str">
            <v>DIRECTION DES CHAÎNES CORANIQUES TV RADIO</v>
          </cell>
          <cell r="V363">
            <v>24000</v>
          </cell>
          <cell r="W363" t="str">
            <v>Fonctionnement</v>
          </cell>
        </row>
        <row r="364">
          <cell r="A364">
            <v>2016</v>
          </cell>
          <cell r="D364" t="str">
            <v>DIRECTION CENTRALE DE LA CHAÎNE TAMAZIGHT</v>
          </cell>
          <cell r="V364">
            <v>120000</v>
          </cell>
          <cell r="W364" t="str">
            <v>Fonctionnement</v>
          </cell>
        </row>
        <row r="365">
          <cell r="A365">
            <v>2016</v>
          </cell>
          <cell r="D365" t="str">
            <v>DIRECTION CENTRALE DE LA CHAÎNE TAMAZIGHT</v>
          </cell>
          <cell r="V365">
            <v>120000</v>
          </cell>
          <cell r="W365" t="str">
            <v>Fonctionnement</v>
          </cell>
        </row>
        <row r="366">
          <cell r="A366">
            <v>2016</v>
          </cell>
          <cell r="D366" t="str">
            <v>DIRECTION CENTRALE DE LA CHAÎNE TAMAZIGHT</v>
          </cell>
          <cell r="V366">
            <v>100000</v>
          </cell>
          <cell r="W366" t="str">
            <v>Fonctionnement</v>
          </cell>
        </row>
        <row r="367">
          <cell r="A367">
            <v>2016</v>
          </cell>
          <cell r="D367" t="str">
            <v>DIRECTION CENTRALE DE LA CHAÎNE TAMAZIGHT</v>
          </cell>
          <cell r="V367">
            <v>120000</v>
          </cell>
          <cell r="W367" t="str">
            <v>Fonctionnement</v>
          </cell>
        </row>
        <row r="368">
          <cell r="A368">
            <v>2016</v>
          </cell>
          <cell r="D368" t="str">
            <v>DIRECTION CENTRALE DE LA CHAÎNE TAMAZIGHT</v>
          </cell>
          <cell r="V368">
            <v>120000</v>
          </cell>
          <cell r="W368" t="str">
            <v>Fonctionnement</v>
          </cell>
        </row>
        <row r="369">
          <cell r="A369">
            <v>2016</v>
          </cell>
          <cell r="D369" t="str">
            <v>DIRECTION CENTRALE DE LA PRODUCTION ET DE L'ANTENNE</v>
          </cell>
          <cell r="V369">
            <v>320000</v>
          </cell>
          <cell r="W369" t="str">
            <v>Fonctionnement</v>
          </cell>
        </row>
        <row r="370">
          <cell r="A370">
            <v>2016</v>
          </cell>
          <cell r="D370" t="str">
            <v>DIRECTION CENTRALE DE LA PRODUCTION ET DE L'ANTENNE</v>
          </cell>
          <cell r="V370">
            <v>200000</v>
          </cell>
          <cell r="W370" t="str">
            <v>Fonctionnement</v>
          </cell>
        </row>
        <row r="371">
          <cell r="A371">
            <v>2016</v>
          </cell>
          <cell r="D371" t="str">
            <v>DIRECTION DES RESSOURCES HUMAINES</v>
          </cell>
          <cell r="V371">
            <v>1667152</v>
          </cell>
          <cell r="W371" t="str">
            <v>Fonctionnement</v>
          </cell>
        </row>
        <row r="372">
          <cell r="A372">
            <v>2016</v>
          </cell>
          <cell r="D372" t="str">
            <v>DIRECTION DE LA PRODUCTION ET DE LA PROGRAMMATION RADIO</v>
          </cell>
          <cell r="V372">
            <v>28571.42</v>
          </cell>
          <cell r="W372" t="str">
            <v>Fonctionnement</v>
          </cell>
        </row>
        <row r="373">
          <cell r="A373">
            <v>2016</v>
          </cell>
          <cell r="D373" t="str">
            <v>DIRECTION DE LA PRODUCTION ET DE LA PROGRAMMATION RADIO</v>
          </cell>
          <cell r="V373">
            <v>7142.85</v>
          </cell>
          <cell r="W373" t="str">
            <v>Fonctionnement</v>
          </cell>
        </row>
        <row r="374">
          <cell r="A374">
            <v>2016</v>
          </cell>
          <cell r="D374" t="str">
            <v>DIRECTION DE LA REGIE PUBLICITAIRE ET DES SOLUTIONS DIGITALES</v>
          </cell>
          <cell r="V374">
            <v>134169.34</v>
          </cell>
          <cell r="W374" t="str">
            <v>Fonctionnement</v>
          </cell>
        </row>
        <row r="375">
          <cell r="A375">
            <v>2016</v>
          </cell>
          <cell r="D375" t="str">
            <v>DIRECTION DE LA PRODUCTION ET DE LA PROGRAMMATION RADIO</v>
          </cell>
          <cell r="V375">
            <v>8000</v>
          </cell>
          <cell r="W375" t="str">
            <v>Fonctionnement</v>
          </cell>
        </row>
        <row r="376">
          <cell r="A376">
            <v>2016</v>
          </cell>
          <cell r="D376" t="str">
            <v>DIRECTION DE LA PRODUCTION ET DE LA PROGRAMMATION RADIO</v>
          </cell>
          <cell r="V376">
            <v>3571.42</v>
          </cell>
          <cell r="W376" t="str">
            <v>Fonctionnement</v>
          </cell>
        </row>
        <row r="377">
          <cell r="A377">
            <v>2016</v>
          </cell>
          <cell r="D377" t="str">
            <v>DIRECTION DE LA PRODUCTION ET DE LA PROGRAMMATION RADIO</v>
          </cell>
          <cell r="V377">
            <v>3571.42</v>
          </cell>
          <cell r="W377" t="str">
            <v>Fonctionnement</v>
          </cell>
        </row>
        <row r="378">
          <cell r="A378">
            <v>2016</v>
          </cell>
          <cell r="D378" t="str">
            <v>DIRECTION DE LA PRODUCTION ET DE LA PROGRAMMATION RADIO</v>
          </cell>
          <cell r="V378">
            <v>3571.42</v>
          </cell>
          <cell r="W378" t="str">
            <v>Fonctionnement</v>
          </cell>
        </row>
        <row r="379">
          <cell r="A379">
            <v>2016</v>
          </cell>
          <cell r="D379" t="str">
            <v>DIRECTION DE LA PRODUCTION ET DE LA PROGRAMMATION RADIO</v>
          </cell>
          <cell r="V379">
            <v>130000</v>
          </cell>
          <cell r="W379" t="str">
            <v>Fonctionnement</v>
          </cell>
        </row>
        <row r="380">
          <cell r="A380">
            <v>2016</v>
          </cell>
          <cell r="D380" t="str">
            <v>DIRECTION DE LA PRODUCTION ET DE LA PROGRAMMATION RADIO</v>
          </cell>
          <cell r="V380">
            <v>130500</v>
          </cell>
          <cell r="W380" t="str">
            <v>Fonctionnement</v>
          </cell>
        </row>
        <row r="381">
          <cell r="A381">
            <v>2016</v>
          </cell>
          <cell r="D381" t="str">
            <v>DIRECTION CENTRALE DE LA PRODUCTION ET DE L'ANTENNE</v>
          </cell>
          <cell r="V381">
            <v>704000</v>
          </cell>
          <cell r="W381" t="str">
            <v>Fonctionnement</v>
          </cell>
        </row>
        <row r="382">
          <cell r="A382">
            <v>2016</v>
          </cell>
          <cell r="D382" t="str">
            <v>DIRECTION CENTRALE DE LA PRODUCTION ET DE L'ANTENNE</v>
          </cell>
          <cell r="V382">
            <v>664400</v>
          </cell>
          <cell r="W382" t="str">
            <v>Fonctionnement</v>
          </cell>
        </row>
        <row r="383">
          <cell r="A383">
            <v>2016</v>
          </cell>
          <cell r="D383" t="str">
            <v>DIRECTION CENTRALE DE LA PRODUCTION ET DE L'ANTENNE</v>
          </cell>
          <cell r="V383">
            <v>237600</v>
          </cell>
          <cell r="W383" t="str">
            <v>Fonctionnement</v>
          </cell>
        </row>
        <row r="384">
          <cell r="A384">
            <v>2016</v>
          </cell>
          <cell r="D384" t="str">
            <v>DIRECTION CENTRALE DE LA PRODUCTION ET DE L'ANTENNE</v>
          </cell>
          <cell r="V384">
            <v>20000</v>
          </cell>
          <cell r="W384" t="str">
            <v>Fonctionnement</v>
          </cell>
        </row>
        <row r="385">
          <cell r="A385">
            <v>2016</v>
          </cell>
          <cell r="D385" t="str">
            <v>DIRECTION CENTRALE DE LA PRODUCTION ET DE L'ANTENNE</v>
          </cell>
          <cell r="V385">
            <v>7000</v>
          </cell>
          <cell r="W385" t="str">
            <v>Fonctionnement</v>
          </cell>
        </row>
        <row r="386">
          <cell r="A386">
            <v>2016</v>
          </cell>
          <cell r="D386" t="str">
            <v>DIRECTION CENTRALE DE LA PRODUCTION ET DE L'ANTENNE</v>
          </cell>
          <cell r="V386">
            <v>10000</v>
          </cell>
          <cell r="W386" t="str">
            <v>Fonctionnement</v>
          </cell>
        </row>
        <row r="387">
          <cell r="A387">
            <v>2016</v>
          </cell>
          <cell r="D387" t="str">
            <v>DIRECTION CENTRALE DE LA PRODUCTION ET DE L'ANTENNE</v>
          </cell>
          <cell r="V387">
            <v>10000</v>
          </cell>
          <cell r="W387" t="str">
            <v>Fonctionnement</v>
          </cell>
        </row>
        <row r="388">
          <cell r="A388">
            <v>2016</v>
          </cell>
          <cell r="D388" t="str">
            <v>DIRECTION CENTRALE DE LA PRODUCTION ET DE L'ANTENNE</v>
          </cell>
          <cell r="V388">
            <v>10000</v>
          </cell>
          <cell r="W388" t="str">
            <v>Fonctionnement</v>
          </cell>
        </row>
        <row r="389">
          <cell r="A389">
            <v>2016</v>
          </cell>
          <cell r="D389" t="str">
            <v>DIRECTION CENTRALE DE LA PRODUCTION ET DE L'ANTENNE</v>
          </cell>
          <cell r="V389">
            <v>10000</v>
          </cell>
          <cell r="W389" t="str">
            <v>Fonctionnement</v>
          </cell>
        </row>
        <row r="390">
          <cell r="A390">
            <v>2016</v>
          </cell>
          <cell r="D390" t="str">
            <v>DIRECTION CENTRALE DE LA PRODUCTION ET DE L'ANTENNE</v>
          </cell>
          <cell r="V390">
            <v>20000</v>
          </cell>
          <cell r="W390" t="str">
            <v>Fonctionnement</v>
          </cell>
        </row>
        <row r="391">
          <cell r="A391">
            <v>2016</v>
          </cell>
          <cell r="D391" t="str">
            <v>DIRECTION CENTRALE DE LA PRODUCTION ET DE L'ANTENNE</v>
          </cell>
          <cell r="V391">
            <v>10000</v>
          </cell>
          <cell r="W391" t="str">
            <v>Fonctionnement</v>
          </cell>
        </row>
        <row r="392">
          <cell r="A392">
            <v>2016</v>
          </cell>
          <cell r="D392" t="str">
            <v>DIRECTION CENTRALE DE LA PRODUCTION ET DE L'ANTENNE</v>
          </cell>
          <cell r="V392">
            <v>10000</v>
          </cell>
          <cell r="W392" t="str">
            <v>Fonctionnement</v>
          </cell>
        </row>
        <row r="393">
          <cell r="A393">
            <v>2016</v>
          </cell>
          <cell r="D393" t="str">
            <v>DIRECTION CENTRALE DE LA PRODUCTION ET DE L'ANTENNE</v>
          </cell>
          <cell r="V393">
            <v>12000</v>
          </cell>
          <cell r="W393" t="str">
            <v>Fonctionnement</v>
          </cell>
        </row>
        <row r="394">
          <cell r="A394">
            <v>2016</v>
          </cell>
          <cell r="D394" t="str">
            <v>DIRECTION CENTRALE DE LA PRODUCTION ET DE L'ANTENNE</v>
          </cell>
          <cell r="V394">
            <v>20000</v>
          </cell>
          <cell r="W394" t="str">
            <v>Fonctionnement</v>
          </cell>
        </row>
        <row r="395">
          <cell r="A395">
            <v>2016</v>
          </cell>
          <cell r="D395" t="str">
            <v>DIRECTION CENTRALE DE LA PRODUCTION ET DE L'ANTENNE</v>
          </cell>
          <cell r="V395">
            <v>7000</v>
          </cell>
          <cell r="W395" t="str">
            <v>Fonctionnement</v>
          </cell>
        </row>
        <row r="396">
          <cell r="A396">
            <v>2016</v>
          </cell>
          <cell r="D396" t="str">
            <v>DIRECTION CENTRALE DE LA PRODUCTION ET DE L'ANTENNE</v>
          </cell>
          <cell r="V396">
            <v>70000</v>
          </cell>
          <cell r="W396" t="str">
            <v>Fonctionnement</v>
          </cell>
        </row>
        <row r="397">
          <cell r="A397">
            <v>2016</v>
          </cell>
          <cell r="D397" t="str">
            <v>DIRECTION CENTRALE DE LA PRODUCTION ET DE L'ANTENNE</v>
          </cell>
          <cell r="V397">
            <v>110000</v>
          </cell>
          <cell r="W397" t="str">
            <v>Fonctionnement</v>
          </cell>
        </row>
        <row r="398">
          <cell r="A398">
            <v>2016</v>
          </cell>
          <cell r="D398" t="str">
            <v>DIRECTION CENTRALE DE LA PRODUCTION ET DE L'ANTENNE</v>
          </cell>
          <cell r="V398">
            <v>105600</v>
          </cell>
          <cell r="W398" t="str">
            <v>Fonctionnement</v>
          </cell>
        </row>
        <row r="399">
          <cell r="A399">
            <v>2016</v>
          </cell>
          <cell r="D399" t="str">
            <v>DIRECTION CENTRALE DE LA PRODUCTION ET DE L'ANTENNE</v>
          </cell>
          <cell r="V399">
            <v>200000</v>
          </cell>
          <cell r="W399" t="str">
            <v>Fonctionnement</v>
          </cell>
        </row>
        <row r="400">
          <cell r="A400">
            <v>2016</v>
          </cell>
          <cell r="D400" t="str">
            <v>DIRECTION CENTRALE DE LA PRODUCTION ET DE L'ANTENNE</v>
          </cell>
          <cell r="V400">
            <v>150000</v>
          </cell>
          <cell r="W400" t="str">
            <v>Fonctionnement</v>
          </cell>
        </row>
        <row r="401">
          <cell r="A401">
            <v>2016</v>
          </cell>
          <cell r="D401" t="str">
            <v>DIRECTION DE LA PRODUCTION ET DE LA PROGRAMMATION RADIO</v>
          </cell>
          <cell r="V401">
            <v>20000</v>
          </cell>
          <cell r="W401" t="str">
            <v>Fonctionnement</v>
          </cell>
        </row>
        <row r="402">
          <cell r="A402">
            <v>2016</v>
          </cell>
          <cell r="D402" t="str">
            <v>DIRECTION CENTRALE DE LA PRODUCTION ET DE L'ANTENNE</v>
          </cell>
          <cell r="V402">
            <v>240000</v>
          </cell>
          <cell r="W402" t="str">
            <v>Fonctionnement</v>
          </cell>
        </row>
        <row r="403">
          <cell r="A403">
            <v>2016</v>
          </cell>
          <cell r="D403" t="str">
            <v>DIRECTION CENTRALE DE LA PRODUCTION ET DE L'ANTENNE</v>
          </cell>
          <cell r="V403">
            <v>240000</v>
          </cell>
          <cell r="W403" t="str">
            <v>Fonctionnement</v>
          </cell>
        </row>
        <row r="404">
          <cell r="A404">
            <v>2016</v>
          </cell>
          <cell r="D404" t="str">
            <v>DIRECTION CENTRALE DE LA PRODUCTION ET DE L'ANTENNE</v>
          </cell>
          <cell r="V404">
            <v>480000</v>
          </cell>
          <cell r="W404" t="str">
            <v>Fonctionnement</v>
          </cell>
        </row>
        <row r="405">
          <cell r="A405">
            <v>2016</v>
          </cell>
          <cell r="D405" t="str">
            <v>DIRECTION CENTRALE DE LA PRODUCTION ET DE L'ANTENNE</v>
          </cell>
          <cell r="V405">
            <v>180000</v>
          </cell>
          <cell r="W405" t="str">
            <v>Fonctionnement</v>
          </cell>
        </row>
        <row r="406">
          <cell r="A406">
            <v>2016</v>
          </cell>
          <cell r="D406" t="str">
            <v>DIRECTION CENTRALE DE LA PRODUCTION ET DE L'ANTENNE</v>
          </cell>
          <cell r="V406">
            <v>420000</v>
          </cell>
          <cell r="W406" t="str">
            <v>Fonctionnement</v>
          </cell>
        </row>
        <row r="407">
          <cell r="A407">
            <v>2016</v>
          </cell>
          <cell r="D407" t="str">
            <v>DIRECTION CENTRALE DE LA PRODUCTION ET DE L'ANTENNE</v>
          </cell>
          <cell r="V407">
            <v>240000</v>
          </cell>
          <cell r="W407" t="str">
            <v>Fonctionnement</v>
          </cell>
        </row>
        <row r="408">
          <cell r="A408">
            <v>2016</v>
          </cell>
          <cell r="D408" t="str">
            <v>DIRECTION CENTRALE DE LA PRODUCTION ET DE L'ANTENNE</v>
          </cell>
          <cell r="V408">
            <v>240000</v>
          </cell>
          <cell r="W408" t="str">
            <v>Fonctionnement</v>
          </cell>
        </row>
        <row r="409">
          <cell r="A409">
            <v>2016</v>
          </cell>
          <cell r="D409" t="str">
            <v>DIRECTION CENTRALE DE LA PRODUCTION ET DE L'ANTENNE</v>
          </cell>
          <cell r="V409">
            <v>180000</v>
          </cell>
          <cell r="W409" t="str">
            <v>Fonctionnement</v>
          </cell>
        </row>
        <row r="410">
          <cell r="A410">
            <v>2016</v>
          </cell>
          <cell r="D410" t="str">
            <v>DIRECTION CENTRALE DE LA PRODUCTION ET DE L'ANTENNE</v>
          </cell>
          <cell r="V410">
            <v>360000</v>
          </cell>
          <cell r="W410" t="str">
            <v>Fonctionnement</v>
          </cell>
        </row>
        <row r="411">
          <cell r="A411">
            <v>2016</v>
          </cell>
          <cell r="D411" t="str">
            <v>DIRECTION CENTRALE DE LA PRODUCTION ET DE L'ANTENNE</v>
          </cell>
          <cell r="V411">
            <v>60000</v>
          </cell>
          <cell r="W411" t="str">
            <v>Fonctionnement</v>
          </cell>
        </row>
        <row r="412">
          <cell r="A412">
            <v>2016</v>
          </cell>
          <cell r="D412" t="str">
            <v>DIRECTION DE L’INFORMATION TV</v>
          </cell>
          <cell r="V412">
            <v>145714.32</v>
          </cell>
          <cell r="W412" t="str">
            <v>Fonctionnement</v>
          </cell>
        </row>
        <row r="413">
          <cell r="A413">
            <v>2016</v>
          </cell>
          <cell r="D413" t="str">
            <v>DIRECTION DE LA PRODUCTION ET DE LA PROGRAMMATION RADIO</v>
          </cell>
          <cell r="V413">
            <v>130000</v>
          </cell>
          <cell r="W413" t="str">
            <v>Fonctionnement</v>
          </cell>
        </row>
        <row r="414">
          <cell r="A414">
            <v>2016</v>
          </cell>
          <cell r="D414" t="str">
            <v>DIRECTION CENTRALE DE LA PRODUCTION ET DE L'ANTENNE</v>
          </cell>
          <cell r="V414">
            <v>10000</v>
          </cell>
          <cell r="W414" t="str">
            <v>Fonctionnement</v>
          </cell>
        </row>
        <row r="415">
          <cell r="A415">
            <v>2016</v>
          </cell>
          <cell r="D415" t="str">
            <v>DIRECTION CENTRALE DE LA PRODUCTION ET DE L'ANTENNE</v>
          </cell>
          <cell r="V415">
            <v>280000</v>
          </cell>
          <cell r="W415" t="str">
            <v>Fonctionnement</v>
          </cell>
        </row>
        <row r="416">
          <cell r="A416">
            <v>2016</v>
          </cell>
          <cell r="D416" t="str">
            <v>DIRECTION CENTRALE DE LA PRODUCTION ET DE L'ANTENNE</v>
          </cell>
          <cell r="V416">
            <v>100000</v>
          </cell>
          <cell r="W416" t="str">
            <v>Fonctionnement</v>
          </cell>
        </row>
        <row r="417">
          <cell r="A417">
            <v>2016</v>
          </cell>
          <cell r="D417" t="str">
            <v>DIRECTION CENTRALE DE LA PRODUCTION ET DE L'ANTENNE</v>
          </cell>
          <cell r="V417">
            <v>200000</v>
          </cell>
          <cell r="W417" t="str">
            <v>Fonctionnement</v>
          </cell>
        </row>
        <row r="418">
          <cell r="A418">
            <v>2016</v>
          </cell>
          <cell r="D418" t="str">
            <v>DIRECTION CENTRALE DE LA PRODUCTION ET DE L'ANTENNE</v>
          </cell>
          <cell r="V418">
            <v>72000</v>
          </cell>
          <cell r="W418" t="str">
            <v>Fonctionnement</v>
          </cell>
        </row>
        <row r="419">
          <cell r="A419">
            <v>2016</v>
          </cell>
          <cell r="D419" t="str">
            <v>DIRECTION CENTRALE DE LA PRODUCTION ET DE L'ANTENNE</v>
          </cell>
          <cell r="V419">
            <v>420000</v>
          </cell>
          <cell r="W419" t="str">
            <v>Fonctionnement</v>
          </cell>
        </row>
        <row r="420">
          <cell r="A420">
            <v>2016</v>
          </cell>
          <cell r="D420" t="str">
            <v>DIRECTION CENTRALE DE LA PRODUCTION ET DE L'ANTENNE</v>
          </cell>
          <cell r="V420">
            <v>51428.88</v>
          </cell>
          <cell r="W420" t="str">
            <v>Fonctionnement</v>
          </cell>
        </row>
        <row r="421">
          <cell r="A421">
            <v>2016</v>
          </cell>
          <cell r="D421" t="str">
            <v>DIRECTION CENTRALE DE LA PRODUCTION ET DE L'ANTENNE</v>
          </cell>
          <cell r="V421">
            <v>100000</v>
          </cell>
          <cell r="W421" t="str">
            <v>Fonctionnement</v>
          </cell>
        </row>
        <row r="422">
          <cell r="A422">
            <v>2016</v>
          </cell>
          <cell r="D422" t="str">
            <v>DIRECTION CENTRALE DE LA PRODUCTION ET DE L'ANTENNE</v>
          </cell>
          <cell r="V422">
            <v>40000</v>
          </cell>
          <cell r="W422" t="str">
            <v>Fonctionnement</v>
          </cell>
        </row>
        <row r="423">
          <cell r="A423">
            <v>2016</v>
          </cell>
          <cell r="D423" t="str">
            <v>DIRECTION CENTRALE DE LA PRODUCTION ET DE L'ANTENNE</v>
          </cell>
          <cell r="V423">
            <v>5000</v>
          </cell>
          <cell r="W423" t="str">
            <v>Fonctionnement</v>
          </cell>
        </row>
        <row r="424">
          <cell r="A424">
            <v>2016</v>
          </cell>
          <cell r="D424" t="str">
            <v>DIRECTION CENTRALE DE LA PRODUCTION ET DE L'ANTENNE</v>
          </cell>
          <cell r="V424">
            <v>10000</v>
          </cell>
          <cell r="W424" t="str">
            <v>Fonctionnement</v>
          </cell>
        </row>
        <row r="425">
          <cell r="A425">
            <v>2016</v>
          </cell>
          <cell r="D425" t="str">
            <v>DIRECTION CENTRALE DE LA PRODUCTION ET DE L'ANTENNE</v>
          </cell>
          <cell r="V425">
            <v>55000</v>
          </cell>
          <cell r="W425" t="str">
            <v>Fonctionnement</v>
          </cell>
        </row>
        <row r="426">
          <cell r="A426">
            <v>2016</v>
          </cell>
          <cell r="D426" t="str">
            <v>DIRECTION CENTRALE DE LA PRODUCTION ET DE L'ANTENNE</v>
          </cell>
          <cell r="V426">
            <v>30000</v>
          </cell>
          <cell r="W426" t="str">
            <v>Fonctionnement</v>
          </cell>
        </row>
        <row r="427">
          <cell r="A427">
            <v>2016</v>
          </cell>
          <cell r="D427" t="str">
            <v>DIRECTION CENTRALE DE LA PRODUCTION ET DE L'ANTENNE</v>
          </cell>
          <cell r="V427">
            <v>95000</v>
          </cell>
          <cell r="W427" t="str">
            <v>Fonctionnement</v>
          </cell>
        </row>
        <row r="428">
          <cell r="A428">
            <v>2016</v>
          </cell>
          <cell r="D428" t="str">
            <v>DIRECTION CENTRALE DE LA PRODUCTION ET DE L'ANTENNE</v>
          </cell>
          <cell r="V428">
            <v>65000</v>
          </cell>
          <cell r="W428" t="str">
            <v>Fonctionnement</v>
          </cell>
        </row>
        <row r="429">
          <cell r="A429">
            <v>2016</v>
          </cell>
          <cell r="D429" t="str">
            <v>DIRECTION CENTRALE DE LA PRODUCTION ET DE L'ANTENNE</v>
          </cell>
          <cell r="V429">
            <v>806400</v>
          </cell>
          <cell r="W429" t="str">
            <v>Fonctionnement</v>
          </cell>
        </row>
        <row r="430">
          <cell r="A430">
            <v>2016</v>
          </cell>
          <cell r="D430" t="str">
            <v>DIRECTION CENTRALE DE LA CHAÎNE TAMAZIGHT</v>
          </cell>
          <cell r="V430">
            <v>100000</v>
          </cell>
          <cell r="W430" t="str">
            <v>Fonctionnement</v>
          </cell>
        </row>
        <row r="431">
          <cell r="A431">
            <v>2016</v>
          </cell>
          <cell r="D431" t="str">
            <v>DIRECTION CENTRALE DE LA CHAÎNE TAMAZIGHT</v>
          </cell>
          <cell r="V431">
            <v>120000</v>
          </cell>
          <cell r="W431" t="str">
            <v>Fonctionnement</v>
          </cell>
        </row>
        <row r="432">
          <cell r="A432">
            <v>2016</v>
          </cell>
          <cell r="D432" t="str">
            <v>DIRECTION CENTRALE DE LA CHAÎNE TAMAZIGHT</v>
          </cell>
          <cell r="V432">
            <v>120000</v>
          </cell>
          <cell r="W432" t="str">
            <v>Fonctionnement</v>
          </cell>
        </row>
        <row r="433">
          <cell r="A433">
            <v>2016</v>
          </cell>
          <cell r="D433" t="str">
            <v>DIRECTION DE LA PRODUCTION ET DE LA PROGRAMMATION RADIO</v>
          </cell>
          <cell r="V433">
            <v>3571.42</v>
          </cell>
          <cell r="W433" t="str">
            <v>Fonctionnement</v>
          </cell>
        </row>
        <row r="434">
          <cell r="A434">
            <v>2016</v>
          </cell>
          <cell r="D434" t="str">
            <v>DIRECTION DE LA PRODUCTION ET DE LA PROGRAMMATION RADIO</v>
          </cell>
          <cell r="V434">
            <v>8000</v>
          </cell>
          <cell r="W434" t="str">
            <v>Fonctionnement</v>
          </cell>
        </row>
        <row r="435">
          <cell r="A435">
            <v>2016</v>
          </cell>
          <cell r="D435" t="str">
            <v>DIRECTION CENTRALE DE LA CHAÎNE ARRYADIA</v>
          </cell>
          <cell r="V435">
            <v>848337.5</v>
          </cell>
          <cell r="W435" t="str">
            <v>Fonctionnement</v>
          </cell>
        </row>
        <row r="436">
          <cell r="A436">
            <v>2016</v>
          </cell>
          <cell r="D436" t="str">
            <v>DIRECTION CENTRALE DE LA CHAÎNE ARRYADIA</v>
          </cell>
          <cell r="V436">
            <v>1504000</v>
          </cell>
          <cell r="W436" t="str">
            <v>Fonctionnement</v>
          </cell>
        </row>
        <row r="437">
          <cell r="A437">
            <v>2016</v>
          </cell>
          <cell r="D437" t="str">
            <v>DIRECTION CENTRALE DE LA CHAÎNE ARRYADIA</v>
          </cell>
          <cell r="V437">
            <v>926100</v>
          </cell>
          <cell r="W437" t="str">
            <v>Fonctionnement</v>
          </cell>
        </row>
        <row r="438">
          <cell r="A438">
            <v>2016</v>
          </cell>
          <cell r="D438" t="str">
            <v>DIRECTION CENTRALE DE LA CHAÎNE ARRYADIA</v>
          </cell>
          <cell r="V438">
            <v>1400000</v>
          </cell>
          <cell r="W438" t="str">
            <v>Fonctionnement</v>
          </cell>
        </row>
        <row r="439">
          <cell r="A439">
            <v>2016</v>
          </cell>
          <cell r="D439" t="str">
            <v>DIRECTION CENTRALE DE LA CHAÎNE ARRYADIA</v>
          </cell>
          <cell r="V439">
            <v>1560000</v>
          </cell>
          <cell r="W439" t="str">
            <v>Fonctionnement</v>
          </cell>
        </row>
        <row r="440">
          <cell r="A440">
            <v>2016</v>
          </cell>
          <cell r="D440" t="str">
            <v>DIRECTION CENTRALE DE LA CHAÎNE ARRYADIA</v>
          </cell>
          <cell r="V440">
            <v>1920000</v>
          </cell>
          <cell r="W440" t="str">
            <v>Fonctionnement</v>
          </cell>
        </row>
        <row r="441">
          <cell r="A441">
            <v>2016</v>
          </cell>
          <cell r="D441" t="str">
            <v>DIRECTION CENTRALE DE LA CHAÎNE ARRYADIA</v>
          </cell>
          <cell r="V441">
            <v>3000000</v>
          </cell>
          <cell r="W441" t="str">
            <v>Fonctionnement</v>
          </cell>
        </row>
        <row r="442">
          <cell r="A442">
            <v>2016</v>
          </cell>
          <cell r="D442" t="str">
            <v>DIRECTION CENTRALE DE LA PRODUCTION ET DE L'ANTENNE</v>
          </cell>
          <cell r="V442">
            <v>100000</v>
          </cell>
          <cell r="W442" t="str">
            <v>Fonctionnement</v>
          </cell>
        </row>
        <row r="443">
          <cell r="A443">
            <v>2016</v>
          </cell>
          <cell r="D443" t="str">
            <v>DIRECTION CENTRALE DE LA CHAÎNE TAMAZIGHT</v>
          </cell>
          <cell r="V443">
            <v>24000</v>
          </cell>
          <cell r="W443" t="str">
            <v>Fonctionnement</v>
          </cell>
        </row>
        <row r="444">
          <cell r="A444">
            <v>2016</v>
          </cell>
          <cell r="D444" t="str">
            <v>DIRECTION CENTRALE DE LA PRODUCTION ET DE L'ANTENNE</v>
          </cell>
          <cell r="V444">
            <v>70000</v>
          </cell>
          <cell r="W444" t="str">
            <v>Fonctionnement</v>
          </cell>
        </row>
        <row r="445">
          <cell r="A445">
            <v>2016</v>
          </cell>
          <cell r="D445" t="str">
            <v>DIRECTION CENTRALE DE LA PRODUCTION ET DE L'ANTENNE</v>
          </cell>
          <cell r="V445">
            <v>90000</v>
          </cell>
          <cell r="W445" t="str">
            <v>Fonctionnement</v>
          </cell>
        </row>
        <row r="446">
          <cell r="A446">
            <v>2016</v>
          </cell>
          <cell r="D446" t="str">
            <v>DIRECTION DE LA PRODUCTION ET DE LA PROGRAMMATION RADIO</v>
          </cell>
          <cell r="V446">
            <v>3571.42</v>
          </cell>
          <cell r="W446" t="str">
            <v>Fonctionnement</v>
          </cell>
        </row>
        <row r="447">
          <cell r="A447">
            <v>2016</v>
          </cell>
          <cell r="D447" t="str">
            <v>DIRECTION DE LA PRODUCTION ET DE LA PROGRAMMATION RADIO</v>
          </cell>
          <cell r="V447">
            <v>3571.42</v>
          </cell>
          <cell r="W447" t="str">
            <v>Fonctionnement</v>
          </cell>
        </row>
        <row r="448">
          <cell r="A448">
            <v>2016</v>
          </cell>
          <cell r="D448" t="str">
            <v>DIRECTION DE LA PRODUCTION ET DE LA PROGRAMMATION RADIO</v>
          </cell>
          <cell r="V448">
            <v>7142.85</v>
          </cell>
          <cell r="W448" t="str">
            <v>Fonctionnement</v>
          </cell>
        </row>
        <row r="449">
          <cell r="A449">
            <v>2016</v>
          </cell>
          <cell r="D449" t="str">
            <v>DIRECTION DE LA PRODUCTION ET DE LA PROGRAMMATION RADIO</v>
          </cell>
          <cell r="V449">
            <v>8000</v>
          </cell>
          <cell r="W449" t="str">
            <v>Fonctionnement</v>
          </cell>
        </row>
        <row r="450">
          <cell r="A450">
            <v>2016</v>
          </cell>
          <cell r="D450" t="str">
            <v>DIRECTION DE LA PRODUCTION ET DE LA PROGRAMMATION RADIO</v>
          </cell>
          <cell r="V450">
            <v>3571.42</v>
          </cell>
          <cell r="W450" t="str">
            <v>Fonctionnement</v>
          </cell>
        </row>
        <row r="451">
          <cell r="A451">
            <v>2016</v>
          </cell>
          <cell r="D451" t="str">
            <v>DIRECTION CENTRALE DE LA PRODUCTION ET DE L'ANTENNE</v>
          </cell>
          <cell r="V451">
            <v>100000</v>
          </cell>
          <cell r="W451" t="str">
            <v>Fonctionnement</v>
          </cell>
        </row>
        <row r="452">
          <cell r="A452">
            <v>2016</v>
          </cell>
          <cell r="D452" t="str">
            <v>DIRECTION CENTRALE DE LA PRODUCTION ET DE L'ANTENNE</v>
          </cell>
          <cell r="V452">
            <v>200000</v>
          </cell>
          <cell r="W452" t="str">
            <v>Fonctionnement</v>
          </cell>
        </row>
        <row r="453">
          <cell r="A453">
            <v>2016</v>
          </cell>
          <cell r="D453" t="str">
            <v>DIRECTION CENTRALE DE LA PRODUCTION ET DE L'ANTENNE</v>
          </cell>
          <cell r="V453">
            <v>200000</v>
          </cell>
          <cell r="W453" t="str">
            <v>Fonctionnement</v>
          </cell>
        </row>
        <row r="454">
          <cell r="A454">
            <v>2016</v>
          </cell>
          <cell r="D454" t="str">
            <v>DIRECTION CENTRALE DE LA PRODUCTION ET DE L'ANTENNE</v>
          </cell>
          <cell r="V454">
            <v>200000</v>
          </cell>
          <cell r="W454" t="str">
            <v>Fonctionnement</v>
          </cell>
        </row>
        <row r="455">
          <cell r="A455">
            <v>2016</v>
          </cell>
          <cell r="D455" t="str">
            <v>DIRECTION CENTRALE DE LA PRODUCTION ET DE L'ANTENNE</v>
          </cell>
          <cell r="V455">
            <v>120000</v>
          </cell>
          <cell r="W455" t="str">
            <v>Fonctionnement</v>
          </cell>
        </row>
        <row r="456">
          <cell r="A456">
            <v>2016</v>
          </cell>
          <cell r="D456" t="str">
            <v>DIRECTION CENTRALE DE LA PRODUCTION ET DE L'ANTENNE</v>
          </cell>
          <cell r="V456">
            <v>148800</v>
          </cell>
          <cell r="W456" t="str">
            <v>Fonctionnement</v>
          </cell>
        </row>
        <row r="457">
          <cell r="A457">
            <v>2016</v>
          </cell>
          <cell r="D457" t="str">
            <v>DIRECTION CENTRALE DE LA PRODUCTION ET DE L'ANTENNE</v>
          </cell>
          <cell r="V457">
            <v>18000</v>
          </cell>
          <cell r="W457" t="str">
            <v>Fonctionnement</v>
          </cell>
        </row>
        <row r="458">
          <cell r="A458">
            <v>2016</v>
          </cell>
          <cell r="D458" t="str">
            <v>DIRECTION CENTRALE DE LA PRODUCTION ET DE L'ANTENNE</v>
          </cell>
          <cell r="V458">
            <v>10000</v>
          </cell>
          <cell r="W458" t="str">
            <v>Fonctionnement</v>
          </cell>
        </row>
        <row r="459">
          <cell r="A459">
            <v>2016</v>
          </cell>
          <cell r="D459" t="str">
            <v>DIRECTION CENTRALE DE LA PRODUCTION ET DE L'ANTENNE</v>
          </cell>
          <cell r="V459">
            <v>25000</v>
          </cell>
          <cell r="W459" t="str">
            <v>Fonctionnement</v>
          </cell>
        </row>
        <row r="460">
          <cell r="A460">
            <v>2016</v>
          </cell>
          <cell r="D460" t="str">
            <v>DIRECTION CENTRALE DE LA PRODUCTION ET DE L'ANTENNE</v>
          </cell>
          <cell r="V460">
            <v>20000</v>
          </cell>
          <cell r="W460" t="str">
            <v>Fonctionnement</v>
          </cell>
        </row>
        <row r="461">
          <cell r="A461">
            <v>2016</v>
          </cell>
          <cell r="D461" t="str">
            <v>DIRECTION CENTRALE DE LA PRODUCTION ET DE L'ANTENNE</v>
          </cell>
          <cell r="V461">
            <v>10000</v>
          </cell>
          <cell r="W461" t="str">
            <v>Fonctionnement</v>
          </cell>
        </row>
        <row r="462">
          <cell r="A462">
            <v>2016</v>
          </cell>
          <cell r="D462" t="str">
            <v>DIRECTION CENTRALE DE LA PRODUCTION ET DE L'ANTENNE</v>
          </cell>
          <cell r="V462">
            <v>20000</v>
          </cell>
          <cell r="W462" t="str">
            <v>Fonctionnement</v>
          </cell>
        </row>
        <row r="463">
          <cell r="A463">
            <v>2016</v>
          </cell>
          <cell r="D463" t="str">
            <v>DIRECTION CENTRALE DE LA PRODUCTION ET DE L'ANTENNE</v>
          </cell>
          <cell r="V463">
            <v>70000</v>
          </cell>
          <cell r="W463" t="str">
            <v>Fonctionnement</v>
          </cell>
        </row>
        <row r="464">
          <cell r="A464">
            <v>2016</v>
          </cell>
          <cell r="D464" t="str">
            <v>DIRECTION CENTRALE DE LA PRODUCTION ET DE L'ANTENNE</v>
          </cell>
          <cell r="V464">
            <v>15000</v>
          </cell>
          <cell r="W464" t="str">
            <v>Fonctionnement</v>
          </cell>
        </row>
        <row r="465">
          <cell r="A465">
            <v>2016</v>
          </cell>
          <cell r="D465" t="str">
            <v>DIRECTION CENTRALE DE LA PRODUCTION ET DE L'ANTENNE</v>
          </cell>
          <cell r="V465">
            <v>13000</v>
          </cell>
          <cell r="W465" t="str">
            <v>Fonctionnement</v>
          </cell>
        </row>
        <row r="466">
          <cell r="A466">
            <v>2016</v>
          </cell>
          <cell r="D466" t="str">
            <v>DIRECTION CENTRALE DE LA PRODUCTION ET DE L'ANTENNE</v>
          </cell>
          <cell r="V466">
            <v>15000</v>
          </cell>
          <cell r="W466" t="str">
            <v>Fonctionnement</v>
          </cell>
        </row>
        <row r="467">
          <cell r="A467">
            <v>2016</v>
          </cell>
          <cell r="D467" t="str">
            <v>DIRECTION CENTRALE DE LA PRODUCTION ET DE L'ANTENNE</v>
          </cell>
          <cell r="V467">
            <v>20000</v>
          </cell>
          <cell r="W467" t="str">
            <v>Fonctionnement</v>
          </cell>
        </row>
        <row r="468">
          <cell r="A468">
            <v>2016</v>
          </cell>
          <cell r="D468" t="str">
            <v>DIRECTION CENTRALE DE LA PRODUCTION ET DE L'ANTENNE</v>
          </cell>
          <cell r="V468">
            <v>40000</v>
          </cell>
          <cell r="W468" t="str">
            <v>Fonctionnement</v>
          </cell>
        </row>
        <row r="469">
          <cell r="A469">
            <v>2016</v>
          </cell>
          <cell r="D469" t="str">
            <v>DIRECTION CENTRALE DE LA PRODUCTION ET DE L'ANTENNE</v>
          </cell>
          <cell r="V469">
            <v>20000</v>
          </cell>
          <cell r="W469" t="str">
            <v>Fonctionnement</v>
          </cell>
        </row>
        <row r="470">
          <cell r="A470">
            <v>2016</v>
          </cell>
          <cell r="D470" t="str">
            <v>DIRECTION DE L’INFORMATION TV</v>
          </cell>
          <cell r="V470">
            <v>980000</v>
          </cell>
          <cell r="W470" t="str">
            <v>Fonctionnement</v>
          </cell>
        </row>
        <row r="471">
          <cell r="A471">
            <v>2016</v>
          </cell>
          <cell r="D471" t="str">
            <v>DIRECTION CENTRALE DE LA PRODUCTION ET DE L'ANTENNE</v>
          </cell>
          <cell r="V471">
            <v>10000</v>
          </cell>
          <cell r="W471" t="str">
            <v>Fonctionnement</v>
          </cell>
        </row>
        <row r="472">
          <cell r="A472">
            <v>2016</v>
          </cell>
          <cell r="D472" t="str">
            <v>DIRECTION CENTRALE DE LA PRODUCTION ET DE L'ANTENNE</v>
          </cell>
          <cell r="V472">
            <v>72000</v>
          </cell>
          <cell r="W472" t="str">
            <v>Fonctionnement</v>
          </cell>
        </row>
        <row r="473">
          <cell r="A473">
            <v>2016</v>
          </cell>
          <cell r="D473" t="str">
            <v>DIRECTION DE LA PRODUCTION ET DE LA PROGRAMMATION RADIO</v>
          </cell>
          <cell r="V473">
            <v>3571.42</v>
          </cell>
          <cell r="W473" t="str">
            <v>Fonctionnement</v>
          </cell>
        </row>
        <row r="474">
          <cell r="A474">
            <v>2016</v>
          </cell>
          <cell r="D474" t="str">
            <v>DIRECTION DE LA PRODUCTION ET DE LA PROGRAMMATION RADIO</v>
          </cell>
          <cell r="V474">
            <v>3571.42</v>
          </cell>
          <cell r="W474" t="str">
            <v>Fonctionnement</v>
          </cell>
        </row>
        <row r="475">
          <cell r="A475">
            <v>2016</v>
          </cell>
          <cell r="D475" t="str">
            <v>DIRECTION DES RESSOURCES HUMAINES</v>
          </cell>
          <cell r="V475">
            <v>392418</v>
          </cell>
          <cell r="W475" t="str">
            <v>Fonctionnement</v>
          </cell>
        </row>
        <row r="476">
          <cell r="A476">
            <v>2016</v>
          </cell>
          <cell r="D476" t="str">
            <v>DIRECTION CENTRALE DE LA CHAÎNE TAMAZIGHT</v>
          </cell>
          <cell r="V476">
            <v>7142.85</v>
          </cell>
          <cell r="W476" t="str">
            <v>Fonctionnement</v>
          </cell>
        </row>
        <row r="477">
          <cell r="A477">
            <v>2016</v>
          </cell>
          <cell r="D477" t="str">
            <v>DIRECTION CENTRALE DE LA CHAÎNE TAMAZIGHT</v>
          </cell>
          <cell r="V477">
            <v>28571.42</v>
          </cell>
          <cell r="W477" t="str">
            <v>Fonctionnement</v>
          </cell>
        </row>
        <row r="478">
          <cell r="A478">
            <v>2016</v>
          </cell>
          <cell r="D478" t="str">
            <v>DIRECTION CENTRALE DE LA CHAÎNE TAMAZIGHT</v>
          </cell>
          <cell r="V478">
            <v>28571.42</v>
          </cell>
          <cell r="W478" t="str">
            <v>Fonctionnement</v>
          </cell>
        </row>
        <row r="479">
          <cell r="A479">
            <v>2016</v>
          </cell>
          <cell r="D479" t="str">
            <v>DIRECTION CENTRALE DE LA CHAÎNE TAMAZIGHT</v>
          </cell>
          <cell r="V479">
            <v>7142.85</v>
          </cell>
          <cell r="W479" t="str">
            <v>Fonctionnement</v>
          </cell>
        </row>
        <row r="480">
          <cell r="A480">
            <v>2016</v>
          </cell>
          <cell r="D480" t="str">
            <v>DIRECTION CENTRALE DE LA CHAÎNE TAMAZIGHT</v>
          </cell>
          <cell r="V480">
            <v>28471.42</v>
          </cell>
          <cell r="W480" t="str">
            <v>Fonctionnement</v>
          </cell>
        </row>
        <row r="481">
          <cell r="A481">
            <v>2016</v>
          </cell>
          <cell r="D481" t="str">
            <v>DIRECTION CENTRALE DE LA CHAÎNE TAMAZIGHT</v>
          </cell>
          <cell r="V481">
            <v>7142.85</v>
          </cell>
          <cell r="W481" t="str">
            <v>Fonctionnement</v>
          </cell>
        </row>
        <row r="482">
          <cell r="A482">
            <v>2016</v>
          </cell>
          <cell r="D482" t="str">
            <v>DIRECTION CENTRALE DE LA CHAÎNE TAMAZIGHT</v>
          </cell>
          <cell r="V482">
            <v>28571.42</v>
          </cell>
          <cell r="W482" t="str">
            <v>Fonctionnement</v>
          </cell>
        </row>
        <row r="483">
          <cell r="A483">
            <v>2016</v>
          </cell>
          <cell r="D483" t="str">
            <v>DIRECTION CENTRALE DE LA CHAÎNE TAMAZIGHT</v>
          </cell>
          <cell r="V483">
            <v>3571.42</v>
          </cell>
          <cell r="W483" t="str">
            <v>Fonctionnement</v>
          </cell>
        </row>
        <row r="484">
          <cell r="A484">
            <v>2016</v>
          </cell>
          <cell r="D484" t="str">
            <v>DIRECTION CENTRALE DE LA CHAÎNE TAMAZIGHT</v>
          </cell>
          <cell r="V484">
            <v>28571.42</v>
          </cell>
          <cell r="W484" t="str">
            <v>Fonctionnement</v>
          </cell>
        </row>
        <row r="485">
          <cell r="A485">
            <v>2016</v>
          </cell>
          <cell r="D485" t="str">
            <v>DIRECTION CENTRALE DE LA CHAÎNE TAMAZIGHT</v>
          </cell>
          <cell r="V485">
            <v>7142.85</v>
          </cell>
          <cell r="W485" t="str">
            <v>Fonctionnement</v>
          </cell>
        </row>
        <row r="486">
          <cell r="A486">
            <v>2016</v>
          </cell>
          <cell r="D486" t="str">
            <v>DIRECTION CENTRALE DE LA CHAÎNE TAMAZIGHT</v>
          </cell>
          <cell r="V486">
            <v>28571.42</v>
          </cell>
          <cell r="W486" t="str">
            <v>Fonctionnement</v>
          </cell>
        </row>
        <row r="487">
          <cell r="A487">
            <v>2016</v>
          </cell>
          <cell r="D487" t="str">
            <v>DIRECTION CENTRALE DE LA CHAÎNE TAMAZIGHT</v>
          </cell>
          <cell r="V487">
            <v>3571.42</v>
          </cell>
          <cell r="W487" t="str">
            <v>Fonctionnement</v>
          </cell>
        </row>
        <row r="488">
          <cell r="A488">
            <v>2016</v>
          </cell>
          <cell r="D488" t="str">
            <v>DIRECTION CENTRALE DE LA CHAÎNE TAMAZIGHT</v>
          </cell>
          <cell r="V488">
            <v>7142.85</v>
          </cell>
          <cell r="W488" t="str">
            <v>Fonctionnement</v>
          </cell>
        </row>
        <row r="489">
          <cell r="A489">
            <v>2016</v>
          </cell>
          <cell r="D489" t="str">
            <v>DIRECTION CENTRALE DE LA CHAÎNE TAMAZIGHT</v>
          </cell>
          <cell r="V489">
            <v>7142.85</v>
          </cell>
          <cell r="W489" t="str">
            <v>Fonctionnement</v>
          </cell>
        </row>
        <row r="490">
          <cell r="A490">
            <v>2016</v>
          </cell>
          <cell r="D490" t="str">
            <v>DIRECTION CENTRALE DE LA CHAÎNE TAMAZIGHT</v>
          </cell>
          <cell r="V490">
            <v>7142.85</v>
          </cell>
          <cell r="W490" t="str">
            <v>Fonctionnement</v>
          </cell>
        </row>
        <row r="491">
          <cell r="A491">
            <v>2016</v>
          </cell>
          <cell r="D491" t="str">
            <v>DIRECTION CENTRALE DE LA CHAÎNE TAMAZIGHT</v>
          </cell>
          <cell r="V491">
            <v>7142.85</v>
          </cell>
          <cell r="W491" t="str">
            <v>Fonctionnement</v>
          </cell>
        </row>
        <row r="492">
          <cell r="A492">
            <v>2016</v>
          </cell>
          <cell r="D492" t="str">
            <v>DIRECTION CENTRALE DE LA CHAÎNE TAMAZIGHT</v>
          </cell>
          <cell r="V492">
            <v>7142.85</v>
          </cell>
          <cell r="W492" t="str">
            <v>Fonctionnement</v>
          </cell>
        </row>
        <row r="493">
          <cell r="A493">
            <v>2016</v>
          </cell>
          <cell r="D493" t="str">
            <v>DIRECTION CENTRALE DE LA CHAÎNE TAMAZIGHT</v>
          </cell>
          <cell r="V493">
            <v>7142.85</v>
          </cell>
          <cell r="W493" t="str">
            <v>Fonctionnement</v>
          </cell>
        </row>
        <row r="494">
          <cell r="A494">
            <v>2016</v>
          </cell>
          <cell r="D494" t="str">
            <v>DIRECTION CENTRALE DE LA CHAÎNE TAMAZIGHT</v>
          </cell>
          <cell r="V494">
            <v>24000</v>
          </cell>
          <cell r="W494" t="str">
            <v>Fonctionnement</v>
          </cell>
        </row>
        <row r="495">
          <cell r="A495">
            <v>2016</v>
          </cell>
          <cell r="D495" t="str">
            <v>DIRECTION CENTRALE DE LA CHAÎNE TAMAZIGHT</v>
          </cell>
          <cell r="V495">
            <v>24000</v>
          </cell>
          <cell r="W495" t="str">
            <v>Fonctionnement</v>
          </cell>
        </row>
        <row r="496">
          <cell r="A496">
            <v>2016</v>
          </cell>
          <cell r="D496" t="str">
            <v>DIRECTION CENTRALE DE LA CHAÎNE TAMAZIGHT</v>
          </cell>
          <cell r="V496">
            <v>24000</v>
          </cell>
          <cell r="W496" t="str">
            <v>Fonctionnement</v>
          </cell>
        </row>
        <row r="497">
          <cell r="A497">
            <v>2016</v>
          </cell>
          <cell r="D497" t="str">
            <v>DIRECTION CENTRALE DE LA CHAÎNE TAMAZIGHT</v>
          </cell>
          <cell r="V497">
            <v>51000</v>
          </cell>
          <cell r="W497" t="str">
            <v>Fonctionnement</v>
          </cell>
        </row>
        <row r="498">
          <cell r="A498">
            <v>2016</v>
          </cell>
          <cell r="D498" t="str">
            <v>DIRECTION CENTRALE DE LA CHAÎNE TAMAZIGHT</v>
          </cell>
          <cell r="V498">
            <v>21000</v>
          </cell>
          <cell r="W498" t="str">
            <v>Fonctionnement</v>
          </cell>
        </row>
        <row r="499">
          <cell r="A499">
            <v>2016</v>
          </cell>
          <cell r="D499" t="str">
            <v>DIRECTION CENTRALE DE LA CHAÎNE TAMAZIGHT</v>
          </cell>
          <cell r="V499">
            <v>21000</v>
          </cell>
          <cell r="W499" t="str">
            <v>Fonctionnement</v>
          </cell>
        </row>
        <row r="500">
          <cell r="A500">
            <v>2016</v>
          </cell>
          <cell r="D500" t="str">
            <v>DIRECTION CENTRALE DE LA CHAÎNE TAMAZIGHT</v>
          </cell>
          <cell r="V500">
            <v>21000</v>
          </cell>
          <cell r="W500" t="str">
            <v>Fonctionnement</v>
          </cell>
        </row>
        <row r="501">
          <cell r="A501">
            <v>2016</v>
          </cell>
          <cell r="D501" t="str">
            <v>DIRECTION CENTRALE DE LA PRODUCTION ET DE L'ANTENNE</v>
          </cell>
          <cell r="V501">
            <v>1248000</v>
          </cell>
          <cell r="W501" t="str">
            <v>Fonctionnement</v>
          </cell>
        </row>
        <row r="502">
          <cell r="A502">
            <v>2016</v>
          </cell>
          <cell r="D502" t="str">
            <v>DIRECTION MARKETING ET PROGRAMATION TV</v>
          </cell>
          <cell r="V502">
            <v>200000</v>
          </cell>
          <cell r="W502" t="str">
            <v>Fonctionnement</v>
          </cell>
        </row>
        <row r="503">
          <cell r="A503">
            <v>2016</v>
          </cell>
          <cell r="D503" t="str">
            <v>DIRECTION CENTRALE DE LA PRODUCTION ET DE L'ANTENNE</v>
          </cell>
          <cell r="V503">
            <v>45000</v>
          </cell>
          <cell r="W503" t="str">
            <v>Fonctionnement</v>
          </cell>
        </row>
        <row r="504">
          <cell r="A504">
            <v>2016</v>
          </cell>
          <cell r="D504" t="str">
            <v>DIRECTION CENTRALE DE LA PRODUCTION ET DE L'ANTENNE</v>
          </cell>
          <cell r="V504">
            <v>71428.58</v>
          </cell>
          <cell r="W504" t="str">
            <v>Fonctionnement</v>
          </cell>
        </row>
        <row r="505">
          <cell r="A505">
            <v>2016</v>
          </cell>
          <cell r="D505" t="str">
            <v>DIRECTION CENTRALE DE LA PRODUCTION ET DE L'ANTENNE</v>
          </cell>
          <cell r="V505">
            <v>40000</v>
          </cell>
          <cell r="W505" t="str">
            <v>Fonctionnement</v>
          </cell>
        </row>
        <row r="506">
          <cell r="A506">
            <v>2016</v>
          </cell>
          <cell r="D506" t="str">
            <v>DIRECTION CENTRALE DE LA PRODUCTION ET DE L'ANTENNE</v>
          </cell>
          <cell r="V506">
            <v>16000</v>
          </cell>
          <cell r="W506" t="str">
            <v>Fonctionnement</v>
          </cell>
        </row>
        <row r="507">
          <cell r="A507">
            <v>2016</v>
          </cell>
          <cell r="D507" t="str">
            <v>DIRECTION CENTRALE DE LA PRODUCTION ET DE L'ANTENNE</v>
          </cell>
          <cell r="V507">
            <v>15000</v>
          </cell>
          <cell r="W507" t="str">
            <v>Fonctionnement</v>
          </cell>
        </row>
        <row r="508">
          <cell r="A508">
            <v>2016</v>
          </cell>
          <cell r="D508" t="str">
            <v>DIRECTION DE L’INFORMATION TV</v>
          </cell>
          <cell r="V508">
            <v>8571.42</v>
          </cell>
          <cell r="W508" t="str">
            <v>Fonctionnement</v>
          </cell>
        </row>
        <row r="509">
          <cell r="A509">
            <v>2016</v>
          </cell>
          <cell r="D509" t="str">
            <v>DIRECTION DE L’INFORMATION TV</v>
          </cell>
          <cell r="V509">
            <v>8571.42</v>
          </cell>
          <cell r="W509" t="str">
            <v>Fonctionnement</v>
          </cell>
        </row>
        <row r="510">
          <cell r="A510">
            <v>2016</v>
          </cell>
          <cell r="D510" t="str">
            <v>DIRECTION DE L’INFORMATION TV</v>
          </cell>
          <cell r="V510">
            <v>14285.71</v>
          </cell>
          <cell r="W510" t="str">
            <v>Fonctionnement</v>
          </cell>
        </row>
        <row r="511">
          <cell r="A511">
            <v>2016</v>
          </cell>
          <cell r="D511" t="str">
            <v>DIRECTION DE L’INFORMATION TV</v>
          </cell>
          <cell r="V511">
            <v>484000</v>
          </cell>
          <cell r="W511" t="str">
            <v>Fonctionnement</v>
          </cell>
        </row>
        <row r="512">
          <cell r="A512">
            <v>2016</v>
          </cell>
          <cell r="D512" t="str">
            <v>DIRECTION CENTRALE DE LA CHAÎNE ARRYADIA</v>
          </cell>
          <cell r="V512">
            <v>300000</v>
          </cell>
          <cell r="W512" t="str">
            <v>Fonctionnement</v>
          </cell>
        </row>
        <row r="513">
          <cell r="A513">
            <v>2017</v>
          </cell>
          <cell r="D513" t="str">
            <v>DIRECTION DE LA PRODUCTION ET DE LA PROGRAMMATION RADIO</v>
          </cell>
          <cell r="V513">
            <v>171428.52</v>
          </cell>
          <cell r="W513" t="str">
            <v>Fonctionnement</v>
          </cell>
        </row>
        <row r="514">
          <cell r="A514">
            <v>2017</v>
          </cell>
          <cell r="D514" t="str">
            <v>DIRECTION DE LA PRODUCTION ET DE LA PROGRAMMATION RADIO</v>
          </cell>
          <cell r="V514">
            <v>96000</v>
          </cell>
          <cell r="W514" t="str">
            <v>Fonctionnement</v>
          </cell>
        </row>
        <row r="515">
          <cell r="A515">
            <v>2017</v>
          </cell>
          <cell r="D515" t="str">
            <v>DIRECTION DE LA PRODUCTION ET DE LA PROGRAMMATION RADIO</v>
          </cell>
          <cell r="V515">
            <v>72000</v>
          </cell>
          <cell r="W515" t="str">
            <v>Fonctionnement</v>
          </cell>
        </row>
        <row r="516">
          <cell r="A516">
            <v>2017</v>
          </cell>
          <cell r="D516" t="str">
            <v>DIRECTION DE LA PRODUCTION ET DE LA PROGRAMMATION RADIO</v>
          </cell>
          <cell r="V516">
            <v>72000</v>
          </cell>
          <cell r="W516" t="str">
            <v>Fonctionnement</v>
          </cell>
        </row>
        <row r="517">
          <cell r="A517">
            <v>2017</v>
          </cell>
          <cell r="D517" t="str">
            <v>DIRECTION DE LA PRODUCTION ET DE LA PROGRAMMATION RADIO</v>
          </cell>
          <cell r="V517">
            <v>96000</v>
          </cell>
          <cell r="W517" t="str">
            <v>Fonctionnement</v>
          </cell>
        </row>
        <row r="518">
          <cell r="A518">
            <v>2017</v>
          </cell>
          <cell r="D518" t="str">
            <v>DIRECTION DE LA PRODUCTION ET DE LA PROGRAMMATION RADIO</v>
          </cell>
          <cell r="V518">
            <v>156000</v>
          </cell>
          <cell r="W518" t="str">
            <v>Fonctionnement</v>
          </cell>
        </row>
        <row r="519">
          <cell r="A519">
            <v>2017</v>
          </cell>
          <cell r="D519" t="str">
            <v>DIRECTION DE LA PRODUCTION ET DE LA PROGRAMMATION RADIO</v>
          </cell>
          <cell r="V519">
            <v>72000</v>
          </cell>
          <cell r="W519" t="str">
            <v>Fonctionnement</v>
          </cell>
        </row>
        <row r="520">
          <cell r="A520">
            <v>2017</v>
          </cell>
          <cell r="D520" t="str">
            <v>DIRECTION DE LA PRODUCTION ET DE LA PROGRAMMATION RADIO</v>
          </cell>
          <cell r="V520">
            <v>72000</v>
          </cell>
          <cell r="W520" t="str">
            <v>Fonctionnement</v>
          </cell>
        </row>
        <row r="521">
          <cell r="A521">
            <v>2017</v>
          </cell>
          <cell r="D521" t="str">
            <v>DIRECTION DES CHAÎNES CORANIQUES TV RADIO</v>
          </cell>
          <cell r="V521">
            <v>156000</v>
          </cell>
          <cell r="W521" t="str">
            <v>Fonctionnement</v>
          </cell>
        </row>
        <row r="522">
          <cell r="A522">
            <v>2017</v>
          </cell>
          <cell r="D522" t="str">
            <v>DIRECTION TECHNIQUE</v>
          </cell>
          <cell r="V522">
            <v>84000</v>
          </cell>
          <cell r="W522" t="str">
            <v>Fonctionnement</v>
          </cell>
        </row>
        <row r="523">
          <cell r="A523">
            <v>2017</v>
          </cell>
          <cell r="D523" t="str">
            <v>DIRECTION TECHNIQUE</v>
          </cell>
          <cell r="V523">
            <v>84000</v>
          </cell>
          <cell r="W523" t="str">
            <v>Fonctionnement</v>
          </cell>
        </row>
        <row r="524">
          <cell r="A524">
            <v>2017</v>
          </cell>
          <cell r="D524" t="str">
            <v>DIRECTION TECHNIQUE</v>
          </cell>
          <cell r="V524">
            <v>84000</v>
          </cell>
          <cell r="W524" t="str">
            <v>Fonctionnement</v>
          </cell>
        </row>
        <row r="525">
          <cell r="A525">
            <v>2017</v>
          </cell>
          <cell r="D525" t="str">
            <v>DIRECTION TECHNIQUE</v>
          </cell>
          <cell r="V525">
            <v>84000</v>
          </cell>
          <cell r="W525" t="str">
            <v>Fonctionnement</v>
          </cell>
        </row>
        <row r="526">
          <cell r="A526">
            <v>2017</v>
          </cell>
          <cell r="D526" t="str">
            <v>DIRECTION TECHNIQUE</v>
          </cell>
          <cell r="V526">
            <v>84000</v>
          </cell>
          <cell r="W526" t="str">
            <v>Fonctionnement</v>
          </cell>
        </row>
        <row r="527">
          <cell r="A527">
            <v>2017</v>
          </cell>
          <cell r="D527" t="str">
            <v>DIRECTION DE LA PRODUCTION ET DE LA PROGRAMMATION RADIO</v>
          </cell>
          <cell r="V527">
            <v>180000</v>
          </cell>
          <cell r="W527" t="str">
            <v>Fonctionnement</v>
          </cell>
        </row>
        <row r="528">
          <cell r="A528">
            <v>2017</v>
          </cell>
          <cell r="D528" t="str">
            <v>DIRECTION DE LA PRODUCTION ET DE LA PROGRAMMATION RADIO</v>
          </cell>
          <cell r="V528">
            <v>120000</v>
          </cell>
          <cell r="W528" t="str">
            <v>Fonctionnement</v>
          </cell>
        </row>
        <row r="529">
          <cell r="A529">
            <v>2017</v>
          </cell>
          <cell r="D529" t="str">
            <v>DIRECTION DE LA PRODUCTION ET DE LA PROGRAMMATION RADIO</v>
          </cell>
          <cell r="V529">
            <v>120000</v>
          </cell>
          <cell r="W529" t="str">
            <v>Fonctionnement</v>
          </cell>
        </row>
        <row r="530">
          <cell r="A530">
            <v>2017</v>
          </cell>
          <cell r="D530" t="str">
            <v>DIRECTION DE LA PRODUCTION ET DE LA PROGRAMMATION RADIO</v>
          </cell>
          <cell r="V530">
            <v>130000</v>
          </cell>
          <cell r="W530" t="str">
            <v>Fonctionnement</v>
          </cell>
        </row>
        <row r="531">
          <cell r="A531">
            <v>2017</v>
          </cell>
          <cell r="D531" t="str">
            <v>DIRECTION DE LA PRODUCTION ET DE LA PROGRAMMATION RADIO</v>
          </cell>
          <cell r="V531">
            <v>120000</v>
          </cell>
          <cell r="W531" t="str">
            <v>Fonctionnement</v>
          </cell>
        </row>
        <row r="532">
          <cell r="A532">
            <v>2017</v>
          </cell>
          <cell r="D532" t="str">
            <v>DIRECTION DE LA PRODUCTION ET DE LA PROGRAMMATION RADIO</v>
          </cell>
          <cell r="V532">
            <v>240000</v>
          </cell>
          <cell r="W532" t="str">
            <v>Fonctionnement</v>
          </cell>
        </row>
        <row r="533">
          <cell r="A533">
            <v>2017</v>
          </cell>
          <cell r="D533" t="str">
            <v>DIRECTION DE LA PRODUCTION ET DE LA PROGRAMMATION RADIO</v>
          </cell>
          <cell r="V533">
            <v>216000</v>
          </cell>
          <cell r="W533" t="str">
            <v>Fonctionnement</v>
          </cell>
        </row>
        <row r="534">
          <cell r="A534">
            <v>2017</v>
          </cell>
          <cell r="D534" t="str">
            <v>DIRECTION DE LA PRODUCTION ET DE LA PROGRAMMATION RADIO</v>
          </cell>
          <cell r="V534">
            <v>120000</v>
          </cell>
          <cell r="W534" t="str">
            <v>Fonctionnement</v>
          </cell>
        </row>
        <row r="535">
          <cell r="A535">
            <v>2017</v>
          </cell>
          <cell r="D535" t="str">
            <v>DIRECTION DE LA PRODUCTION ET DE LA PROGRAMMATION RADIO</v>
          </cell>
          <cell r="V535">
            <v>130000</v>
          </cell>
          <cell r="W535" t="str">
            <v>Fonctionnement</v>
          </cell>
        </row>
        <row r="536">
          <cell r="A536">
            <v>2017</v>
          </cell>
          <cell r="D536" t="str">
            <v>DIRECTION DE LA PRODUCTION ET DE LA PROGRAMMATION RADIO</v>
          </cell>
          <cell r="V536">
            <v>120000</v>
          </cell>
          <cell r="W536" t="str">
            <v>Fonctionnement</v>
          </cell>
        </row>
        <row r="537">
          <cell r="A537">
            <v>2017</v>
          </cell>
          <cell r="D537" t="str">
            <v>DIRECTION DE LA PRODUCTION ET DE LA PROGRAMMATION RADIO</v>
          </cell>
          <cell r="V537">
            <v>72000</v>
          </cell>
          <cell r="W537" t="str">
            <v>Fonctionnement</v>
          </cell>
        </row>
        <row r="538">
          <cell r="A538">
            <v>2017</v>
          </cell>
          <cell r="D538" t="str">
            <v>DIRECTION DE LA PRODUCTION ET DE LA PROGRAMMATION RADIO</v>
          </cell>
          <cell r="V538">
            <v>72000</v>
          </cell>
          <cell r="W538" t="str">
            <v>Fonctionnement</v>
          </cell>
        </row>
        <row r="539">
          <cell r="A539">
            <v>2017</v>
          </cell>
          <cell r="D539" t="str">
            <v>DIRECTION DE LA PRODUCTION ET DE LA PROGRAMMATION RADIO</v>
          </cell>
          <cell r="V539">
            <v>120000</v>
          </cell>
          <cell r="W539" t="str">
            <v>Fonctionnement</v>
          </cell>
        </row>
        <row r="540">
          <cell r="A540">
            <v>2017</v>
          </cell>
          <cell r="D540" t="str">
            <v>DIRECTION DE LA PRODUCTION ET DE LA PROGRAMMATION RADIO</v>
          </cell>
          <cell r="V540">
            <v>96000</v>
          </cell>
          <cell r="W540" t="str">
            <v>Fonctionnement</v>
          </cell>
        </row>
        <row r="541">
          <cell r="A541">
            <v>2017</v>
          </cell>
          <cell r="D541" t="str">
            <v>DIRECTION DE LA PRODUCTION ET DE LA PROGRAMMATION RADIO</v>
          </cell>
          <cell r="V541">
            <v>84000</v>
          </cell>
          <cell r="W541" t="str">
            <v>Fonctionnement</v>
          </cell>
        </row>
        <row r="542">
          <cell r="A542">
            <v>2017</v>
          </cell>
          <cell r="D542" t="str">
            <v>DIRECTION DE LA PRODUCTION ET DE LA PROGRAMMATION RADIO</v>
          </cell>
          <cell r="V542">
            <v>90000</v>
          </cell>
          <cell r="W542" t="str">
            <v>Fonctionnement</v>
          </cell>
        </row>
        <row r="543">
          <cell r="A543">
            <v>2017</v>
          </cell>
          <cell r="D543" t="str">
            <v>DIRECTION DE LA PRODUCTION ET DE LA PROGRAMMATION RADIO</v>
          </cell>
          <cell r="V543">
            <v>84000</v>
          </cell>
          <cell r="W543" t="str">
            <v>Fonctionnement</v>
          </cell>
        </row>
        <row r="544">
          <cell r="A544">
            <v>2017</v>
          </cell>
          <cell r="D544" t="str">
            <v>DIRECTION DE LA PRODUCTION ET DE LA PROGRAMMATION RADIO</v>
          </cell>
          <cell r="V544">
            <v>96000</v>
          </cell>
          <cell r="W544" t="str">
            <v>Fonctionnement</v>
          </cell>
        </row>
        <row r="545">
          <cell r="A545">
            <v>2017</v>
          </cell>
          <cell r="D545" t="str">
            <v>DIRECTION DE LA PRODUCTION ET DE LA PROGRAMMATION RADIO</v>
          </cell>
          <cell r="V545">
            <v>180000</v>
          </cell>
          <cell r="W545" t="str">
            <v>Fonctionnement</v>
          </cell>
        </row>
        <row r="546">
          <cell r="A546">
            <v>2017</v>
          </cell>
          <cell r="D546" t="str">
            <v>DIRECTION DE LA PRODUCTION ET DE LA PROGRAMMATION RADIO</v>
          </cell>
          <cell r="V546">
            <v>130000</v>
          </cell>
          <cell r="W546" t="str">
            <v>Fonctionnement</v>
          </cell>
        </row>
        <row r="547">
          <cell r="A547">
            <v>2017</v>
          </cell>
          <cell r="D547" t="str">
            <v>DIRECTION DE LA PRODUCTION ET DE LA PROGRAMMATION RADIO</v>
          </cell>
          <cell r="V547">
            <v>96000</v>
          </cell>
          <cell r="W547" t="str">
            <v>Fonctionnement</v>
          </cell>
        </row>
        <row r="548">
          <cell r="A548">
            <v>2017</v>
          </cell>
          <cell r="D548" t="str">
            <v>DIRECTION DE LA PRODUCTION ET DE LA PROGRAMMATION RADIO</v>
          </cell>
          <cell r="V548">
            <v>96000</v>
          </cell>
          <cell r="W548" t="str">
            <v>Fonctionnement</v>
          </cell>
        </row>
        <row r="549">
          <cell r="A549">
            <v>2017</v>
          </cell>
          <cell r="D549" t="str">
            <v>DIRECTION DE LA PRODUCTION ET DE LA PROGRAMMATION RADIO</v>
          </cell>
          <cell r="V549">
            <v>60000</v>
          </cell>
          <cell r="W549" t="str">
            <v>Fonctionnement</v>
          </cell>
        </row>
        <row r="550">
          <cell r="A550">
            <v>2017</v>
          </cell>
          <cell r="D550" t="str">
            <v>DIRECTION DE LA PRODUCTION ET DE LA PROGRAMMATION RADIO</v>
          </cell>
          <cell r="V550">
            <v>96000</v>
          </cell>
          <cell r="W550" t="str">
            <v>Fonctionnement</v>
          </cell>
        </row>
        <row r="551">
          <cell r="A551">
            <v>2017</v>
          </cell>
          <cell r="D551" t="str">
            <v>DIRECTION DE LA PRODUCTION ET DE LA PROGRAMMATION RADIO</v>
          </cell>
          <cell r="V551">
            <v>96000</v>
          </cell>
          <cell r="W551" t="str">
            <v>Fonctionnement</v>
          </cell>
        </row>
        <row r="552">
          <cell r="A552">
            <v>2017</v>
          </cell>
          <cell r="D552" t="str">
            <v>DIRECTION DE LA PRODUCTION ET DE LA PROGRAMMATION RADIO</v>
          </cell>
          <cell r="V552">
            <v>96000</v>
          </cell>
          <cell r="W552" t="str">
            <v>Fonctionnement</v>
          </cell>
        </row>
        <row r="553">
          <cell r="A553">
            <v>2017</v>
          </cell>
          <cell r="D553" t="str">
            <v>DIRECTION DE LA PRODUCTION ET DE LA PROGRAMMATION RADIO</v>
          </cell>
          <cell r="V553">
            <v>96000</v>
          </cell>
          <cell r="W553" t="str">
            <v>Fonctionnement</v>
          </cell>
        </row>
        <row r="554">
          <cell r="A554">
            <v>2017</v>
          </cell>
          <cell r="D554" t="str">
            <v>DIRECTION DE LA PRODUCTION ET DE LA PROGRAMMATION RADIO</v>
          </cell>
          <cell r="V554">
            <v>96000</v>
          </cell>
          <cell r="W554" t="str">
            <v>Fonctionnement</v>
          </cell>
        </row>
        <row r="555">
          <cell r="A555">
            <v>2017</v>
          </cell>
          <cell r="D555" t="str">
            <v>DIRECTION DE LA PRODUCTION ET DE LA PROGRAMMATION RADIO</v>
          </cell>
          <cell r="V555">
            <v>96000</v>
          </cell>
          <cell r="W555" t="str">
            <v>Fonctionnement</v>
          </cell>
        </row>
        <row r="556">
          <cell r="A556">
            <v>2017</v>
          </cell>
          <cell r="D556" t="str">
            <v>DIRECTION DE LA PRODUCTION ET DE LA PROGRAMMATION RADIO</v>
          </cell>
          <cell r="V556">
            <v>84000</v>
          </cell>
          <cell r="W556" t="str">
            <v>Fonctionnement</v>
          </cell>
        </row>
        <row r="557">
          <cell r="A557">
            <v>2017</v>
          </cell>
          <cell r="D557" t="str">
            <v>DIRECTION DE LA PRODUCTION ET DE LA PROGRAMMATION RADIO</v>
          </cell>
          <cell r="V557">
            <v>96000</v>
          </cell>
          <cell r="W557" t="str">
            <v>Fonctionnement</v>
          </cell>
        </row>
        <row r="558">
          <cell r="A558">
            <v>2017</v>
          </cell>
          <cell r="D558" t="str">
            <v>DIRECTION DE LA PRODUCTION ET DE LA PROGRAMMATION RADIO</v>
          </cell>
          <cell r="V558">
            <v>82576</v>
          </cell>
          <cell r="W558" t="str">
            <v>Fonctionnement</v>
          </cell>
        </row>
        <row r="559">
          <cell r="A559">
            <v>2017</v>
          </cell>
          <cell r="D559" t="str">
            <v>DIRECTION DE LA PRODUCTION ET DE LA PROGRAMMATION RADIO</v>
          </cell>
          <cell r="V559">
            <v>78084</v>
          </cell>
          <cell r="W559" t="str">
            <v>Fonctionnement</v>
          </cell>
        </row>
        <row r="560">
          <cell r="A560">
            <v>2017</v>
          </cell>
          <cell r="D560" t="str">
            <v>DIRECTION DE LA PRODUCTION ET DE LA PROGRAMMATION RADIO</v>
          </cell>
          <cell r="V560">
            <v>96000</v>
          </cell>
          <cell r="W560" t="str">
            <v>Fonctionnement</v>
          </cell>
        </row>
        <row r="561">
          <cell r="A561">
            <v>2017</v>
          </cell>
          <cell r="D561" t="str">
            <v>DIRECTION DE LA PRODUCTION ET DE LA PROGRAMMATION RADIO</v>
          </cell>
          <cell r="V561">
            <v>96000</v>
          </cell>
          <cell r="W561" t="str">
            <v>Fonctionnement</v>
          </cell>
        </row>
        <row r="562">
          <cell r="A562">
            <v>2017</v>
          </cell>
          <cell r="D562" t="str">
            <v>DIRECTION DE LA PRODUCTION ET DE LA PROGRAMMATION RADIO</v>
          </cell>
          <cell r="V562">
            <v>48000</v>
          </cell>
          <cell r="W562" t="str">
            <v>Fonctionnement</v>
          </cell>
        </row>
        <row r="563">
          <cell r="A563">
            <v>2017</v>
          </cell>
          <cell r="D563" t="str">
            <v>DIRECTION DE LA PRODUCTION ET DE LA PROGRAMMATION RADIO</v>
          </cell>
          <cell r="V563">
            <v>24000</v>
          </cell>
          <cell r="W563" t="str">
            <v>Fonctionnement</v>
          </cell>
        </row>
        <row r="564">
          <cell r="A564">
            <v>2017</v>
          </cell>
          <cell r="D564" t="str">
            <v>DIRECTION DE LA PRODUCTION ET DE LA PROGRAMMATION RADIO</v>
          </cell>
          <cell r="V564">
            <v>96000</v>
          </cell>
          <cell r="W564" t="str">
            <v>Fonctionnement</v>
          </cell>
        </row>
        <row r="565">
          <cell r="A565">
            <v>2017</v>
          </cell>
          <cell r="D565" t="str">
            <v>DIRECTION DE LA PRODUCTION ET DE LA PROGRAMMATION RADIO</v>
          </cell>
          <cell r="V565">
            <v>96000</v>
          </cell>
          <cell r="W565" t="str">
            <v>Fonctionnement</v>
          </cell>
        </row>
        <row r="566">
          <cell r="A566">
            <v>2017</v>
          </cell>
          <cell r="D566" t="str">
            <v>DIRECTION DE LA PRODUCTION ET DE LA PROGRAMMATION RADIO</v>
          </cell>
          <cell r="V566">
            <v>96000</v>
          </cell>
          <cell r="W566" t="str">
            <v>Fonctionnement</v>
          </cell>
        </row>
        <row r="567">
          <cell r="A567">
            <v>2017</v>
          </cell>
          <cell r="D567" t="str">
            <v>DIRECTION DE LA PRODUCTION ET DE LA PROGRAMMATION RADIO</v>
          </cell>
          <cell r="V567">
            <v>96000</v>
          </cell>
          <cell r="W567" t="str">
            <v>Fonctionnement</v>
          </cell>
        </row>
        <row r="568">
          <cell r="A568">
            <v>2017</v>
          </cell>
          <cell r="D568" t="str">
            <v>DIRECTION DE LA PRODUCTION ET DE LA PROGRAMMATION RADIO</v>
          </cell>
          <cell r="V568">
            <v>96000</v>
          </cell>
          <cell r="W568" t="str">
            <v>Fonctionnement</v>
          </cell>
        </row>
        <row r="569">
          <cell r="A569">
            <v>2017</v>
          </cell>
          <cell r="D569" t="str">
            <v>DIRECTION DE LA PRODUCTION ET DE LA PROGRAMMATION RADIO</v>
          </cell>
          <cell r="V569">
            <v>96000</v>
          </cell>
          <cell r="W569" t="str">
            <v>Fonctionnement</v>
          </cell>
        </row>
        <row r="570">
          <cell r="A570">
            <v>2017</v>
          </cell>
          <cell r="D570" t="str">
            <v>DIRECTION DE LA PRODUCTION ET DE LA PROGRAMMATION RADIO</v>
          </cell>
          <cell r="V570">
            <v>96000</v>
          </cell>
          <cell r="W570" t="str">
            <v>Fonctionnement</v>
          </cell>
        </row>
        <row r="571">
          <cell r="A571">
            <v>2017</v>
          </cell>
          <cell r="D571" t="str">
            <v>DIRECTION DE LA PRODUCTION ET DE LA PROGRAMMATION RADIO</v>
          </cell>
          <cell r="V571">
            <v>96000</v>
          </cell>
          <cell r="W571" t="str">
            <v>Fonctionnement</v>
          </cell>
        </row>
        <row r="572">
          <cell r="A572">
            <v>2017</v>
          </cell>
          <cell r="D572" t="str">
            <v>DIRECTION DE LA PRODUCTION ET DE LA PROGRAMMATION RADIO</v>
          </cell>
          <cell r="V572">
            <v>48000</v>
          </cell>
          <cell r="W572" t="str">
            <v>Fonctionnement</v>
          </cell>
        </row>
        <row r="573">
          <cell r="A573">
            <v>2017</v>
          </cell>
          <cell r="D573" t="str">
            <v>DIRECTION DE LA PRODUCTION ET DE LA PROGRAMMATION RADIO</v>
          </cell>
          <cell r="V573">
            <v>72000</v>
          </cell>
          <cell r="W573" t="str">
            <v>Fonctionnement</v>
          </cell>
        </row>
        <row r="574">
          <cell r="A574">
            <v>2017</v>
          </cell>
          <cell r="D574" t="str">
            <v>DIRECTION DE LA PRODUCTION ET DE LA PROGRAMMATION RADIO</v>
          </cell>
          <cell r="V574">
            <v>72000</v>
          </cell>
          <cell r="W574" t="str">
            <v>Fonctionnement</v>
          </cell>
        </row>
        <row r="575">
          <cell r="A575">
            <v>2017</v>
          </cell>
          <cell r="D575" t="str">
            <v>DIRECTION DE LA PRODUCTION ET DE LA PROGRAMMATION RADIO</v>
          </cell>
          <cell r="V575">
            <v>60000</v>
          </cell>
          <cell r="W575" t="str">
            <v>Fonctionnement</v>
          </cell>
        </row>
        <row r="576">
          <cell r="A576">
            <v>2017</v>
          </cell>
          <cell r="D576" t="str">
            <v>DIRECTION DE LA PRODUCTION ET DE LA PROGRAMMATION RADIO</v>
          </cell>
          <cell r="V576">
            <v>180000</v>
          </cell>
          <cell r="W576" t="str">
            <v>Fonctionnement</v>
          </cell>
        </row>
        <row r="577">
          <cell r="A577">
            <v>2017</v>
          </cell>
          <cell r="D577" t="str">
            <v>DIRECTION DE LA PRODUCTION ET DE LA PROGRAMMATION RADIO</v>
          </cell>
          <cell r="V577">
            <v>21000</v>
          </cell>
          <cell r="W577" t="str">
            <v>Fonctionnement</v>
          </cell>
        </row>
        <row r="578">
          <cell r="A578">
            <v>2017</v>
          </cell>
          <cell r="D578" t="str">
            <v>DIRECTION DE LA PRODUCTION ET DE LA PROGRAMMATION RADIO</v>
          </cell>
          <cell r="V578">
            <v>16800</v>
          </cell>
          <cell r="W578" t="str">
            <v>Fonctionnement</v>
          </cell>
        </row>
        <row r="579">
          <cell r="A579">
            <v>2017</v>
          </cell>
          <cell r="D579" t="str">
            <v>DIRECTION DE LA PRODUCTION ET DE LA PROGRAMMATION RADIO</v>
          </cell>
          <cell r="V579">
            <v>40320</v>
          </cell>
          <cell r="W579" t="str">
            <v>Fonctionnement</v>
          </cell>
        </row>
        <row r="580">
          <cell r="A580">
            <v>2017</v>
          </cell>
          <cell r="D580" t="str">
            <v>DIRECTION DE LA PRODUCTION ET DE LA PROGRAMMATION RADIO</v>
          </cell>
          <cell r="V580">
            <v>36000</v>
          </cell>
          <cell r="W580" t="str">
            <v>Fonctionnement</v>
          </cell>
        </row>
        <row r="581">
          <cell r="A581">
            <v>2017</v>
          </cell>
          <cell r="D581" t="str">
            <v>DIRECTION CENTRALE DE LA CHAÎNE TAMAZIGHT</v>
          </cell>
          <cell r="V581">
            <v>84000</v>
          </cell>
          <cell r="W581" t="str">
            <v>Fonctionnement</v>
          </cell>
        </row>
        <row r="582">
          <cell r="A582">
            <v>2017</v>
          </cell>
          <cell r="D582" t="str">
            <v>DIRECTION CENTRALE DE LA CHAÎNE TAMAZIGHT</v>
          </cell>
          <cell r="V582">
            <v>90000</v>
          </cell>
          <cell r="W582" t="str">
            <v>Fonctionnement</v>
          </cell>
        </row>
        <row r="583">
          <cell r="A583">
            <v>2017</v>
          </cell>
          <cell r="D583" t="str">
            <v>DIRECTION DE LA PRODUCTION ET DE LA PROGRAMMATION RADIO</v>
          </cell>
          <cell r="V583">
            <v>96000</v>
          </cell>
          <cell r="W583" t="str">
            <v>Fonctionnement</v>
          </cell>
        </row>
        <row r="584">
          <cell r="A584">
            <v>2017</v>
          </cell>
          <cell r="D584" t="str">
            <v>DIRECTION CENTRALE DE LA PRODUCTION ET DE L'ANTENNE</v>
          </cell>
          <cell r="V584">
            <v>20000</v>
          </cell>
          <cell r="W584" t="str">
            <v>Fonctionnement</v>
          </cell>
        </row>
        <row r="585">
          <cell r="A585">
            <v>2017</v>
          </cell>
          <cell r="D585" t="str">
            <v>DIRECTION CENTRALE DE LA PRODUCTION ET DE L'ANTENNE</v>
          </cell>
          <cell r="V585">
            <v>5000</v>
          </cell>
          <cell r="W585" t="str">
            <v>Fonctionnement</v>
          </cell>
        </row>
        <row r="586">
          <cell r="A586">
            <v>2017</v>
          </cell>
          <cell r="D586" t="str">
            <v>DIRECTION CENTRALE DE LA PRODUCTION ET DE L'ANTENNE</v>
          </cell>
          <cell r="V586">
            <v>5000</v>
          </cell>
          <cell r="W586" t="str">
            <v>Fonctionnement</v>
          </cell>
        </row>
        <row r="587">
          <cell r="A587">
            <v>2017</v>
          </cell>
          <cell r="D587" t="str">
            <v>DIRECTION CENTRALE DE LA PRODUCTION ET DE L'ANTENNE</v>
          </cell>
          <cell r="V587">
            <v>168000</v>
          </cell>
          <cell r="W587" t="str">
            <v>Fonctionnement</v>
          </cell>
        </row>
        <row r="588">
          <cell r="A588">
            <v>2017</v>
          </cell>
          <cell r="D588" t="str">
            <v>DIRECTION CENTRALE DE LA PRODUCTION ET DE L'ANTENNE</v>
          </cell>
          <cell r="V588">
            <v>15000</v>
          </cell>
          <cell r="W588" t="str">
            <v>Fonctionnement</v>
          </cell>
        </row>
        <row r="589">
          <cell r="A589">
            <v>2017</v>
          </cell>
          <cell r="D589" t="str">
            <v>DIRECTION CENTRALE DE LA PRODUCTION ET DE L'ANTENNE</v>
          </cell>
          <cell r="V589">
            <v>10000</v>
          </cell>
          <cell r="W589" t="str">
            <v>Fonctionnement</v>
          </cell>
        </row>
        <row r="590">
          <cell r="A590">
            <v>2017</v>
          </cell>
          <cell r="D590" t="str">
            <v>DIRECTION CENTRALE DE LA PRODUCTION ET DE L'ANTENNE</v>
          </cell>
          <cell r="V590">
            <v>10000</v>
          </cell>
          <cell r="W590" t="str">
            <v>Fonctionnement</v>
          </cell>
        </row>
        <row r="591">
          <cell r="A591">
            <v>2017</v>
          </cell>
          <cell r="D591" t="str">
            <v>DIRECTION CENTRALE DE LA PRODUCTION ET DE L'ANTENNE</v>
          </cell>
          <cell r="V591">
            <v>10000</v>
          </cell>
          <cell r="W591" t="str">
            <v>Fonctionnement</v>
          </cell>
        </row>
        <row r="592">
          <cell r="A592">
            <v>2017</v>
          </cell>
          <cell r="D592" t="str">
            <v>DIRECTION CENTRALE DE LA PRODUCTION ET DE L'ANTENNE</v>
          </cell>
          <cell r="V592">
            <v>10000</v>
          </cell>
          <cell r="W592" t="str">
            <v>Fonctionnement</v>
          </cell>
        </row>
        <row r="593">
          <cell r="A593">
            <v>2017</v>
          </cell>
          <cell r="D593" t="str">
            <v>DIRECTION CENTRALE DE LA PRODUCTION ET DE L'ANTENNE</v>
          </cell>
          <cell r="V593">
            <v>5000</v>
          </cell>
          <cell r="W593" t="str">
            <v>Fonctionnement</v>
          </cell>
        </row>
        <row r="594">
          <cell r="A594">
            <v>2017</v>
          </cell>
          <cell r="D594" t="str">
            <v>DIRECTION DES CHAÎNES CORANIQUES TV RADIO</v>
          </cell>
          <cell r="V594">
            <v>60000</v>
          </cell>
          <cell r="W594" t="str">
            <v>Fonctionnement</v>
          </cell>
        </row>
        <row r="595">
          <cell r="A595">
            <v>2017</v>
          </cell>
          <cell r="D595" t="str">
            <v>DIRECTION DES CHAÎNES CORANIQUES TV RADIO</v>
          </cell>
          <cell r="V595">
            <v>60000</v>
          </cell>
          <cell r="W595" t="str">
            <v>Fonctionnement</v>
          </cell>
        </row>
        <row r="596">
          <cell r="A596">
            <v>2017</v>
          </cell>
          <cell r="D596" t="str">
            <v>DIRECTION DES CHAÎNES CORANIQUES TV RADIO</v>
          </cell>
          <cell r="V596">
            <v>121700</v>
          </cell>
          <cell r="W596" t="str">
            <v>Fonctionnement</v>
          </cell>
        </row>
        <row r="597">
          <cell r="A597">
            <v>2017</v>
          </cell>
          <cell r="D597" t="str">
            <v>DIRECTION DES CHAÎNES CORANIQUES TV RADIO</v>
          </cell>
          <cell r="V597">
            <v>60000</v>
          </cell>
          <cell r="W597" t="str">
            <v>Fonctionnement</v>
          </cell>
        </row>
        <row r="598">
          <cell r="A598">
            <v>2017</v>
          </cell>
          <cell r="D598" t="str">
            <v>DIRECTION DES CHAÎNES CORANIQUES TV RADIO</v>
          </cell>
          <cell r="V598">
            <v>60000</v>
          </cell>
          <cell r="W598" t="str">
            <v>Fonctionnement</v>
          </cell>
        </row>
        <row r="599">
          <cell r="A599">
            <v>2017</v>
          </cell>
          <cell r="D599" t="str">
            <v>DIRECTION DES CHAÎNES CORANIQUES TV RADIO</v>
          </cell>
          <cell r="V599">
            <v>60000</v>
          </cell>
          <cell r="W599" t="str">
            <v>Fonctionnement</v>
          </cell>
        </row>
        <row r="600">
          <cell r="A600">
            <v>2017</v>
          </cell>
          <cell r="D600" t="str">
            <v>DIRECTION DES CHAÎNES CORANIQUES TV RADIO</v>
          </cell>
          <cell r="V600">
            <v>60000</v>
          </cell>
          <cell r="W600" t="str">
            <v>Fonctionnement</v>
          </cell>
        </row>
        <row r="601">
          <cell r="A601">
            <v>2017</v>
          </cell>
          <cell r="D601" t="str">
            <v>DIRECTION DES CHAÎNES CORANIQUES TV RADIO</v>
          </cell>
          <cell r="V601">
            <v>60000</v>
          </cell>
          <cell r="W601" t="str">
            <v>Fonctionnement</v>
          </cell>
        </row>
        <row r="602">
          <cell r="A602">
            <v>2017</v>
          </cell>
          <cell r="D602" t="str">
            <v>DIRECTION DES CHAÎNES CORANIQUES TV RADIO</v>
          </cell>
          <cell r="V602">
            <v>121700</v>
          </cell>
          <cell r="W602" t="str">
            <v>Fonctionnement</v>
          </cell>
        </row>
        <row r="603">
          <cell r="A603">
            <v>2017</v>
          </cell>
          <cell r="D603" t="str">
            <v>DIRECTION CENTRALE DE LA PRODUCTION ET DE L'ANTENNE</v>
          </cell>
          <cell r="V603">
            <v>330000</v>
          </cell>
          <cell r="W603" t="str">
            <v>Fonctionnement</v>
          </cell>
        </row>
        <row r="604">
          <cell r="A604">
            <v>2017</v>
          </cell>
          <cell r="D604" t="str">
            <v>DIRECTION CENTRALE DE LA PRODUCTION ET DE L'ANTENNE</v>
          </cell>
          <cell r="V604">
            <v>356400</v>
          </cell>
          <cell r="W604" t="str">
            <v>Fonctionnement</v>
          </cell>
        </row>
        <row r="605">
          <cell r="A605">
            <v>2017</v>
          </cell>
          <cell r="D605" t="str">
            <v>DIRECTION CENTRALE DE LA PRODUCTION ET DE L'ANTENNE</v>
          </cell>
          <cell r="V605">
            <v>180000</v>
          </cell>
          <cell r="W605" t="str">
            <v>Fonctionnement</v>
          </cell>
        </row>
        <row r="606">
          <cell r="A606">
            <v>2017</v>
          </cell>
          <cell r="D606" t="str">
            <v>DIRECTION CENTRALE DE LA PRODUCTION ET DE L'ANTENNE</v>
          </cell>
          <cell r="V606">
            <v>99000</v>
          </cell>
          <cell r="W606" t="str">
            <v>Fonctionnement</v>
          </cell>
        </row>
        <row r="607">
          <cell r="A607">
            <v>2017</v>
          </cell>
          <cell r="D607" t="str">
            <v>DIRECTION CENTRALE DE LA PRODUCTION ET DE L'ANTENNE</v>
          </cell>
          <cell r="V607">
            <v>1620828</v>
          </cell>
          <cell r="W607" t="str">
            <v>Fonctionnement</v>
          </cell>
        </row>
        <row r="608">
          <cell r="A608">
            <v>2017</v>
          </cell>
          <cell r="D608" t="str">
            <v>DIRECTION DES CHAÎNES CORANIQUES TV RADIO</v>
          </cell>
          <cell r="V608">
            <v>36400</v>
          </cell>
          <cell r="W608" t="str">
            <v>Fonctionnement</v>
          </cell>
        </row>
        <row r="609">
          <cell r="A609">
            <v>2017</v>
          </cell>
          <cell r="D609" t="str">
            <v>DIRECTION DES CHAÎNES CORANIQUES TV RADIO</v>
          </cell>
          <cell r="V609">
            <v>96000</v>
          </cell>
          <cell r="W609" t="str">
            <v>Fonctionnement</v>
          </cell>
        </row>
        <row r="610">
          <cell r="A610">
            <v>2017</v>
          </cell>
          <cell r="D610" t="str">
            <v>DIRECTION DES CHAÎNES CORANIQUES TV RADIO</v>
          </cell>
          <cell r="V610">
            <v>71600</v>
          </cell>
          <cell r="W610" t="str">
            <v>Fonctionnement</v>
          </cell>
        </row>
        <row r="611">
          <cell r="A611">
            <v>2017</v>
          </cell>
          <cell r="D611" t="str">
            <v>DIRECTION DES CHAÎNES CORANIQUES TV RADIO</v>
          </cell>
          <cell r="V611">
            <v>72000</v>
          </cell>
          <cell r="W611" t="str">
            <v>Fonctionnement</v>
          </cell>
        </row>
        <row r="612">
          <cell r="A612">
            <v>2017</v>
          </cell>
          <cell r="D612" t="str">
            <v>DIRECTION DES CHAÎNES CORANIQUES TV RADIO</v>
          </cell>
          <cell r="V612">
            <v>36000</v>
          </cell>
          <cell r="W612" t="str">
            <v>Fonctionnement</v>
          </cell>
        </row>
        <row r="613">
          <cell r="A613">
            <v>2017</v>
          </cell>
          <cell r="D613" t="str">
            <v>DIRECTION DE LA PRODUCTION ET DE LA PROGRAMMATION RADIO</v>
          </cell>
          <cell r="V613">
            <v>96000</v>
          </cell>
          <cell r="W613" t="str">
            <v>Fonctionnement</v>
          </cell>
        </row>
        <row r="614">
          <cell r="A614">
            <v>2017</v>
          </cell>
          <cell r="D614" t="str">
            <v>DIRECTION CENTRALE DE LA CHAÎNE ARRYADIA</v>
          </cell>
          <cell r="V614">
            <v>76928.08</v>
          </cell>
          <cell r="W614" t="str">
            <v>Fonctionnement</v>
          </cell>
        </row>
        <row r="615">
          <cell r="A615">
            <v>2017</v>
          </cell>
          <cell r="D615" t="str">
            <v>DIRECTION CENTRALE DE LA CHAÎNE ARRYADIA</v>
          </cell>
          <cell r="V615">
            <v>67285.179999999993</v>
          </cell>
          <cell r="W615" t="str">
            <v>Fonctionnement</v>
          </cell>
        </row>
        <row r="616">
          <cell r="A616">
            <v>2017</v>
          </cell>
          <cell r="D616" t="str">
            <v>DIRECTION CENTRALE DE LA CHAÎNE ARRYADIA</v>
          </cell>
          <cell r="V616">
            <v>67356.639999999999</v>
          </cell>
          <cell r="W616" t="str">
            <v>Fonctionnement</v>
          </cell>
        </row>
        <row r="617">
          <cell r="A617">
            <v>2017</v>
          </cell>
          <cell r="D617" t="str">
            <v>DIRECTION CENTRALE DE LA CHAÎNE ARRYADIA</v>
          </cell>
          <cell r="V617">
            <v>107142.02</v>
          </cell>
          <cell r="W617" t="str">
            <v>Fonctionnement</v>
          </cell>
        </row>
        <row r="618">
          <cell r="A618">
            <v>2017</v>
          </cell>
          <cell r="D618" t="str">
            <v>DIRECTION CENTRALE DE LA CHAÎNE ARRYADIA</v>
          </cell>
          <cell r="V618">
            <v>97427.92</v>
          </cell>
          <cell r="W618" t="str">
            <v>Fonctionnement</v>
          </cell>
        </row>
        <row r="619">
          <cell r="A619">
            <v>2017</v>
          </cell>
          <cell r="D619" t="str">
            <v>DIRECTION CENTRALE DE LA CHAÎNE ARRYADIA</v>
          </cell>
          <cell r="V619">
            <v>102856.44</v>
          </cell>
          <cell r="W619" t="str">
            <v>Fonctionnement</v>
          </cell>
        </row>
        <row r="620">
          <cell r="A620">
            <v>2017</v>
          </cell>
          <cell r="D620" t="str">
            <v>DIRECTION CENTRALE DE LA CHAÎNE ARRYADIA</v>
          </cell>
          <cell r="V620">
            <v>97499.5</v>
          </cell>
          <cell r="W620" t="str">
            <v>Fonctionnement</v>
          </cell>
        </row>
        <row r="621">
          <cell r="A621">
            <v>2017</v>
          </cell>
          <cell r="D621" t="str">
            <v>DIRECTION CENTRALE DE LA CHAÎNE ARRYADIA</v>
          </cell>
          <cell r="V621">
            <v>77213.97</v>
          </cell>
          <cell r="W621" t="str">
            <v>Fonctionnement</v>
          </cell>
        </row>
        <row r="622">
          <cell r="A622">
            <v>2017</v>
          </cell>
          <cell r="D622" t="str">
            <v>DIRECTION CENTRALE DE LA CHAÎNE ARRYADIA</v>
          </cell>
          <cell r="V622">
            <v>97427.92</v>
          </cell>
          <cell r="W622" t="str">
            <v>Fonctionnement</v>
          </cell>
        </row>
        <row r="623">
          <cell r="A623">
            <v>2017</v>
          </cell>
          <cell r="D623" t="str">
            <v>DIRECTION CENTRALE DE LA CHAÎNE ARRYADIA</v>
          </cell>
          <cell r="V623">
            <v>84856.62</v>
          </cell>
          <cell r="W623" t="str">
            <v>Fonctionnement</v>
          </cell>
        </row>
        <row r="624">
          <cell r="A624">
            <v>2017</v>
          </cell>
          <cell r="D624" t="str">
            <v>DIRECTION CENTRALE DE LA CHAÎNE ARRYADIA</v>
          </cell>
          <cell r="V624">
            <v>67142.399999999994</v>
          </cell>
          <cell r="W624" t="str">
            <v>Fonctionnement</v>
          </cell>
        </row>
        <row r="625">
          <cell r="A625">
            <v>2017</v>
          </cell>
          <cell r="D625" t="str">
            <v>DIRECTION CENTRALE DE LA CHAÎNE ARRYADIA</v>
          </cell>
          <cell r="V625">
            <v>77142.38</v>
          </cell>
          <cell r="W625" t="str">
            <v>Fonctionnement</v>
          </cell>
        </row>
        <row r="626">
          <cell r="A626">
            <v>2017</v>
          </cell>
          <cell r="D626" t="str">
            <v>DIRECTION CENTRALE DE LA CHAÎNE ARRYADIA</v>
          </cell>
          <cell r="V626">
            <v>171360</v>
          </cell>
          <cell r="W626" t="str">
            <v>Fonctionnement</v>
          </cell>
        </row>
        <row r="627">
          <cell r="A627">
            <v>2017</v>
          </cell>
          <cell r="D627" t="str">
            <v>DIRECTION CENTRALE DE LA CHAÎNE ARRYADIA</v>
          </cell>
          <cell r="V627">
            <v>97427.92</v>
          </cell>
          <cell r="W627" t="str">
            <v>Fonctionnement</v>
          </cell>
        </row>
        <row r="628">
          <cell r="A628">
            <v>2017</v>
          </cell>
          <cell r="D628" t="str">
            <v>DIRECTION CENTRALE DE LA CHAÎNE ARRYADIA</v>
          </cell>
          <cell r="V628">
            <v>97142.14</v>
          </cell>
          <cell r="W628" t="str">
            <v>Fonctionnement</v>
          </cell>
        </row>
        <row r="629">
          <cell r="A629">
            <v>2017</v>
          </cell>
          <cell r="D629" t="str">
            <v>DIRECTION CENTRALE DE LA CHAÎNE ARRYADIA</v>
          </cell>
          <cell r="V629">
            <v>97356.76</v>
          </cell>
          <cell r="W629" t="str">
            <v>Fonctionnement</v>
          </cell>
        </row>
        <row r="630">
          <cell r="A630">
            <v>2017</v>
          </cell>
          <cell r="D630" t="str">
            <v>DIRECTION CENTRALE DE LA CHAÎNE ARRYADIA</v>
          </cell>
          <cell r="V630">
            <v>135000</v>
          </cell>
          <cell r="W630" t="str">
            <v>Fonctionnement</v>
          </cell>
        </row>
        <row r="631">
          <cell r="A631">
            <v>2017</v>
          </cell>
          <cell r="D631" t="str">
            <v>DIRECTION CENTRALE DE LA CHAÎNE ARRYADIA</v>
          </cell>
          <cell r="V631">
            <v>171213.38</v>
          </cell>
          <cell r="W631" t="str">
            <v>Fonctionnement</v>
          </cell>
        </row>
        <row r="632">
          <cell r="A632">
            <v>2017</v>
          </cell>
          <cell r="D632" t="str">
            <v>DIRECTION CENTRALE DE LA CHAÎNE ARRYADIA</v>
          </cell>
          <cell r="V632">
            <v>97285.08</v>
          </cell>
          <cell r="W632" t="str">
            <v>Fonctionnement</v>
          </cell>
        </row>
        <row r="633">
          <cell r="A633">
            <v>2017</v>
          </cell>
          <cell r="D633" t="str">
            <v>DIRECTION CENTRALE DE LA CHAÎNE ARRYADIA</v>
          </cell>
          <cell r="V633">
            <v>97285.28</v>
          </cell>
          <cell r="W633" t="str">
            <v>Fonctionnement</v>
          </cell>
        </row>
        <row r="634">
          <cell r="A634">
            <v>2017</v>
          </cell>
          <cell r="D634" t="str">
            <v>DIRECTION CENTRALE DE LA CHAÎNE ARRYADIA</v>
          </cell>
          <cell r="V634">
            <v>97427.92</v>
          </cell>
          <cell r="W634" t="str">
            <v>Fonctionnement</v>
          </cell>
        </row>
        <row r="635">
          <cell r="A635">
            <v>2017</v>
          </cell>
          <cell r="D635" t="str">
            <v>DIRECTION CENTRALE DE LA CHAÎNE ARRYADIA</v>
          </cell>
          <cell r="V635">
            <v>97427.92</v>
          </cell>
          <cell r="W635" t="str">
            <v>Fonctionnement</v>
          </cell>
        </row>
        <row r="636">
          <cell r="A636">
            <v>2017</v>
          </cell>
          <cell r="D636" t="str">
            <v>DIRECTION CENTRALE DE LA CHAÎNE TAMAZIGHT</v>
          </cell>
          <cell r="V636">
            <v>84000</v>
          </cell>
          <cell r="W636" t="str">
            <v>Fonctionnement</v>
          </cell>
        </row>
        <row r="637">
          <cell r="A637">
            <v>2017</v>
          </cell>
          <cell r="D637" t="str">
            <v>DIRECTION CENTRALE DE LA CHAÎNE TAMAZIGHT</v>
          </cell>
          <cell r="V637">
            <v>84000</v>
          </cell>
          <cell r="W637" t="str">
            <v>Fonctionnement</v>
          </cell>
        </row>
        <row r="638">
          <cell r="A638">
            <v>2017</v>
          </cell>
          <cell r="D638" t="str">
            <v>DIRECTION CENTRALE DE LA CHAÎNE ARRYADIA</v>
          </cell>
          <cell r="V638">
            <v>67142</v>
          </cell>
          <cell r="W638" t="str">
            <v>Fonctionnement</v>
          </cell>
        </row>
        <row r="639">
          <cell r="A639">
            <v>2017</v>
          </cell>
          <cell r="D639" t="str">
            <v>DIRECTION CENTRALE DE LA CHAÎNE ARRYADIA</v>
          </cell>
          <cell r="V639">
            <v>97499.5</v>
          </cell>
          <cell r="W639" t="str">
            <v>Fonctionnement</v>
          </cell>
        </row>
        <row r="640">
          <cell r="A640">
            <v>2017</v>
          </cell>
          <cell r="D640" t="str">
            <v>DIRECTION CENTRALE DE LA CHAÎNE ARRYADIA</v>
          </cell>
          <cell r="V640">
            <v>48571.38</v>
          </cell>
          <cell r="W640" t="str">
            <v>Fonctionnement</v>
          </cell>
        </row>
        <row r="641">
          <cell r="A641">
            <v>2017</v>
          </cell>
          <cell r="D641" t="str">
            <v>DIRECTION CENTRALE DE LA CHAÎNE ARRYADIA</v>
          </cell>
          <cell r="V641">
            <v>51428.4</v>
          </cell>
          <cell r="W641" t="str">
            <v>Fonctionnement</v>
          </cell>
        </row>
        <row r="642">
          <cell r="A642">
            <v>2017</v>
          </cell>
          <cell r="D642" t="str">
            <v>DIRECTION CENTRALE DE LA CHAÎNE ARRYADIA</v>
          </cell>
          <cell r="V642">
            <v>97427.92</v>
          </cell>
          <cell r="W642" t="str">
            <v>Fonctionnement</v>
          </cell>
        </row>
        <row r="643">
          <cell r="A643">
            <v>2017</v>
          </cell>
          <cell r="D643" t="str">
            <v>DIRECTION CENTRALE DE LA CHAÎNE ARRYADIA</v>
          </cell>
          <cell r="V643">
            <v>97142.3</v>
          </cell>
          <cell r="W643" t="str">
            <v>Fonctionnement</v>
          </cell>
        </row>
        <row r="644">
          <cell r="A644">
            <v>2017</v>
          </cell>
          <cell r="D644" t="str">
            <v>DIRECTION CENTRALE DE LA CHAÎNE ARRYADIA</v>
          </cell>
          <cell r="V644">
            <v>97356.76</v>
          </cell>
          <cell r="W644" t="str">
            <v>Fonctionnement</v>
          </cell>
        </row>
        <row r="645">
          <cell r="A645">
            <v>2017</v>
          </cell>
          <cell r="D645" t="str">
            <v>DIRECTION CENTRALE DE LA CHAÎNE ARRYADIA</v>
          </cell>
          <cell r="V645">
            <v>360000</v>
          </cell>
          <cell r="W645" t="str">
            <v>Fonctionnement</v>
          </cell>
        </row>
        <row r="646">
          <cell r="A646">
            <v>2017</v>
          </cell>
          <cell r="D646" t="str">
            <v>DIRECTION CENTRALE DE LA CHAÎNE ARRYADIA</v>
          </cell>
          <cell r="V646">
            <v>97285.08</v>
          </cell>
          <cell r="W646" t="str">
            <v>Fonctionnement</v>
          </cell>
        </row>
        <row r="647">
          <cell r="A647">
            <v>2017</v>
          </cell>
          <cell r="D647" t="str">
            <v>DIRECTION CENTRALE DE LA CHAÎNE ARRYADIA</v>
          </cell>
          <cell r="V647">
            <v>240000</v>
          </cell>
          <cell r="W647" t="str">
            <v>Fonctionnement</v>
          </cell>
        </row>
        <row r="648">
          <cell r="A648">
            <v>2017</v>
          </cell>
          <cell r="D648" t="str">
            <v>DIRECTION CENTRALE DE LA CHAÎNE ARRYADIA</v>
          </cell>
          <cell r="V648">
            <v>156000</v>
          </cell>
          <cell r="W648" t="str">
            <v>Fonctionnement</v>
          </cell>
        </row>
        <row r="649">
          <cell r="A649">
            <v>2017</v>
          </cell>
          <cell r="D649" t="str">
            <v>DIRECTION CENTRALE DE LA CHAÎNE ARRYADIA</v>
          </cell>
          <cell r="V649">
            <v>85356.62</v>
          </cell>
          <cell r="W649" t="str">
            <v>Fonctionnement</v>
          </cell>
        </row>
        <row r="650">
          <cell r="A650">
            <v>2017</v>
          </cell>
          <cell r="D650" t="str">
            <v>DIRECTION CENTRALE DE LA CHAÎNE ARRYADIA</v>
          </cell>
          <cell r="V650">
            <v>42500</v>
          </cell>
          <cell r="W650" t="str">
            <v>Fonctionnement</v>
          </cell>
        </row>
        <row r="651">
          <cell r="A651">
            <v>2017</v>
          </cell>
          <cell r="D651" t="str">
            <v>DIRECTION CENTRALE DE LA CHAÎNE ARRYADIA</v>
          </cell>
          <cell r="V651">
            <v>60000</v>
          </cell>
          <cell r="W651" t="str">
            <v>Fonctionnement</v>
          </cell>
        </row>
        <row r="652">
          <cell r="A652">
            <v>2017</v>
          </cell>
          <cell r="D652" t="str">
            <v>DIRECTION CENTRALE DE LA CHAÎNE ARRYADIA</v>
          </cell>
          <cell r="V652">
            <v>49000</v>
          </cell>
          <cell r="W652" t="str">
            <v>Fonctionnement</v>
          </cell>
        </row>
        <row r="653">
          <cell r="A653">
            <v>2017</v>
          </cell>
          <cell r="D653" t="str">
            <v>DIRECTION CENTRALE DE LA CHAÎNE ARRYADIA</v>
          </cell>
          <cell r="V653">
            <v>240000</v>
          </cell>
          <cell r="W653" t="str">
            <v>Fonctionnement</v>
          </cell>
        </row>
        <row r="654">
          <cell r="A654">
            <v>2017</v>
          </cell>
          <cell r="D654" t="str">
            <v>DIRECTION CENTRALE DE LA CHAÎNE ARRYADIA</v>
          </cell>
          <cell r="V654">
            <v>90000</v>
          </cell>
          <cell r="W654" t="str">
            <v>Fonctionnement</v>
          </cell>
        </row>
        <row r="655">
          <cell r="A655">
            <v>2017</v>
          </cell>
          <cell r="D655" t="str">
            <v>DIRECTION CENTRALE DE LA CHAÎNE ARRYADIA</v>
          </cell>
          <cell r="V655">
            <v>84285.2</v>
          </cell>
          <cell r="W655" t="str">
            <v>Fonctionnement</v>
          </cell>
        </row>
        <row r="656">
          <cell r="A656">
            <v>2017</v>
          </cell>
          <cell r="D656" t="str">
            <v>DIRECTION CENTRALE DE LA CHAÎNE ARRYADIA</v>
          </cell>
          <cell r="V656">
            <v>65142.38</v>
          </cell>
          <cell r="W656" t="str">
            <v>Fonctionnement</v>
          </cell>
        </row>
        <row r="657">
          <cell r="A657">
            <v>2017</v>
          </cell>
          <cell r="D657" t="str">
            <v>DIRECTION CENTRALE DE LA CHAÎNE ARRYADIA</v>
          </cell>
          <cell r="V657">
            <v>67285.179999999993</v>
          </cell>
          <cell r="W657" t="str">
            <v>Fonctionnement</v>
          </cell>
        </row>
        <row r="658">
          <cell r="A658">
            <v>2017</v>
          </cell>
          <cell r="D658" t="str">
            <v>DIRECTION CENTRALE DE LA CHAÎNE ARRYADIA</v>
          </cell>
          <cell r="V658">
            <v>150000</v>
          </cell>
          <cell r="W658" t="str">
            <v>Fonctionnement</v>
          </cell>
        </row>
        <row r="659">
          <cell r="A659">
            <v>2017</v>
          </cell>
          <cell r="D659" t="str">
            <v>DIRECTION CENTRALE DE LA CHAÎNE ARRYADIA</v>
          </cell>
          <cell r="V659">
            <v>67356.639999999999</v>
          </cell>
          <cell r="W659" t="str">
            <v>Fonctionnement</v>
          </cell>
        </row>
        <row r="660">
          <cell r="A660">
            <v>2017</v>
          </cell>
          <cell r="D660" t="str">
            <v>DIRECTION CENTRALE DE LA CHAÎNE ARRYADIA</v>
          </cell>
          <cell r="V660">
            <v>150000</v>
          </cell>
          <cell r="W660" t="str">
            <v>Fonctionnement</v>
          </cell>
        </row>
        <row r="661">
          <cell r="A661">
            <v>2017</v>
          </cell>
          <cell r="D661" t="str">
            <v>DIRECTION CENTRALE DE LA CHAÎNE ARRYADIA</v>
          </cell>
          <cell r="V661">
            <v>70000</v>
          </cell>
          <cell r="W661" t="str">
            <v>Fonctionnement</v>
          </cell>
        </row>
        <row r="662">
          <cell r="A662">
            <v>2017</v>
          </cell>
          <cell r="D662" t="str">
            <v>DIRECTION CENTRALE DE LA PRODUCTION ET DE L'ANTENNE</v>
          </cell>
          <cell r="V662">
            <v>672000</v>
          </cell>
          <cell r="W662" t="str">
            <v>Fonctionnement</v>
          </cell>
        </row>
        <row r="663">
          <cell r="A663">
            <v>2017</v>
          </cell>
          <cell r="D663" t="str">
            <v>DIRECTION CENTRALE DE LA CHAÎNE TAMAZIGHT</v>
          </cell>
          <cell r="V663">
            <v>96000</v>
          </cell>
          <cell r="W663" t="str">
            <v>Fonctionnement</v>
          </cell>
        </row>
        <row r="664">
          <cell r="A664">
            <v>2017</v>
          </cell>
          <cell r="D664" t="str">
            <v>DIRECTION CENTRALE DE LA CHAÎNE TAMAZIGHT</v>
          </cell>
          <cell r="V664">
            <v>96000</v>
          </cell>
          <cell r="W664" t="str">
            <v>Fonctionnement</v>
          </cell>
        </row>
        <row r="665">
          <cell r="A665">
            <v>2017</v>
          </cell>
          <cell r="D665" t="str">
            <v>DIRECTION CENTRALE DE LA CHAÎNE TAMAZIGHT</v>
          </cell>
          <cell r="V665">
            <v>96000</v>
          </cell>
          <cell r="W665" t="str">
            <v>Fonctionnement</v>
          </cell>
        </row>
        <row r="666">
          <cell r="A666">
            <v>2017</v>
          </cell>
          <cell r="D666" t="str">
            <v>DIRECTION CENTRALE DE LA CHAÎNE TAMAZIGHT</v>
          </cell>
          <cell r="V666">
            <v>96000</v>
          </cell>
          <cell r="W666" t="str">
            <v>Fonctionnement</v>
          </cell>
        </row>
        <row r="667">
          <cell r="A667">
            <v>2017</v>
          </cell>
          <cell r="D667" t="str">
            <v>DIRECTION CENTRALE DE LA CHAÎNE TAMAZIGHT</v>
          </cell>
          <cell r="V667">
            <v>96000</v>
          </cell>
          <cell r="W667" t="str">
            <v>Fonctionnement</v>
          </cell>
        </row>
        <row r="668">
          <cell r="A668">
            <v>2017</v>
          </cell>
          <cell r="D668" t="str">
            <v>DIRECTION CENTRALE DE LA CHAÎNE TAMAZIGHT</v>
          </cell>
          <cell r="V668">
            <v>96000</v>
          </cell>
          <cell r="W668" t="str">
            <v>Fonctionnement</v>
          </cell>
        </row>
        <row r="669">
          <cell r="A669">
            <v>2017</v>
          </cell>
          <cell r="D669" t="str">
            <v>DIRECTION CENTRALE DE LA CHAÎNE TAMAZIGHT</v>
          </cell>
          <cell r="V669">
            <v>96000</v>
          </cell>
          <cell r="W669" t="str">
            <v>Fonctionnement</v>
          </cell>
        </row>
        <row r="670">
          <cell r="A670">
            <v>2017</v>
          </cell>
          <cell r="D670" t="str">
            <v>DIRECTION CENTRALE DE LA CHAÎNE TAMAZIGHT</v>
          </cell>
          <cell r="V670">
            <v>132000</v>
          </cell>
          <cell r="W670" t="str">
            <v>Fonctionnement</v>
          </cell>
        </row>
        <row r="671">
          <cell r="A671">
            <v>2017</v>
          </cell>
          <cell r="D671" t="str">
            <v>DIRECTION CENTRALE DE LA CHAÎNE TAMAZIGHT</v>
          </cell>
          <cell r="V671">
            <v>96000</v>
          </cell>
          <cell r="W671" t="str">
            <v>Fonctionnement</v>
          </cell>
        </row>
        <row r="672">
          <cell r="A672">
            <v>2017</v>
          </cell>
          <cell r="D672" t="str">
            <v>DIRECTION CENTRALE DE LA CHAÎNE TAMAZIGHT</v>
          </cell>
          <cell r="V672">
            <v>96000</v>
          </cell>
          <cell r="W672" t="str">
            <v>Fonctionnement</v>
          </cell>
        </row>
        <row r="673">
          <cell r="A673">
            <v>2017</v>
          </cell>
          <cell r="D673" t="str">
            <v>DIRECTION CENTRALE DE LA CHAÎNE TAMAZIGHT</v>
          </cell>
          <cell r="V673">
            <v>71400</v>
          </cell>
          <cell r="W673" t="str">
            <v>Fonctionnement</v>
          </cell>
        </row>
        <row r="674">
          <cell r="A674">
            <v>2017</v>
          </cell>
          <cell r="D674" t="str">
            <v>DIRECTION CENTRALE DE LA CHAÎNE TAMAZIGHT</v>
          </cell>
          <cell r="V674">
            <v>96000</v>
          </cell>
          <cell r="W674" t="str">
            <v>Fonctionnement</v>
          </cell>
        </row>
        <row r="675">
          <cell r="A675">
            <v>2017</v>
          </cell>
          <cell r="D675" t="str">
            <v>DIRECTION CENTRALE DE LA CHAÎNE TAMAZIGHT</v>
          </cell>
          <cell r="V675">
            <v>71400</v>
          </cell>
          <cell r="W675" t="str">
            <v>Fonctionnement</v>
          </cell>
        </row>
        <row r="676">
          <cell r="A676">
            <v>2017</v>
          </cell>
          <cell r="D676" t="str">
            <v>DIRECTION DES CHAÎNES CORANIQUES TV RADIO</v>
          </cell>
          <cell r="V676">
            <v>290000</v>
          </cell>
          <cell r="W676" t="str">
            <v>Fonctionnement</v>
          </cell>
        </row>
        <row r="677">
          <cell r="A677">
            <v>2017</v>
          </cell>
          <cell r="D677" t="str">
            <v>DIRECTION DES CHAÎNES CORANIQUES TV RADIO</v>
          </cell>
          <cell r="V677">
            <v>148000</v>
          </cell>
          <cell r="W677" t="str">
            <v>Fonctionnement</v>
          </cell>
        </row>
        <row r="678">
          <cell r="A678">
            <v>2017</v>
          </cell>
          <cell r="D678" t="str">
            <v>DIRECTION DES CHAÎNES CORANIQUES TV RADIO</v>
          </cell>
          <cell r="V678">
            <v>36400</v>
          </cell>
          <cell r="W678" t="str">
            <v>Fonctionnement</v>
          </cell>
        </row>
        <row r="679">
          <cell r="A679">
            <v>2017</v>
          </cell>
          <cell r="D679" t="str">
            <v>DIRECTION DES CHAÎNES CORANIQUES TV RADIO</v>
          </cell>
          <cell r="V679">
            <v>51600</v>
          </cell>
          <cell r="W679" t="str">
            <v>Fonctionnement</v>
          </cell>
        </row>
        <row r="680">
          <cell r="A680">
            <v>2017</v>
          </cell>
          <cell r="D680" t="str">
            <v>DIRECTION DES CHAÎNES CORANIQUES TV RADIO</v>
          </cell>
          <cell r="V680">
            <v>36400</v>
          </cell>
          <cell r="W680" t="str">
            <v>Fonctionnement</v>
          </cell>
        </row>
        <row r="681">
          <cell r="A681">
            <v>2017</v>
          </cell>
          <cell r="D681" t="str">
            <v>DIRECTION CENTRALE DE LA CHAÎNE TAMAZIGHT</v>
          </cell>
          <cell r="V681">
            <v>312000</v>
          </cell>
          <cell r="W681" t="str">
            <v>Fonctionnement</v>
          </cell>
        </row>
        <row r="682">
          <cell r="A682">
            <v>2017</v>
          </cell>
          <cell r="D682" t="str">
            <v>DIRECTION CENTRALE DE LA CHAÎNE TAMAZIGHT</v>
          </cell>
          <cell r="V682">
            <v>7142.85</v>
          </cell>
          <cell r="W682" t="str">
            <v>Fonctionnement</v>
          </cell>
        </row>
        <row r="683">
          <cell r="A683">
            <v>2017</v>
          </cell>
          <cell r="D683" t="str">
            <v>DIRECTION CENTRALE DE LA CHAÎNE TAMAZIGHT</v>
          </cell>
          <cell r="V683">
            <v>5000</v>
          </cell>
          <cell r="W683" t="str">
            <v>Fonctionnement</v>
          </cell>
        </row>
        <row r="684">
          <cell r="A684">
            <v>2017</v>
          </cell>
          <cell r="D684" t="str">
            <v>DIRECTION CENTRALE DE LA CHAÎNE TAMAZIGHT</v>
          </cell>
          <cell r="V684">
            <v>28571.42</v>
          </cell>
          <cell r="W684" t="str">
            <v>Fonctionnement</v>
          </cell>
        </row>
        <row r="685">
          <cell r="A685">
            <v>2017</v>
          </cell>
          <cell r="D685" t="str">
            <v>DIRECTION CENTRALE DE LA CHAÎNE TAMAZIGHT</v>
          </cell>
          <cell r="V685">
            <v>7142.85</v>
          </cell>
          <cell r="W685" t="str">
            <v>Fonctionnement</v>
          </cell>
        </row>
        <row r="686">
          <cell r="A686">
            <v>2017</v>
          </cell>
          <cell r="D686" t="str">
            <v>DIRECTION CENTRALE DE LA CHAÎNE TAMAZIGHT</v>
          </cell>
          <cell r="V686">
            <v>28571.42</v>
          </cell>
          <cell r="W686" t="str">
            <v>Fonctionnement</v>
          </cell>
        </row>
        <row r="687">
          <cell r="A687">
            <v>2017</v>
          </cell>
          <cell r="D687" t="str">
            <v>DIRECTION CENTRALE DE LA CHAÎNE TAMAZIGHT</v>
          </cell>
          <cell r="V687">
            <v>7142.85</v>
          </cell>
          <cell r="W687" t="str">
            <v>Fonctionnement</v>
          </cell>
        </row>
        <row r="688">
          <cell r="A688">
            <v>2017</v>
          </cell>
          <cell r="D688" t="str">
            <v>DIRECTION CENTRALE DE LA CHAÎNE TAMAZIGHT</v>
          </cell>
          <cell r="V688">
            <v>7142.85</v>
          </cell>
          <cell r="W688" t="str">
            <v>Fonctionnement</v>
          </cell>
        </row>
        <row r="689">
          <cell r="A689">
            <v>2017</v>
          </cell>
          <cell r="D689" t="str">
            <v>DIRECTION CENTRALE DE LA CHAÎNE TAMAZIGHT</v>
          </cell>
          <cell r="V689">
            <v>28571.42</v>
          </cell>
          <cell r="W689" t="str">
            <v>Fonctionnement</v>
          </cell>
        </row>
        <row r="690">
          <cell r="A690">
            <v>2017</v>
          </cell>
          <cell r="D690" t="str">
            <v>DIRECTION CENTRALE DE LA CHAÎNE TAMAZIGHT</v>
          </cell>
          <cell r="V690">
            <v>7142.85</v>
          </cell>
          <cell r="W690" t="str">
            <v>Fonctionnement</v>
          </cell>
        </row>
        <row r="691">
          <cell r="A691">
            <v>2017</v>
          </cell>
          <cell r="D691" t="str">
            <v>DIRECTION CENTRALE DE LA CHAÎNE TAMAZIGHT</v>
          </cell>
          <cell r="V691">
            <v>7142.85</v>
          </cell>
          <cell r="W691" t="str">
            <v>Fonctionnement</v>
          </cell>
        </row>
        <row r="692">
          <cell r="A692">
            <v>2017</v>
          </cell>
          <cell r="D692" t="str">
            <v>DIRECTION CENTRALE DE LA CHAÎNE TAMAZIGHT</v>
          </cell>
          <cell r="V692">
            <v>3571.42</v>
          </cell>
          <cell r="W692" t="str">
            <v>Fonctionnement</v>
          </cell>
        </row>
        <row r="693">
          <cell r="A693">
            <v>2017</v>
          </cell>
          <cell r="D693" t="str">
            <v>DIRECTION CENTRALE DE LA CHAÎNE TAMAZIGHT</v>
          </cell>
          <cell r="V693">
            <v>28571.42</v>
          </cell>
          <cell r="W693" t="str">
            <v>Fonctionnement</v>
          </cell>
        </row>
        <row r="694">
          <cell r="A694">
            <v>2017</v>
          </cell>
          <cell r="D694" t="str">
            <v>DIRECTION CENTRALE DE LA CHAÎNE TAMAZIGHT</v>
          </cell>
          <cell r="V694">
            <v>7142.85</v>
          </cell>
          <cell r="W694" t="str">
            <v>Fonctionnement</v>
          </cell>
        </row>
        <row r="695">
          <cell r="A695">
            <v>2017</v>
          </cell>
          <cell r="D695" t="str">
            <v>DIRECTION CENTRALE DE LA CHAÎNE TAMAZIGHT</v>
          </cell>
          <cell r="V695">
            <v>28571.42</v>
          </cell>
          <cell r="W695" t="str">
            <v>Fonctionnement</v>
          </cell>
        </row>
        <row r="696">
          <cell r="A696">
            <v>2017</v>
          </cell>
          <cell r="D696" t="str">
            <v>DIRECTION CENTRALE DE LA CHAÎNE TAMAZIGHT</v>
          </cell>
          <cell r="V696">
            <v>7142.85</v>
          </cell>
          <cell r="W696" t="str">
            <v>Fonctionnement</v>
          </cell>
        </row>
        <row r="697">
          <cell r="A697">
            <v>2017</v>
          </cell>
          <cell r="D697" t="str">
            <v>DIRECTION CENTRALE DE LA CHAÎNE TAMAZIGHT</v>
          </cell>
          <cell r="V697">
            <v>7142.85</v>
          </cell>
          <cell r="W697" t="str">
            <v>Fonctionnement</v>
          </cell>
        </row>
        <row r="698">
          <cell r="A698">
            <v>2017</v>
          </cell>
          <cell r="D698" t="str">
            <v>DIRECTION CENTRALE DE LA CHAÎNE TAMAZIGHT</v>
          </cell>
          <cell r="V698">
            <v>28571.42</v>
          </cell>
          <cell r="W698" t="str">
            <v>Fonctionnement</v>
          </cell>
        </row>
        <row r="699">
          <cell r="A699">
            <v>2017</v>
          </cell>
          <cell r="D699" t="str">
            <v>DIRECTION DES RESSOURCES HUMAINES</v>
          </cell>
          <cell r="V699">
            <v>137142.84</v>
          </cell>
          <cell r="W699" t="str">
            <v>Fonctionnement</v>
          </cell>
        </row>
        <row r="700">
          <cell r="A700">
            <v>2017</v>
          </cell>
          <cell r="D700" t="str">
            <v>DIRECTION DES RESSOURCES HUMAINES</v>
          </cell>
          <cell r="V700">
            <v>102857.16</v>
          </cell>
          <cell r="W700" t="str">
            <v>Fonctionnement</v>
          </cell>
        </row>
        <row r="701">
          <cell r="A701">
            <v>2017</v>
          </cell>
          <cell r="D701" t="str">
            <v>DIRECTION DES RESSOURCES HUMAINES</v>
          </cell>
          <cell r="V701">
            <v>77142.84</v>
          </cell>
          <cell r="W701" t="str">
            <v>Fonctionnement</v>
          </cell>
        </row>
        <row r="702">
          <cell r="A702">
            <v>2017</v>
          </cell>
          <cell r="D702" t="str">
            <v>DIRECTION DES CHAÎNES CORANIQUES TV RADIO</v>
          </cell>
          <cell r="V702">
            <v>36400</v>
          </cell>
          <cell r="W702" t="str">
            <v>Fonctionnement</v>
          </cell>
        </row>
        <row r="703">
          <cell r="A703">
            <v>2017</v>
          </cell>
          <cell r="D703" t="str">
            <v>DIRECTION DE L’INFORMATION TV</v>
          </cell>
          <cell r="V703">
            <v>96000</v>
          </cell>
          <cell r="W703" t="str">
            <v>Fonctionnement</v>
          </cell>
        </row>
        <row r="704">
          <cell r="A704">
            <v>2017</v>
          </cell>
          <cell r="D704" t="str">
            <v>DIRECTION DE LA PRODUCTION ET DE LA PROGRAMMATION RADIO</v>
          </cell>
          <cell r="V704">
            <v>28571.42</v>
          </cell>
          <cell r="W704" t="str">
            <v>Fonctionnement</v>
          </cell>
        </row>
        <row r="705">
          <cell r="A705">
            <v>2017</v>
          </cell>
          <cell r="D705" t="str">
            <v>DIRECTION DE L’INFORMATION TV</v>
          </cell>
          <cell r="V705">
            <v>60000</v>
          </cell>
          <cell r="W705" t="str">
            <v>Fonctionnement</v>
          </cell>
        </row>
        <row r="706">
          <cell r="A706">
            <v>2017</v>
          </cell>
          <cell r="D706" t="str">
            <v>DIRECTION DES ACHATS</v>
          </cell>
          <cell r="V706">
            <v>124033.11</v>
          </cell>
          <cell r="W706" t="str">
            <v>Fonctionnement</v>
          </cell>
        </row>
        <row r="707">
          <cell r="A707">
            <v>2017</v>
          </cell>
          <cell r="D707" t="str">
            <v>DIRECTION CENTRALE DE LA CHAÎNE TAMAZIGHT</v>
          </cell>
          <cell r="V707">
            <v>84000</v>
          </cell>
          <cell r="W707" t="str">
            <v>Fonctionnement</v>
          </cell>
        </row>
        <row r="708">
          <cell r="A708">
            <v>2017</v>
          </cell>
          <cell r="D708" t="str">
            <v>DIRECTION CENTRALE DE LA CHAÎNE TAMAZIGHT</v>
          </cell>
          <cell r="V708">
            <v>109200</v>
          </cell>
          <cell r="W708" t="str">
            <v>Fonctionnement</v>
          </cell>
        </row>
        <row r="709">
          <cell r="A709">
            <v>2017</v>
          </cell>
          <cell r="D709" t="str">
            <v>DIRECTION CENTRALE DE LA CHAÎNE TAMAZIGHT</v>
          </cell>
          <cell r="V709">
            <v>84000</v>
          </cell>
          <cell r="W709" t="str">
            <v>Fonctionnement</v>
          </cell>
        </row>
        <row r="710">
          <cell r="A710">
            <v>2017</v>
          </cell>
          <cell r="D710" t="str">
            <v>DIRECTION CENTRALE DE LA CHAÎNE TAMAZIGHT</v>
          </cell>
          <cell r="V710">
            <v>96000</v>
          </cell>
          <cell r="W710" t="str">
            <v>Fonctionnement</v>
          </cell>
        </row>
        <row r="711">
          <cell r="A711">
            <v>2017</v>
          </cell>
          <cell r="D711" t="str">
            <v>DIRECTION DE L’INFORMATION TV</v>
          </cell>
          <cell r="V711">
            <v>44571.360000000001</v>
          </cell>
          <cell r="W711" t="str">
            <v>Fonctionnement</v>
          </cell>
        </row>
        <row r="712">
          <cell r="A712">
            <v>2017</v>
          </cell>
          <cell r="D712" t="str">
            <v>DIRECTION CENTRALE DE LA CHAÎNE TAMAZIGHT</v>
          </cell>
          <cell r="V712">
            <v>144000</v>
          </cell>
          <cell r="W712" t="str">
            <v>Fonctionnement</v>
          </cell>
        </row>
        <row r="713">
          <cell r="A713">
            <v>2017</v>
          </cell>
          <cell r="D713" t="str">
            <v>DIRECTION CENTRALE DE LA CHAÎNE TAMAZIGHT</v>
          </cell>
          <cell r="V713">
            <v>108000</v>
          </cell>
          <cell r="W713" t="str">
            <v>Fonctionnement</v>
          </cell>
        </row>
        <row r="714">
          <cell r="A714">
            <v>2017</v>
          </cell>
          <cell r="D714" t="str">
            <v>DIRECTION CENTRALE DE LA CHAÎNE TAMAZIGHT</v>
          </cell>
          <cell r="V714">
            <v>72000</v>
          </cell>
          <cell r="W714" t="str">
            <v>Fonctionnement</v>
          </cell>
        </row>
        <row r="715">
          <cell r="A715">
            <v>2017</v>
          </cell>
          <cell r="D715" t="str">
            <v>DIRECTION CENTRALE DE LA CHAÎNE TAMAZIGHT</v>
          </cell>
          <cell r="V715">
            <v>84000</v>
          </cell>
          <cell r="W715" t="str">
            <v>Fonctionnement</v>
          </cell>
        </row>
        <row r="716">
          <cell r="A716">
            <v>2017</v>
          </cell>
          <cell r="D716" t="str">
            <v>DIRECTION CENTRALE DE LA CHAÎNE TAMAZIGHT</v>
          </cell>
          <cell r="V716">
            <v>85800</v>
          </cell>
          <cell r="W716" t="str">
            <v>Fonctionnement</v>
          </cell>
        </row>
        <row r="717">
          <cell r="A717">
            <v>2017</v>
          </cell>
          <cell r="D717" t="str">
            <v>DIRECTION CENTRALE DE LA CHAÎNE TAMAZIGHT</v>
          </cell>
          <cell r="V717">
            <v>109200</v>
          </cell>
          <cell r="W717" t="str">
            <v>Fonctionnement</v>
          </cell>
        </row>
        <row r="718">
          <cell r="A718">
            <v>2017</v>
          </cell>
          <cell r="D718" t="str">
            <v>DIRECTION CENTRALE DE LA CHAÎNE TAMAZIGHT</v>
          </cell>
          <cell r="V718">
            <v>62400</v>
          </cell>
          <cell r="W718" t="str">
            <v>Fonctionnement</v>
          </cell>
        </row>
        <row r="719">
          <cell r="A719">
            <v>2017</v>
          </cell>
          <cell r="D719" t="str">
            <v>DIRECTION CENTRALE DE LA CHAÎNE TAMAZIGHT</v>
          </cell>
          <cell r="V719">
            <v>78000</v>
          </cell>
          <cell r="W719" t="str">
            <v>Fonctionnement</v>
          </cell>
        </row>
        <row r="720">
          <cell r="A720">
            <v>2017</v>
          </cell>
          <cell r="D720" t="str">
            <v>DIRECTION CENTRALE DE LA CHAÎNE TAMAZIGHT</v>
          </cell>
          <cell r="V720">
            <v>78000</v>
          </cell>
          <cell r="W720" t="str">
            <v>Fonctionnement</v>
          </cell>
        </row>
        <row r="721">
          <cell r="A721">
            <v>2017</v>
          </cell>
          <cell r="D721" t="str">
            <v>DIRECTION CENTRALE DE LA CHAÎNE TAMAZIGHT</v>
          </cell>
          <cell r="V721">
            <v>96000</v>
          </cell>
          <cell r="W721" t="str">
            <v>Fonctionnement</v>
          </cell>
        </row>
        <row r="722">
          <cell r="A722">
            <v>2017</v>
          </cell>
          <cell r="D722" t="str">
            <v>DIRECTION CENTRALE DE LA CHAÎNE TAMAZIGHT</v>
          </cell>
          <cell r="V722">
            <v>96000</v>
          </cell>
          <cell r="W722" t="str">
            <v>Fonctionnement</v>
          </cell>
        </row>
        <row r="723">
          <cell r="A723">
            <v>2017</v>
          </cell>
          <cell r="D723" t="str">
            <v>DIRECTION CENTRALE DE LA CHAÎNE TAMAZIGHT</v>
          </cell>
          <cell r="V723">
            <v>72000</v>
          </cell>
          <cell r="W723" t="str">
            <v>Fonctionnement</v>
          </cell>
        </row>
        <row r="724">
          <cell r="A724">
            <v>2017</v>
          </cell>
          <cell r="D724" t="str">
            <v>DIRECTION CENTRALE DE LA CHAÎNE TAMAZIGHT</v>
          </cell>
          <cell r="V724">
            <v>72000</v>
          </cell>
          <cell r="W724" t="str">
            <v>Fonctionnement</v>
          </cell>
        </row>
        <row r="725">
          <cell r="A725">
            <v>2017</v>
          </cell>
          <cell r="D725" t="str">
            <v>DIRECTION CENTRALE DE LA CHAÎNE TAMAZIGHT</v>
          </cell>
          <cell r="V725">
            <v>109200</v>
          </cell>
          <cell r="W725" t="str">
            <v>Fonctionnement</v>
          </cell>
        </row>
        <row r="726">
          <cell r="A726">
            <v>2017</v>
          </cell>
          <cell r="D726" t="str">
            <v>DIRECTION CENTRALE DE LA CHAÎNE TAMAZIGHT</v>
          </cell>
          <cell r="V726">
            <v>124800</v>
          </cell>
          <cell r="W726" t="str">
            <v>Fonctionnement</v>
          </cell>
        </row>
        <row r="727">
          <cell r="A727">
            <v>2017</v>
          </cell>
          <cell r="D727" t="str">
            <v>DIRECTION CENTRALE DE LA CHAÎNE TAMAZIGHT</v>
          </cell>
          <cell r="V727">
            <v>96000</v>
          </cell>
          <cell r="W727" t="str">
            <v>Fonctionnement</v>
          </cell>
        </row>
        <row r="728">
          <cell r="A728">
            <v>2017</v>
          </cell>
          <cell r="D728" t="str">
            <v>DIRECTION CENTRALE DE LA CHAÎNE TAMAZIGHT</v>
          </cell>
          <cell r="V728">
            <v>96000</v>
          </cell>
          <cell r="W728" t="str">
            <v>Fonctionnement</v>
          </cell>
        </row>
        <row r="729">
          <cell r="A729">
            <v>2017</v>
          </cell>
          <cell r="D729" t="str">
            <v>DIRECTION CENTRALE DE LA CHAÎNE TAMAZIGHT</v>
          </cell>
          <cell r="V729">
            <v>84000</v>
          </cell>
          <cell r="W729" t="str">
            <v>Fonctionnement</v>
          </cell>
        </row>
        <row r="730">
          <cell r="A730">
            <v>2017</v>
          </cell>
          <cell r="D730" t="str">
            <v>DIRECTION CENTRALE DE LA CHAÎNE TAMAZIGHT</v>
          </cell>
          <cell r="V730">
            <v>124800</v>
          </cell>
          <cell r="W730" t="str">
            <v>Fonctionnement</v>
          </cell>
        </row>
        <row r="731">
          <cell r="A731">
            <v>2017</v>
          </cell>
          <cell r="D731" t="str">
            <v>DIRECTION CENTRALE DE LA CHAÎNE TAMAZIGHT</v>
          </cell>
          <cell r="V731">
            <v>109200</v>
          </cell>
          <cell r="W731" t="str">
            <v>Fonctionnement</v>
          </cell>
        </row>
        <row r="732">
          <cell r="A732">
            <v>2017</v>
          </cell>
          <cell r="D732" t="str">
            <v>DIRECTION CENTRALE DE LA CHAÎNE TAMAZIGHT</v>
          </cell>
          <cell r="V732">
            <v>117000</v>
          </cell>
          <cell r="W732" t="str">
            <v>Fonctionnement</v>
          </cell>
        </row>
        <row r="733">
          <cell r="A733">
            <v>2017</v>
          </cell>
          <cell r="D733" t="str">
            <v>DIRECTION CENTRALE DE LA CHAÎNE TAMAZIGHT</v>
          </cell>
          <cell r="V733">
            <v>71400</v>
          </cell>
          <cell r="W733" t="str">
            <v>Fonctionnement</v>
          </cell>
        </row>
        <row r="734">
          <cell r="A734">
            <v>2017</v>
          </cell>
          <cell r="D734" t="str">
            <v>DIRECTION CENTRALE DE LA CHAÎNE TAMAZIGHT</v>
          </cell>
          <cell r="V734">
            <v>71400</v>
          </cell>
          <cell r="W734" t="str">
            <v>Fonctionnement</v>
          </cell>
        </row>
        <row r="735">
          <cell r="A735">
            <v>2017</v>
          </cell>
          <cell r="D735" t="str">
            <v>DIRECTION CENTRALE DE LA CHAÎNE TAMAZIGHT</v>
          </cell>
          <cell r="V735">
            <v>96000</v>
          </cell>
          <cell r="W735" t="str">
            <v>Fonctionnement</v>
          </cell>
        </row>
        <row r="736">
          <cell r="A736">
            <v>2017</v>
          </cell>
          <cell r="D736" t="str">
            <v>DIRECTION CENTRALE DE LA CHAÎNE TAMAZIGHT</v>
          </cell>
          <cell r="V736">
            <v>96000</v>
          </cell>
          <cell r="W736" t="str">
            <v>Fonctionnement</v>
          </cell>
        </row>
        <row r="737">
          <cell r="A737">
            <v>2017</v>
          </cell>
          <cell r="D737" t="str">
            <v>DIRECTION CENTRALE DE LA CHAÎNE TAMAZIGHT</v>
          </cell>
          <cell r="V737">
            <v>96000</v>
          </cell>
          <cell r="W737" t="str">
            <v>Fonctionnement</v>
          </cell>
        </row>
        <row r="738">
          <cell r="A738">
            <v>2017</v>
          </cell>
          <cell r="D738" t="str">
            <v>DIRECTION CENTRALE DE LA CHAÎNE TAMAZIGHT</v>
          </cell>
          <cell r="V738">
            <v>41600</v>
          </cell>
          <cell r="W738" t="str">
            <v>Fonctionnement</v>
          </cell>
        </row>
        <row r="739">
          <cell r="A739">
            <v>2017</v>
          </cell>
          <cell r="D739" t="str">
            <v>DIRECTION CENTRALE DE LA CHAÎNE TAMAZIGHT</v>
          </cell>
          <cell r="V739">
            <v>96000</v>
          </cell>
          <cell r="W739" t="str">
            <v>Fonctionnement</v>
          </cell>
        </row>
        <row r="740">
          <cell r="A740">
            <v>2017</v>
          </cell>
          <cell r="D740" t="str">
            <v>DIRECTION CENTRALE DE LA CHAÎNE TAMAZIGHT</v>
          </cell>
          <cell r="V740">
            <v>96000</v>
          </cell>
          <cell r="W740" t="str">
            <v>Fonctionnement</v>
          </cell>
        </row>
        <row r="741">
          <cell r="A741">
            <v>2017</v>
          </cell>
          <cell r="D741" t="str">
            <v>DIRECTION CENTRALE DE LA CHAÎNE TAMAZIGHT</v>
          </cell>
          <cell r="V741">
            <v>41600</v>
          </cell>
          <cell r="W741" t="str">
            <v>Fonctionnement</v>
          </cell>
        </row>
        <row r="742">
          <cell r="A742">
            <v>2017</v>
          </cell>
          <cell r="D742" t="str">
            <v>DIRECTION CENTRALE DE LA CHAÎNE TAMAZIGHT</v>
          </cell>
          <cell r="V742">
            <v>96000</v>
          </cell>
          <cell r="W742" t="str">
            <v>Fonctionnement</v>
          </cell>
        </row>
        <row r="743">
          <cell r="A743">
            <v>2017</v>
          </cell>
          <cell r="D743" t="str">
            <v>DIRECTION CENTRALE DE LA PRODUCTION ET DE L'ANTENNE</v>
          </cell>
          <cell r="V743">
            <v>495943.37</v>
          </cell>
          <cell r="W743" t="str">
            <v>Fonctionnement</v>
          </cell>
        </row>
        <row r="744">
          <cell r="A744">
            <v>2017</v>
          </cell>
          <cell r="D744" t="str">
            <v>DIRECTION CENTRALE DE LA CHAÎNE TAMAZIGHT</v>
          </cell>
          <cell r="V744">
            <v>36000</v>
          </cell>
          <cell r="W744" t="str">
            <v>Fonctionnement</v>
          </cell>
        </row>
        <row r="745">
          <cell r="A745">
            <v>2017</v>
          </cell>
          <cell r="D745" t="str">
            <v>DIRECTION CENTRALE DE LA CHAÎNE TAMAZIGHT</v>
          </cell>
          <cell r="V745">
            <v>96000</v>
          </cell>
          <cell r="W745" t="str">
            <v>Fonctionnement</v>
          </cell>
        </row>
        <row r="746">
          <cell r="A746">
            <v>2017</v>
          </cell>
          <cell r="D746" t="str">
            <v>DIRECTION CENTRALE DE LA CHAÎNE TAMAZIGHT</v>
          </cell>
          <cell r="V746">
            <v>96000</v>
          </cell>
          <cell r="W746" t="str">
            <v>Fonctionnement</v>
          </cell>
        </row>
        <row r="747">
          <cell r="A747">
            <v>2017</v>
          </cell>
          <cell r="D747" t="str">
            <v>DIRECTION DE L’INFORMATION TV</v>
          </cell>
          <cell r="V747">
            <v>354000</v>
          </cell>
          <cell r="W747" t="str">
            <v>Fonctionnement</v>
          </cell>
        </row>
        <row r="748">
          <cell r="A748">
            <v>2017</v>
          </cell>
          <cell r="D748" t="str">
            <v>DIRECTION DE L’INFORMATION TV</v>
          </cell>
          <cell r="V748">
            <v>210000</v>
          </cell>
          <cell r="W748" t="str">
            <v>Fonctionnement</v>
          </cell>
        </row>
        <row r="749">
          <cell r="A749">
            <v>2017</v>
          </cell>
          <cell r="D749" t="str">
            <v>DIRECTION DE L’INFORMATION TV</v>
          </cell>
          <cell r="V749">
            <v>148800</v>
          </cell>
          <cell r="W749" t="str">
            <v>Fonctionnement</v>
          </cell>
        </row>
        <row r="750">
          <cell r="A750">
            <v>2017</v>
          </cell>
          <cell r="D750" t="str">
            <v>DIRECTION DE L’INFORMATION TV</v>
          </cell>
          <cell r="V750">
            <v>214800</v>
          </cell>
          <cell r="W750" t="str">
            <v>Fonctionnement</v>
          </cell>
        </row>
        <row r="751">
          <cell r="A751">
            <v>2017</v>
          </cell>
          <cell r="D751" t="str">
            <v>DIRECTION DE L’INFORMATION TV</v>
          </cell>
          <cell r="V751">
            <v>72000</v>
          </cell>
          <cell r="W751" t="str">
            <v>Fonctionnement</v>
          </cell>
        </row>
        <row r="752">
          <cell r="A752">
            <v>2017</v>
          </cell>
          <cell r="D752" t="str">
            <v>DIRECTION DU PATRIMOINE  ET DES MOYENS GENERAUX</v>
          </cell>
          <cell r="V752">
            <v>205714.19999999998</v>
          </cell>
          <cell r="W752" t="str">
            <v>Fonctionnement</v>
          </cell>
        </row>
        <row r="753">
          <cell r="A753">
            <v>2017</v>
          </cell>
          <cell r="D753" t="str">
            <v>DIRECTION CENTRALE DE LA PRODUCTION ET DE L'ANTENNE</v>
          </cell>
          <cell r="V753">
            <v>175000</v>
          </cell>
          <cell r="W753" t="str">
            <v>Fonctionnement</v>
          </cell>
        </row>
        <row r="754">
          <cell r="A754">
            <v>2017</v>
          </cell>
          <cell r="D754" t="str">
            <v>DIRECTION CENTRALE DE LA PRODUCTION ET DE L'ANTENNE</v>
          </cell>
          <cell r="V754">
            <v>40000</v>
          </cell>
          <cell r="W754" t="str">
            <v>Fonctionnement</v>
          </cell>
        </row>
        <row r="755">
          <cell r="A755">
            <v>2017</v>
          </cell>
          <cell r="D755" t="str">
            <v>DIRECTION CENTRALE DE LA PRODUCTION ET DE L'ANTENNE</v>
          </cell>
          <cell r="V755">
            <v>48000</v>
          </cell>
          <cell r="W755" t="str">
            <v>Fonctionnement</v>
          </cell>
        </row>
        <row r="756">
          <cell r="A756">
            <v>2017</v>
          </cell>
          <cell r="D756" t="str">
            <v>DIRECTION CENTRALE DE LA PRODUCTION ET DE L'ANTENNE</v>
          </cell>
          <cell r="V756">
            <v>45000</v>
          </cell>
          <cell r="W756" t="str">
            <v>Fonctionnement</v>
          </cell>
        </row>
        <row r="757">
          <cell r="A757">
            <v>2017</v>
          </cell>
          <cell r="D757" t="str">
            <v>DIRECTION CENTRALE DE LA PRODUCTION ET DE L'ANTENNE</v>
          </cell>
          <cell r="V757">
            <v>10000</v>
          </cell>
          <cell r="W757" t="str">
            <v>Fonctionnement</v>
          </cell>
        </row>
        <row r="758">
          <cell r="A758">
            <v>2017</v>
          </cell>
          <cell r="D758" t="str">
            <v>DIRECTION CENTRALE DE LA PRODUCTION ET DE L'ANTENNE</v>
          </cell>
          <cell r="V758">
            <v>10000</v>
          </cell>
          <cell r="W758" t="str">
            <v>Fonctionnement</v>
          </cell>
        </row>
        <row r="759">
          <cell r="A759">
            <v>2017</v>
          </cell>
          <cell r="D759" t="str">
            <v>DIRECTION CENTRALE DE LA PRODUCTION ET DE L'ANTENNE</v>
          </cell>
          <cell r="V759">
            <v>10000</v>
          </cell>
          <cell r="W759" t="str">
            <v>Fonctionnement</v>
          </cell>
        </row>
        <row r="760">
          <cell r="A760">
            <v>2017</v>
          </cell>
          <cell r="D760" t="str">
            <v>DIRECTION CENTRALE DE LA PRODUCTION ET DE L'ANTENNE</v>
          </cell>
          <cell r="V760">
            <v>118000</v>
          </cell>
          <cell r="W760" t="str">
            <v>Fonctionnement</v>
          </cell>
        </row>
        <row r="761">
          <cell r="A761">
            <v>2017</v>
          </cell>
          <cell r="D761" t="str">
            <v>DIRECTION CENTRALE DE LA PRODUCTION ET DE L'ANTENNE</v>
          </cell>
          <cell r="V761">
            <v>154000</v>
          </cell>
          <cell r="W761" t="str">
            <v>Fonctionnement</v>
          </cell>
        </row>
        <row r="762">
          <cell r="A762">
            <v>2017</v>
          </cell>
          <cell r="D762" t="str">
            <v>DIRECTION CENTRALE DE LA PRODUCTION ET DE L'ANTENNE</v>
          </cell>
          <cell r="V762">
            <v>2567314.9440000001</v>
          </cell>
          <cell r="W762" t="str">
            <v>Fonctionnement</v>
          </cell>
        </row>
        <row r="763">
          <cell r="A763">
            <v>2017</v>
          </cell>
          <cell r="D763" t="str">
            <v>DIRECTION CENTRALE DE LA PRODUCTION ET DE L'ANTENNE</v>
          </cell>
          <cell r="V763">
            <v>68571.839999999997</v>
          </cell>
          <cell r="W763" t="str">
            <v>Fonctionnement</v>
          </cell>
        </row>
        <row r="764">
          <cell r="A764">
            <v>2017</v>
          </cell>
          <cell r="D764" t="str">
            <v>DIRECTION CENTRALE DE LA PRODUCTION ET DE L'ANTENNE</v>
          </cell>
          <cell r="V764">
            <v>570240</v>
          </cell>
          <cell r="W764" t="str">
            <v>Fonctionnement</v>
          </cell>
        </row>
        <row r="765">
          <cell r="A765">
            <v>2017</v>
          </cell>
          <cell r="D765" t="str">
            <v>DIRECTION CENTRALE DE LA PRODUCTION ET DE L'ANTENNE</v>
          </cell>
          <cell r="V765">
            <v>1123200</v>
          </cell>
          <cell r="W765" t="str">
            <v>Fonctionnement</v>
          </cell>
        </row>
        <row r="766">
          <cell r="A766">
            <v>2017</v>
          </cell>
          <cell r="D766" t="str">
            <v>DIRECTION CENTRALE DE LA PRODUCTION ET DE L'ANTENNE</v>
          </cell>
          <cell r="V766">
            <v>200000</v>
          </cell>
          <cell r="W766" t="str">
            <v>Fonctionnement</v>
          </cell>
        </row>
        <row r="767">
          <cell r="A767">
            <v>2017</v>
          </cell>
          <cell r="D767" t="str">
            <v>DIRECTION CENTRALE DE LA PRODUCTION ET DE L'ANTENNE</v>
          </cell>
          <cell r="V767">
            <v>890736</v>
          </cell>
          <cell r="W767" t="str">
            <v>Fonctionnement</v>
          </cell>
        </row>
        <row r="768">
          <cell r="A768">
            <v>2017</v>
          </cell>
          <cell r="D768" t="str">
            <v>DIRECTION CENTRALE DE LA PRODUCTION ET DE L'ANTENNE</v>
          </cell>
          <cell r="V768">
            <v>20000</v>
          </cell>
          <cell r="W768" t="str">
            <v>Fonctionnement</v>
          </cell>
        </row>
        <row r="769">
          <cell r="A769">
            <v>2017</v>
          </cell>
          <cell r="D769" t="str">
            <v>DIRECTION CENTRALE DE LA PRODUCTION ET DE L'ANTENNE</v>
          </cell>
          <cell r="V769">
            <v>25000</v>
          </cell>
          <cell r="W769" t="str">
            <v>Fonctionnement</v>
          </cell>
        </row>
        <row r="770">
          <cell r="A770">
            <v>2017</v>
          </cell>
          <cell r="D770" t="str">
            <v>DIRECTION CENTRALE DE LA PRODUCTION ET DE L'ANTENNE</v>
          </cell>
          <cell r="V770">
            <v>20000</v>
          </cell>
          <cell r="W770" t="str">
            <v>Fonctionnement</v>
          </cell>
        </row>
        <row r="771">
          <cell r="A771">
            <v>2017</v>
          </cell>
          <cell r="D771" t="str">
            <v>DIRECTION CENTRALE DE LA PRODUCTION ET DE L'ANTENNE</v>
          </cell>
          <cell r="V771">
            <v>20000</v>
          </cell>
          <cell r="W771" t="str">
            <v>Fonctionnement</v>
          </cell>
        </row>
        <row r="772">
          <cell r="A772">
            <v>2017</v>
          </cell>
          <cell r="D772" t="str">
            <v>DIRECTION CENTRALE DE LA PRODUCTION ET DE L'ANTENNE</v>
          </cell>
          <cell r="V772">
            <v>20000</v>
          </cell>
          <cell r="W772" t="str">
            <v>Fonctionnement</v>
          </cell>
        </row>
        <row r="773">
          <cell r="A773">
            <v>2017</v>
          </cell>
          <cell r="D773" t="str">
            <v>DIRECTION CENTRALE DE LA PRODUCTION ET DE L'ANTENNE</v>
          </cell>
          <cell r="V773">
            <v>30000</v>
          </cell>
          <cell r="W773" t="str">
            <v>Fonctionnement</v>
          </cell>
        </row>
        <row r="774">
          <cell r="A774">
            <v>2017</v>
          </cell>
          <cell r="D774" t="str">
            <v>DIRECTION CENTRALE DE LA PRODUCTION ET DE L'ANTENNE</v>
          </cell>
          <cell r="V774">
            <v>20000</v>
          </cell>
          <cell r="W774" t="str">
            <v>Fonctionnement</v>
          </cell>
        </row>
        <row r="775">
          <cell r="A775">
            <v>2017</v>
          </cell>
          <cell r="D775" t="str">
            <v>DIRECTION CENTRALE DE LA PRODUCTION ET DE L'ANTENNE</v>
          </cell>
          <cell r="V775">
            <v>20000</v>
          </cell>
          <cell r="W775" t="str">
            <v>Fonctionnement</v>
          </cell>
        </row>
        <row r="776">
          <cell r="A776">
            <v>2017</v>
          </cell>
          <cell r="D776" t="str">
            <v>DIRECTION CENTRALE DE LA PRODUCTION ET DE L'ANTENNE</v>
          </cell>
          <cell r="V776">
            <v>25000</v>
          </cell>
          <cell r="W776" t="str">
            <v>Fonctionnement</v>
          </cell>
        </row>
        <row r="777">
          <cell r="A777">
            <v>2017</v>
          </cell>
          <cell r="D777" t="str">
            <v>DIRECTION CENTRALE DE LA PRODUCTION ET DE L'ANTENNE</v>
          </cell>
          <cell r="V777">
            <v>20000</v>
          </cell>
          <cell r="W777" t="str">
            <v>Fonctionnement</v>
          </cell>
        </row>
        <row r="778">
          <cell r="A778">
            <v>2017</v>
          </cell>
          <cell r="D778" t="str">
            <v>DIRECTION CENTRALE DE LA PRODUCTION ET DE L'ANTENNE</v>
          </cell>
          <cell r="V778">
            <v>25000</v>
          </cell>
          <cell r="W778" t="str">
            <v>Fonctionnement</v>
          </cell>
        </row>
        <row r="779">
          <cell r="A779">
            <v>2017</v>
          </cell>
          <cell r="D779" t="str">
            <v>DIRECTION CENTRALE DE LA PRODUCTION ET DE L'ANTENNE</v>
          </cell>
          <cell r="V779">
            <v>300000</v>
          </cell>
          <cell r="W779" t="str">
            <v>Fonctionnement</v>
          </cell>
        </row>
        <row r="780">
          <cell r="A780">
            <v>2017</v>
          </cell>
          <cell r="D780" t="str">
            <v>DIRECTION CENTRALE DE LA PRODUCTION ET DE L'ANTENNE</v>
          </cell>
          <cell r="V780">
            <v>25000</v>
          </cell>
          <cell r="W780" t="str">
            <v>Fonctionnement</v>
          </cell>
        </row>
        <row r="781">
          <cell r="A781">
            <v>2017</v>
          </cell>
          <cell r="D781" t="str">
            <v>DIRECTION CENTRALE DE LA PRODUCTION ET DE L'ANTENNE</v>
          </cell>
          <cell r="V781">
            <v>25000</v>
          </cell>
          <cell r="W781" t="str">
            <v>Fonctionnement</v>
          </cell>
        </row>
        <row r="782">
          <cell r="A782">
            <v>2017</v>
          </cell>
          <cell r="D782" t="str">
            <v>DIRECTION CENTRALE DE LA PRODUCTION ET DE L'ANTENNE</v>
          </cell>
          <cell r="V782">
            <v>15000</v>
          </cell>
          <cell r="W782" t="str">
            <v>Fonctionnement</v>
          </cell>
        </row>
        <row r="783">
          <cell r="A783">
            <v>2017</v>
          </cell>
          <cell r="D783" t="str">
            <v>DIRECTION CENTRALE DE LA PRODUCTION ET DE L'ANTENNE</v>
          </cell>
          <cell r="V783">
            <v>25000</v>
          </cell>
          <cell r="W783" t="str">
            <v>Fonctionnement</v>
          </cell>
        </row>
        <row r="784">
          <cell r="A784">
            <v>2017</v>
          </cell>
          <cell r="D784" t="str">
            <v>DIRECTION CENTRALE DE LA PRODUCTION ET DE L'ANTENNE</v>
          </cell>
          <cell r="V784">
            <v>55000</v>
          </cell>
          <cell r="W784" t="str">
            <v>Fonctionnement</v>
          </cell>
        </row>
        <row r="785">
          <cell r="A785">
            <v>2017</v>
          </cell>
          <cell r="D785" t="str">
            <v>DIRECTION CENTRALE DE LA PRODUCTION ET DE L'ANTENNE</v>
          </cell>
          <cell r="V785">
            <v>20000</v>
          </cell>
          <cell r="W785" t="str">
            <v>Fonctionnement</v>
          </cell>
        </row>
        <row r="786">
          <cell r="A786">
            <v>2017</v>
          </cell>
          <cell r="D786" t="str">
            <v>DIRECTION CENTRALE DE LA PRODUCTION ET DE L'ANTENNE</v>
          </cell>
          <cell r="V786">
            <v>10000</v>
          </cell>
          <cell r="W786" t="str">
            <v>Fonctionnement</v>
          </cell>
        </row>
        <row r="787">
          <cell r="A787">
            <v>2017</v>
          </cell>
          <cell r="D787" t="str">
            <v>DIRECTION CENTRALE DE LA PRODUCTION ET DE L'ANTENNE</v>
          </cell>
          <cell r="V787">
            <v>40000</v>
          </cell>
          <cell r="W787" t="str">
            <v>Fonctionnement</v>
          </cell>
        </row>
        <row r="788">
          <cell r="A788">
            <v>2017</v>
          </cell>
          <cell r="D788" t="str">
            <v>DIRECTION CENTRALE DE LA PRODUCTION ET DE L'ANTENNE</v>
          </cell>
          <cell r="V788">
            <v>30000</v>
          </cell>
          <cell r="W788" t="str">
            <v>Fonctionnement</v>
          </cell>
        </row>
        <row r="789">
          <cell r="A789">
            <v>2017</v>
          </cell>
          <cell r="D789" t="str">
            <v>DIRECTION CENTRALE DE LA PRODUCTION ET DE L'ANTENNE</v>
          </cell>
          <cell r="V789">
            <v>15000</v>
          </cell>
          <cell r="W789" t="str">
            <v>Fonctionnement</v>
          </cell>
        </row>
        <row r="790">
          <cell r="A790">
            <v>2017</v>
          </cell>
          <cell r="D790" t="str">
            <v>DIRECTION CENTRALE DE LA PRODUCTION ET DE L'ANTENNE</v>
          </cell>
          <cell r="V790">
            <v>15000</v>
          </cell>
          <cell r="W790" t="str">
            <v>Fonctionnement</v>
          </cell>
        </row>
        <row r="791">
          <cell r="A791">
            <v>2017</v>
          </cell>
          <cell r="D791" t="str">
            <v>DIRECTION CENTRALE DE LA PRODUCTION ET DE L'ANTENNE</v>
          </cell>
          <cell r="V791">
            <v>25000</v>
          </cell>
          <cell r="W791" t="str">
            <v>Fonctionnement</v>
          </cell>
        </row>
        <row r="792">
          <cell r="A792">
            <v>2017</v>
          </cell>
          <cell r="D792" t="str">
            <v>DIRECTION CENTRALE DE LA PRODUCTION ET DE L'ANTENNE</v>
          </cell>
          <cell r="V792">
            <v>35000</v>
          </cell>
          <cell r="W792" t="str">
            <v>Fonctionnement</v>
          </cell>
        </row>
        <row r="793">
          <cell r="A793">
            <v>2017</v>
          </cell>
          <cell r="D793" t="str">
            <v>DIRECTION CENTRALE DE LA PRODUCTION ET DE L'ANTENNE</v>
          </cell>
          <cell r="V793">
            <v>70000</v>
          </cell>
          <cell r="W793" t="str">
            <v>Fonctionnement</v>
          </cell>
        </row>
        <row r="794">
          <cell r="A794">
            <v>2017</v>
          </cell>
          <cell r="D794" t="str">
            <v>DIRECTION CENTRALE DE LA PRODUCTION ET DE L'ANTENNE</v>
          </cell>
          <cell r="V794">
            <v>5000</v>
          </cell>
          <cell r="W794" t="str">
            <v>Fonctionnement</v>
          </cell>
        </row>
        <row r="795">
          <cell r="A795">
            <v>2017</v>
          </cell>
          <cell r="D795" t="str">
            <v>DIRECTION CENTRALE DE LA PRODUCTION ET DE L'ANTENNE</v>
          </cell>
          <cell r="V795">
            <v>5000</v>
          </cell>
          <cell r="W795" t="str">
            <v>Fonctionnement</v>
          </cell>
        </row>
        <row r="796">
          <cell r="A796">
            <v>2017</v>
          </cell>
          <cell r="D796" t="str">
            <v>DIRECTION CENTRALE DE LA PRODUCTION ET DE L'ANTENNE</v>
          </cell>
          <cell r="V796">
            <v>10000</v>
          </cell>
          <cell r="W796" t="str">
            <v>Fonctionnement</v>
          </cell>
        </row>
        <row r="797">
          <cell r="A797">
            <v>2017</v>
          </cell>
          <cell r="D797" t="str">
            <v>DIRECTION CENTRALE DE LA PRODUCTION ET DE L'ANTENNE</v>
          </cell>
          <cell r="V797">
            <v>20000</v>
          </cell>
          <cell r="W797" t="str">
            <v>Fonctionnement</v>
          </cell>
        </row>
        <row r="798">
          <cell r="A798">
            <v>2017</v>
          </cell>
          <cell r="D798" t="str">
            <v>DIRECTION CENTRALE DE LA PRODUCTION ET DE L'ANTENNE</v>
          </cell>
          <cell r="V798">
            <v>75000</v>
          </cell>
          <cell r="W798" t="str">
            <v>Fonctionnement</v>
          </cell>
        </row>
        <row r="799">
          <cell r="A799">
            <v>2017</v>
          </cell>
          <cell r="D799" t="str">
            <v>DIRECTION CENTRALE DE LA PRODUCTION ET DE L'ANTENNE</v>
          </cell>
          <cell r="V799">
            <v>25000</v>
          </cell>
          <cell r="W799" t="str">
            <v>Fonctionnement</v>
          </cell>
        </row>
        <row r="800">
          <cell r="A800">
            <v>2017</v>
          </cell>
          <cell r="D800" t="str">
            <v>DIRECTION CENTRALE DE LA PRODUCTION ET DE L'ANTENNE</v>
          </cell>
          <cell r="V800">
            <v>70000</v>
          </cell>
          <cell r="W800" t="str">
            <v>Fonctionnement</v>
          </cell>
        </row>
        <row r="801">
          <cell r="A801">
            <v>2017</v>
          </cell>
          <cell r="D801" t="str">
            <v>DIRECTION CENTRALE DE LA PRODUCTION ET DE L'ANTENNE</v>
          </cell>
          <cell r="V801">
            <v>15000</v>
          </cell>
          <cell r="W801" t="str">
            <v>Fonctionnement</v>
          </cell>
        </row>
        <row r="802">
          <cell r="A802">
            <v>2017</v>
          </cell>
          <cell r="D802" t="str">
            <v>DIRECTION CENTRALE DE LA PRODUCTION ET DE L'ANTENNE</v>
          </cell>
          <cell r="V802">
            <v>30000</v>
          </cell>
          <cell r="W802" t="str">
            <v>Fonctionnement</v>
          </cell>
        </row>
        <row r="803">
          <cell r="A803">
            <v>2017</v>
          </cell>
          <cell r="D803" t="str">
            <v>DIRECTION CENTRALE DE LA PRODUCTION ET DE L'ANTENNE</v>
          </cell>
          <cell r="V803">
            <v>15000</v>
          </cell>
          <cell r="W803" t="str">
            <v>Fonctionnement</v>
          </cell>
        </row>
        <row r="804">
          <cell r="A804">
            <v>2017</v>
          </cell>
          <cell r="D804" t="str">
            <v>DIRECTION CENTRALE DE LA PRODUCTION ET DE L'ANTENNE</v>
          </cell>
          <cell r="V804">
            <v>15000</v>
          </cell>
          <cell r="W804" t="str">
            <v>Fonctionnement</v>
          </cell>
        </row>
        <row r="805">
          <cell r="A805">
            <v>2017</v>
          </cell>
          <cell r="D805" t="str">
            <v>DIRECTION CENTRALE DE LA PRODUCTION ET DE L'ANTENNE</v>
          </cell>
          <cell r="V805">
            <v>5000</v>
          </cell>
          <cell r="W805" t="str">
            <v>Fonctionnement</v>
          </cell>
        </row>
        <row r="806">
          <cell r="A806">
            <v>2017</v>
          </cell>
          <cell r="D806" t="str">
            <v>DIRECTION CENTRALE DE LA PRODUCTION ET DE L'ANTENNE</v>
          </cell>
          <cell r="V806">
            <v>20000</v>
          </cell>
          <cell r="W806" t="str">
            <v>Fonctionnement</v>
          </cell>
        </row>
        <row r="807">
          <cell r="A807">
            <v>2017</v>
          </cell>
          <cell r="D807" t="str">
            <v>DIRECTION CENTRALE DE LA PRODUCTION ET DE L'ANTENNE</v>
          </cell>
          <cell r="V807">
            <v>20000</v>
          </cell>
          <cell r="W807" t="str">
            <v>Fonctionnement</v>
          </cell>
        </row>
        <row r="808">
          <cell r="A808">
            <v>2017</v>
          </cell>
          <cell r="D808" t="str">
            <v>DIRECTION CENTRALE DE LA PRODUCTION ET DE L'ANTENNE</v>
          </cell>
          <cell r="V808">
            <v>20000</v>
          </cell>
          <cell r="W808" t="str">
            <v>Fonctionnement</v>
          </cell>
        </row>
        <row r="809">
          <cell r="A809">
            <v>2017</v>
          </cell>
          <cell r="D809" t="str">
            <v>DIRECTION CENTRALE DE LA PRODUCTION ET DE L'ANTENNE</v>
          </cell>
          <cell r="V809">
            <v>608400</v>
          </cell>
          <cell r="W809" t="str">
            <v>Fonctionnement</v>
          </cell>
        </row>
        <row r="810">
          <cell r="A810">
            <v>2017</v>
          </cell>
          <cell r="D810" t="str">
            <v>DIRECTION CENTRALE DE LA PRODUCTION ET DE L'ANTENNE</v>
          </cell>
          <cell r="V810">
            <v>15000</v>
          </cell>
          <cell r="W810" t="str">
            <v>Fonctionnement</v>
          </cell>
        </row>
        <row r="811">
          <cell r="A811">
            <v>2017</v>
          </cell>
          <cell r="D811" t="str">
            <v>DIRECTION CENTRALE DE LA PRODUCTION ET DE L'ANTENNE</v>
          </cell>
          <cell r="V811">
            <v>15000</v>
          </cell>
          <cell r="W811" t="str">
            <v>Fonctionnement</v>
          </cell>
        </row>
        <row r="812">
          <cell r="A812">
            <v>2017</v>
          </cell>
          <cell r="D812" t="str">
            <v>DIRECTION CENTRALE DE LA PRODUCTION ET DE L'ANTENNE</v>
          </cell>
          <cell r="V812">
            <v>20000</v>
          </cell>
          <cell r="W812" t="str">
            <v>Fonctionnement</v>
          </cell>
        </row>
        <row r="813">
          <cell r="A813">
            <v>2017</v>
          </cell>
          <cell r="D813" t="str">
            <v>DIRECTION CENTRALE DE LA PRODUCTION ET DE L'ANTENNE</v>
          </cell>
          <cell r="V813">
            <v>10000</v>
          </cell>
          <cell r="W813" t="str">
            <v>Fonctionnement</v>
          </cell>
        </row>
        <row r="814">
          <cell r="A814">
            <v>2017</v>
          </cell>
          <cell r="D814" t="str">
            <v>DIRECTION CENTRALE DE LA PRODUCTION ET DE L'ANTENNE</v>
          </cell>
          <cell r="V814">
            <v>200000</v>
          </cell>
          <cell r="W814" t="str">
            <v>Fonctionnement</v>
          </cell>
        </row>
        <row r="815">
          <cell r="A815">
            <v>2017</v>
          </cell>
          <cell r="D815" t="str">
            <v>DIRECTION CENTRALE DE LA PRODUCTION ET DE L'ANTENNE</v>
          </cell>
          <cell r="V815">
            <v>78000</v>
          </cell>
          <cell r="W815" t="str">
            <v>Fonctionnement</v>
          </cell>
        </row>
        <row r="816">
          <cell r="A816">
            <v>2017</v>
          </cell>
          <cell r="D816" t="str">
            <v>DIRECTION CENTRALE DE LA PRODUCTION ET DE L'ANTENNE</v>
          </cell>
          <cell r="V816">
            <v>10000</v>
          </cell>
          <cell r="W816" t="str">
            <v>Fonctionnement</v>
          </cell>
        </row>
        <row r="817">
          <cell r="A817">
            <v>2017</v>
          </cell>
          <cell r="D817" t="str">
            <v>DIRECTION CENTRALE DE LA PRODUCTION ET DE L'ANTENNE</v>
          </cell>
          <cell r="V817">
            <v>20000</v>
          </cell>
          <cell r="W817" t="str">
            <v>Fonctionnement</v>
          </cell>
        </row>
        <row r="818">
          <cell r="A818">
            <v>2017</v>
          </cell>
          <cell r="D818" t="str">
            <v>DIRECTION DES CHAÎNES CORANIQUES TV RADIO</v>
          </cell>
          <cell r="V818">
            <v>45000</v>
          </cell>
          <cell r="W818" t="str">
            <v>Fonctionnement</v>
          </cell>
        </row>
        <row r="819">
          <cell r="A819">
            <v>2017</v>
          </cell>
          <cell r="D819" t="str">
            <v>DIRECTION DES CHAÎNES CORANIQUES TV RADIO</v>
          </cell>
          <cell r="V819">
            <v>45000</v>
          </cell>
          <cell r="W819" t="str">
            <v>Fonctionnement</v>
          </cell>
        </row>
        <row r="820">
          <cell r="A820">
            <v>2017</v>
          </cell>
          <cell r="D820" t="str">
            <v>DIRECTION CENTRALE DE LA PRODUCTION ET DE L'ANTENNE</v>
          </cell>
          <cell r="V820">
            <v>180000</v>
          </cell>
          <cell r="W820" t="str">
            <v>Fonctionnement</v>
          </cell>
        </row>
        <row r="821">
          <cell r="A821">
            <v>2017</v>
          </cell>
          <cell r="D821" t="str">
            <v>DIRECTION DES CHAÎNES CORANIQUES TV RADIO</v>
          </cell>
          <cell r="V821">
            <v>45000</v>
          </cell>
          <cell r="W821" t="str">
            <v>Fonctionnement</v>
          </cell>
        </row>
        <row r="822">
          <cell r="A822">
            <v>2017</v>
          </cell>
          <cell r="D822" t="str">
            <v>DIRECTION CENTRALE DE LA PRODUCTION ET DE L'ANTENNE</v>
          </cell>
          <cell r="V822">
            <v>240000</v>
          </cell>
          <cell r="W822" t="str">
            <v>Fonctionnement</v>
          </cell>
        </row>
        <row r="823">
          <cell r="A823">
            <v>2017</v>
          </cell>
          <cell r="D823" t="str">
            <v>DIRECTION CENTRALE DE LA PRODUCTION ET DE L'ANTENNE</v>
          </cell>
          <cell r="V823">
            <v>200000</v>
          </cell>
          <cell r="W823" t="str">
            <v>Fonctionnement</v>
          </cell>
        </row>
        <row r="824">
          <cell r="A824">
            <v>2017</v>
          </cell>
          <cell r="D824" t="str">
            <v>DIRECTION DES CHAÎNES CORANIQUES TV RADIO</v>
          </cell>
          <cell r="V824">
            <v>170000</v>
          </cell>
          <cell r="W824" t="str">
            <v>Fonctionnement</v>
          </cell>
        </row>
        <row r="825">
          <cell r="A825">
            <v>2017</v>
          </cell>
          <cell r="D825" t="str">
            <v>DIRECTION DES CHAÎNES CORANIQUES TV RADIO</v>
          </cell>
          <cell r="V825">
            <v>105000</v>
          </cell>
          <cell r="W825" t="str">
            <v>Fonctionnement</v>
          </cell>
        </row>
        <row r="826">
          <cell r="A826">
            <v>2017</v>
          </cell>
          <cell r="D826" t="str">
            <v>DIRECTION DES CHAÎNES CORANIQUES TV RADIO</v>
          </cell>
          <cell r="V826">
            <v>112200</v>
          </cell>
          <cell r="W826" t="str">
            <v>Fonctionnement</v>
          </cell>
        </row>
        <row r="827">
          <cell r="A827">
            <v>2017</v>
          </cell>
          <cell r="D827" t="str">
            <v>DIRECTION DES CHAÎNES CORANIQUES TV RADIO</v>
          </cell>
          <cell r="V827">
            <v>19200</v>
          </cell>
          <cell r="W827" t="str">
            <v>Fonctionnement</v>
          </cell>
        </row>
        <row r="828">
          <cell r="A828">
            <v>2017</v>
          </cell>
          <cell r="D828" t="str">
            <v>DIRECTION DES CHAÎNES CORANIQUES TV RADIO</v>
          </cell>
          <cell r="V828">
            <v>24000</v>
          </cell>
          <cell r="W828" t="str">
            <v>Fonctionnement</v>
          </cell>
        </row>
        <row r="829">
          <cell r="A829">
            <v>2017</v>
          </cell>
          <cell r="D829" t="str">
            <v>DIRECTION DES CHAÎNES CORANIQUES TV RADIO</v>
          </cell>
          <cell r="V829">
            <v>80000</v>
          </cell>
          <cell r="W829" t="str">
            <v>Fonctionnement</v>
          </cell>
        </row>
        <row r="830">
          <cell r="A830">
            <v>2017</v>
          </cell>
          <cell r="D830" t="str">
            <v>DIRECTION DES CHAÎNES CORANIQUES TV RADIO</v>
          </cell>
          <cell r="V830">
            <v>68640</v>
          </cell>
          <cell r="W830" t="str">
            <v>Fonctionnement</v>
          </cell>
        </row>
        <row r="831">
          <cell r="A831">
            <v>2017</v>
          </cell>
          <cell r="D831" t="str">
            <v>DIRECTION DES CHAÎNES CORANIQUES TV RADIO</v>
          </cell>
          <cell r="V831">
            <v>160000</v>
          </cell>
          <cell r="W831" t="str">
            <v>Fonctionnement</v>
          </cell>
        </row>
        <row r="832">
          <cell r="A832">
            <v>2017</v>
          </cell>
          <cell r="D832" t="str">
            <v>DIRECTION DES CHAÎNES CORANIQUES TV RADIO</v>
          </cell>
          <cell r="V832">
            <v>130000</v>
          </cell>
          <cell r="W832" t="str">
            <v>Fonctionnement</v>
          </cell>
        </row>
        <row r="833">
          <cell r="A833">
            <v>2017</v>
          </cell>
          <cell r="D833" t="str">
            <v>DIRECTION DES CHAÎNES CORANIQUES TV RADIO</v>
          </cell>
          <cell r="V833">
            <v>88800</v>
          </cell>
          <cell r="W833" t="str">
            <v>Fonctionnement</v>
          </cell>
        </row>
        <row r="834">
          <cell r="A834">
            <v>2017</v>
          </cell>
          <cell r="D834" t="str">
            <v>DIRECTION DES CHAÎNES CORANIQUES TV RADIO</v>
          </cell>
          <cell r="V834">
            <v>55000</v>
          </cell>
          <cell r="W834" t="str">
            <v>Fonctionnement</v>
          </cell>
        </row>
        <row r="835">
          <cell r="A835">
            <v>2017</v>
          </cell>
          <cell r="D835" t="str">
            <v>DIRECTION DES CHAÎNES CORANIQUES TV RADIO</v>
          </cell>
          <cell r="V835">
            <v>96000</v>
          </cell>
          <cell r="W835" t="str">
            <v>Fonctionnement</v>
          </cell>
        </row>
        <row r="836">
          <cell r="A836">
            <v>2017</v>
          </cell>
          <cell r="D836" t="str">
            <v>DIRECTION DES CHAÎNES CORANIQUES TV RADIO</v>
          </cell>
          <cell r="V836">
            <v>139800</v>
          </cell>
          <cell r="W836" t="str">
            <v>Fonctionnement</v>
          </cell>
        </row>
        <row r="837">
          <cell r="A837">
            <v>2017</v>
          </cell>
          <cell r="D837" t="str">
            <v>DIRECTION DES CHAÎNES CORANIQUES TV RADIO</v>
          </cell>
          <cell r="V837">
            <v>52500</v>
          </cell>
          <cell r="W837" t="str">
            <v>Fonctionnement</v>
          </cell>
        </row>
        <row r="838">
          <cell r="A838">
            <v>2017</v>
          </cell>
          <cell r="D838" t="str">
            <v>DIRECTION DES CHAÎNES CORANIQUES TV RADIO</v>
          </cell>
          <cell r="V838">
            <v>177540</v>
          </cell>
          <cell r="W838" t="str">
            <v>Fonctionnement</v>
          </cell>
        </row>
        <row r="839">
          <cell r="A839">
            <v>2017</v>
          </cell>
          <cell r="D839" t="str">
            <v xml:space="preserve">DIRECTION CENTRALE DE LA CHAINE TV LAAYOUNE </v>
          </cell>
          <cell r="V839">
            <v>205714.94</v>
          </cell>
          <cell r="W839" t="str">
            <v>Fonctionnement</v>
          </cell>
        </row>
        <row r="840">
          <cell r="A840">
            <v>2017</v>
          </cell>
          <cell r="D840" t="str">
            <v xml:space="preserve">DIRECTION CENTRALE DE LA CHAINE TV LAAYOUNE </v>
          </cell>
          <cell r="V840">
            <v>280000</v>
          </cell>
          <cell r="W840" t="str">
            <v>Fonctionnement</v>
          </cell>
        </row>
        <row r="841">
          <cell r="A841">
            <v>2017</v>
          </cell>
          <cell r="D841" t="str">
            <v xml:space="preserve">DIRECTION CENTRALE DE LA CHAINE TV LAAYOUNE </v>
          </cell>
          <cell r="V841">
            <v>148571.28</v>
          </cell>
          <cell r="W841" t="str">
            <v>Fonctionnement</v>
          </cell>
        </row>
        <row r="842">
          <cell r="A842">
            <v>2017</v>
          </cell>
          <cell r="D842" t="str">
            <v xml:space="preserve">DIRECTION CENTRALE DE LA CHAINE TV LAAYOUNE </v>
          </cell>
          <cell r="V842">
            <v>257142.9</v>
          </cell>
          <cell r="W842" t="str">
            <v>Fonctionnement</v>
          </cell>
        </row>
        <row r="843">
          <cell r="A843">
            <v>2017</v>
          </cell>
          <cell r="D843" t="str">
            <v>DIRECTION DE L’INFORMATION TV</v>
          </cell>
          <cell r="V843">
            <v>214751.31</v>
          </cell>
          <cell r="W843" t="str">
            <v>Fonctionnement</v>
          </cell>
        </row>
        <row r="844">
          <cell r="A844">
            <v>2017</v>
          </cell>
          <cell r="D844" t="str">
            <v>DIRECTION DE L’INFORMATION TV</v>
          </cell>
          <cell r="V844">
            <v>1859000</v>
          </cell>
          <cell r="W844" t="str">
            <v>Fonctionnement</v>
          </cell>
        </row>
        <row r="845">
          <cell r="A845">
            <v>2017</v>
          </cell>
          <cell r="D845" t="str">
            <v>DIRECTION DE L’INFORMATION TV</v>
          </cell>
          <cell r="V845">
            <v>145714.32</v>
          </cell>
          <cell r="W845" t="str">
            <v>Fonctionnement</v>
          </cell>
        </row>
        <row r="846">
          <cell r="A846">
            <v>2017</v>
          </cell>
          <cell r="D846" t="str">
            <v>DIRECTION CENTRALE DE LA CHAÎNE ARRYADIA</v>
          </cell>
          <cell r="V846">
            <v>2126250</v>
          </cell>
          <cell r="W846" t="str">
            <v>Fonctionnement</v>
          </cell>
        </row>
        <row r="847">
          <cell r="A847">
            <v>2017</v>
          </cell>
          <cell r="D847" t="str">
            <v>DIRECTION DES CHAÎNES CORANIQUES TV RADIO</v>
          </cell>
          <cell r="V847">
            <v>60000</v>
          </cell>
          <cell r="W847" t="str">
            <v>Fonctionnement</v>
          </cell>
        </row>
        <row r="848">
          <cell r="A848">
            <v>2017</v>
          </cell>
          <cell r="D848" t="str">
            <v>DIRECTION DE LA PRODUCTION ET DE LA PROGRAMMATION RADIO</v>
          </cell>
          <cell r="V848">
            <v>28571.42</v>
          </cell>
          <cell r="W848" t="str">
            <v>Fonctionnement</v>
          </cell>
        </row>
        <row r="849">
          <cell r="A849">
            <v>2017</v>
          </cell>
          <cell r="D849" t="str">
            <v>DIRECTION DE LA PRODUCTION ET DE LA PROGRAMMATION RADIO</v>
          </cell>
          <cell r="V849">
            <v>28571.42</v>
          </cell>
          <cell r="W849" t="str">
            <v>Fonctionnement</v>
          </cell>
        </row>
        <row r="850">
          <cell r="A850">
            <v>2017</v>
          </cell>
          <cell r="D850" t="str">
            <v>DIRECTION DE LA PRODUCTION ET DE LA PROGRAMMATION RADIO</v>
          </cell>
          <cell r="V850">
            <v>28571.42</v>
          </cell>
          <cell r="W850" t="str">
            <v>Fonctionnement</v>
          </cell>
        </row>
        <row r="851">
          <cell r="A851">
            <v>2017</v>
          </cell>
          <cell r="D851" t="str">
            <v>DIRECTION DES CHAÎNES CORANIQUES TV RADIO</v>
          </cell>
          <cell r="V851">
            <v>138000</v>
          </cell>
          <cell r="W851" t="str">
            <v>Fonctionnement</v>
          </cell>
        </row>
        <row r="852">
          <cell r="A852">
            <v>2017</v>
          </cell>
          <cell r="D852" t="str">
            <v>DIRECTION DES CHAÎNES CORANIQUES TV RADIO</v>
          </cell>
          <cell r="V852">
            <v>72000</v>
          </cell>
          <cell r="W852" t="str">
            <v>Fonctionnement</v>
          </cell>
        </row>
        <row r="853">
          <cell r="A853">
            <v>2017</v>
          </cell>
          <cell r="D853" t="str">
            <v>DIRECTION DES CHAÎNES CORANIQUES TV RADIO</v>
          </cell>
          <cell r="V853">
            <v>37800</v>
          </cell>
          <cell r="W853" t="str">
            <v>Fonctionnement</v>
          </cell>
        </row>
        <row r="854">
          <cell r="A854">
            <v>2017</v>
          </cell>
          <cell r="D854" t="str">
            <v>DIRECTION DES CHAÎNES CORANIQUES TV RADIO</v>
          </cell>
          <cell r="V854">
            <v>24000</v>
          </cell>
          <cell r="W854" t="str">
            <v>Fonctionnement</v>
          </cell>
        </row>
        <row r="855">
          <cell r="A855">
            <v>2017</v>
          </cell>
          <cell r="D855" t="str">
            <v>DIRECTION DE LA PRODUCTION ET DE LA PROGRAMMATION RADIO</v>
          </cell>
          <cell r="V855">
            <v>3571.42</v>
          </cell>
          <cell r="W855" t="str">
            <v>Fonctionnement</v>
          </cell>
        </row>
        <row r="856">
          <cell r="A856">
            <v>2017</v>
          </cell>
          <cell r="D856" t="str">
            <v>DIRECTION DE LA PRODUCTION ET DE LA PROGRAMMATION RADIO</v>
          </cell>
          <cell r="V856">
            <v>2500</v>
          </cell>
          <cell r="W856" t="str">
            <v>Fonctionnement</v>
          </cell>
        </row>
        <row r="857">
          <cell r="A857">
            <v>2017</v>
          </cell>
          <cell r="D857" t="str">
            <v>DIRECTION DE LA PRODUCTION ET DE LA PROGRAMMATION RADIO</v>
          </cell>
          <cell r="V857">
            <v>3571.42</v>
          </cell>
          <cell r="W857" t="str">
            <v>Fonctionnement</v>
          </cell>
        </row>
        <row r="858">
          <cell r="A858">
            <v>2017</v>
          </cell>
          <cell r="D858" t="str">
            <v>DIRECTION CENTRALE DE LA PRODUCTION ET DE L'ANTENNE</v>
          </cell>
          <cell r="V858">
            <v>806400</v>
          </cell>
          <cell r="W858" t="str">
            <v>Fonctionnement</v>
          </cell>
        </row>
        <row r="859">
          <cell r="A859">
            <v>2017</v>
          </cell>
          <cell r="D859" t="str">
            <v>DIRECTION CENTRALE DE LA PRODUCTION ET DE L'ANTENNE</v>
          </cell>
          <cell r="V859">
            <v>200000</v>
          </cell>
          <cell r="W859" t="str">
            <v>Fonctionnement</v>
          </cell>
        </row>
        <row r="860">
          <cell r="A860">
            <v>2017</v>
          </cell>
          <cell r="D860" t="str">
            <v>DIRECTION CENTRALE DE LA PRODUCTION ET DE L'ANTENNE</v>
          </cell>
          <cell r="V860">
            <v>180000</v>
          </cell>
          <cell r="W860" t="str">
            <v>Fonctionnement</v>
          </cell>
        </row>
        <row r="861">
          <cell r="A861">
            <v>2017</v>
          </cell>
          <cell r="D861" t="str">
            <v>DIRECTION CENTRALE DE LA PRODUCTION ET DE L'ANTENNE</v>
          </cell>
          <cell r="V861">
            <v>180000</v>
          </cell>
          <cell r="W861" t="str">
            <v>Fonctionnement</v>
          </cell>
        </row>
        <row r="862">
          <cell r="A862">
            <v>2017</v>
          </cell>
          <cell r="D862" t="str">
            <v>DIRECTION DES CHAÎNES CORANIQUES TV RADIO</v>
          </cell>
          <cell r="V862">
            <v>78000</v>
          </cell>
          <cell r="W862" t="str">
            <v>Fonctionnement</v>
          </cell>
        </row>
        <row r="863">
          <cell r="A863">
            <v>2017</v>
          </cell>
          <cell r="D863" t="str">
            <v>DIRECTION DES CHAÎNES CORANIQUES TV RADIO</v>
          </cell>
          <cell r="V863">
            <v>10000</v>
          </cell>
          <cell r="W863" t="str">
            <v>Fonctionnement</v>
          </cell>
        </row>
        <row r="864">
          <cell r="A864">
            <v>2017</v>
          </cell>
          <cell r="D864" t="str">
            <v>DIRECTION DES CHAÎNES CORANIQUES TV RADIO</v>
          </cell>
          <cell r="V864">
            <v>41080</v>
          </cell>
          <cell r="W864" t="str">
            <v>Fonctionnement</v>
          </cell>
        </row>
        <row r="865">
          <cell r="A865">
            <v>2017</v>
          </cell>
          <cell r="D865" t="str">
            <v>DIRECTION DES CHAÎNES CORANIQUES TV RADIO</v>
          </cell>
          <cell r="V865">
            <v>21600</v>
          </cell>
          <cell r="W865" t="str">
            <v>Fonctionnement</v>
          </cell>
        </row>
        <row r="866">
          <cell r="A866">
            <v>2017</v>
          </cell>
          <cell r="D866" t="str">
            <v>DIRECTION DES CHAÎNES CORANIQUES TV RADIO</v>
          </cell>
          <cell r="V866">
            <v>24000</v>
          </cell>
          <cell r="W866" t="str">
            <v>Fonctionnement</v>
          </cell>
        </row>
        <row r="867">
          <cell r="A867">
            <v>2017</v>
          </cell>
          <cell r="D867" t="str">
            <v>DIRECTION DE LA PRODUCTION ET DE LA PROGRAMMATION RADIO</v>
          </cell>
          <cell r="V867">
            <v>28571.42</v>
          </cell>
          <cell r="W867" t="str">
            <v>Fonctionnement</v>
          </cell>
        </row>
        <row r="868">
          <cell r="A868">
            <v>2017</v>
          </cell>
          <cell r="D868" t="str">
            <v>DIRECTION DE LA PRODUCTION ET DE LA PROGRAMMATION RADIO</v>
          </cell>
          <cell r="V868">
            <v>8000</v>
          </cell>
          <cell r="W868" t="str">
            <v>Fonctionnement</v>
          </cell>
        </row>
        <row r="869">
          <cell r="A869">
            <v>2017</v>
          </cell>
          <cell r="D869" t="str">
            <v>DIRECTION DE LA PRODUCTION ET DE LA PROGRAMMATION RADIO</v>
          </cell>
          <cell r="V869">
            <v>8000</v>
          </cell>
          <cell r="W869" t="str">
            <v>Fonctionnement</v>
          </cell>
        </row>
        <row r="870">
          <cell r="A870">
            <v>2017</v>
          </cell>
          <cell r="D870" t="str">
            <v>DIRECTION DE LA PRODUCTION ET DE LA PROGRAMMATION RADIO</v>
          </cell>
          <cell r="V870">
            <v>104000</v>
          </cell>
          <cell r="W870" t="str">
            <v>Fonctionnement</v>
          </cell>
        </row>
        <row r="871">
          <cell r="A871">
            <v>2017</v>
          </cell>
          <cell r="D871" t="str">
            <v>DIRECTION CENTRALE DE LA CHAÎNE ARRYADIA</v>
          </cell>
          <cell r="V871">
            <v>848337.5</v>
          </cell>
          <cell r="W871" t="str">
            <v>Fonctionnement</v>
          </cell>
        </row>
        <row r="872">
          <cell r="A872">
            <v>2017</v>
          </cell>
          <cell r="D872" t="str">
            <v>DIRECTION CENTRALE DE LA CHAÎNE ARRYADIA</v>
          </cell>
          <cell r="V872">
            <v>1504000</v>
          </cell>
          <cell r="W872" t="str">
            <v>Fonctionnement</v>
          </cell>
        </row>
        <row r="873">
          <cell r="A873">
            <v>2017</v>
          </cell>
          <cell r="D873" t="str">
            <v>DIRECTION CENTRALE DE LA CHAÎNE ARRYADIA</v>
          </cell>
          <cell r="V873">
            <v>926100</v>
          </cell>
          <cell r="W873" t="str">
            <v>Fonctionnement</v>
          </cell>
        </row>
        <row r="874">
          <cell r="A874">
            <v>2017</v>
          </cell>
          <cell r="D874" t="str">
            <v>DIRECTION CENTRALE DE LA CHAÎNE ARRYADIA</v>
          </cell>
          <cell r="V874">
            <v>1400000</v>
          </cell>
          <cell r="W874" t="str">
            <v>Fonctionnement</v>
          </cell>
        </row>
        <row r="875">
          <cell r="A875">
            <v>2017</v>
          </cell>
          <cell r="D875" t="str">
            <v>DIRECTION MARKETING ET PROGRAMATION TV</v>
          </cell>
          <cell r="V875">
            <v>84000</v>
          </cell>
          <cell r="W875" t="str">
            <v>Fonctionnement</v>
          </cell>
        </row>
        <row r="876">
          <cell r="A876">
            <v>2017</v>
          </cell>
          <cell r="D876" t="str">
            <v>DIRECTION CENTRALE DE LA PRODUCTION ET DE L'ANTENNE</v>
          </cell>
          <cell r="V876">
            <v>968000</v>
          </cell>
          <cell r="W876" t="str">
            <v>Fonctionnement</v>
          </cell>
        </row>
        <row r="877">
          <cell r="A877">
            <v>2017</v>
          </cell>
          <cell r="D877" t="str">
            <v>DIRECTION CENTRALE DE LA CHAÎNE TAMAZIGHT</v>
          </cell>
          <cell r="V877">
            <v>7142.85</v>
          </cell>
          <cell r="W877" t="str">
            <v>Fonctionnement</v>
          </cell>
        </row>
        <row r="878">
          <cell r="A878">
            <v>2017</v>
          </cell>
          <cell r="D878" t="str">
            <v>DIRECTION CENTRALE DE LA CHAÎNE TAMAZIGHT</v>
          </cell>
          <cell r="V878">
            <v>7142.85</v>
          </cell>
          <cell r="W878" t="str">
            <v>Fonctionnement</v>
          </cell>
        </row>
        <row r="879">
          <cell r="A879">
            <v>2017</v>
          </cell>
          <cell r="D879" t="str">
            <v>DIRECTION CENTRALE DE LA CHAÎNE TAMAZIGHT</v>
          </cell>
          <cell r="V879">
            <v>7142.85</v>
          </cell>
          <cell r="W879" t="str">
            <v>Fonctionnement</v>
          </cell>
        </row>
        <row r="880">
          <cell r="A880">
            <v>2017</v>
          </cell>
          <cell r="D880" t="str">
            <v>DIRECTION CENTRALE DE LA CHAÎNE TAMAZIGHT</v>
          </cell>
          <cell r="V880">
            <v>28571.42</v>
          </cell>
          <cell r="W880" t="str">
            <v>Fonctionnement</v>
          </cell>
        </row>
        <row r="881">
          <cell r="A881">
            <v>2017</v>
          </cell>
          <cell r="D881" t="str">
            <v>DIRECTION CENTRALE DE LA PRODUCTION ET DE L'ANTENNE</v>
          </cell>
          <cell r="V881">
            <v>399999.99599999998</v>
          </cell>
          <cell r="W881" t="str">
            <v>Fonctionnement</v>
          </cell>
        </row>
        <row r="882">
          <cell r="A882">
            <v>2017</v>
          </cell>
          <cell r="D882" t="str">
            <v>DIRECTION CENTRALE DE LA CHAÎNE TAMAZIGHT</v>
          </cell>
          <cell r="V882">
            <v>7142.85</v>
          </cell>
          <cell r="W882" t="str">
            <v>Fonctionnement</v>
          </cell>
        </row>
        <row r="883">
          <cell r="A883">
            <v>2017</v>
          </cell>
          <cell r="D883" t="str">
            <v>DIRECTION CENTRALE DE LA CHAÎNE TAMAZIGHT</v>
          </cell>
          <cell r="V883">
            <v>28571.42</v>
          </cell>
          <cell r="W883" t="str">
            <v>Fonctionnement</v>
          </cell>
        </row>
        <row r="884">
          <cell r="A884">
            <v>2017</v>
          </cell>
          <cell r="D884" t="str">
            <v>DIRECTION CENTRALE DE LA CHAÎNE TAMAZIGHT</v>
          </cell>
          <cell r="V884">
            <v>7142.85</v>
          </cell>
          <cell r="W884" t="str">
            <v>Fonctionnement</v>
          </cell>
        </row>
        <row r="885">
          <cell r="A885">
            <v>2017</v>
          </cell>
          <cell r="D885" t="str">
            <v>DIRECTION CENTRALE DE LA CHAÎNE TAMAZIGHT</v>
          </cell>
          <cell r="V885">
            <v>28571.42</v>
          </cell>
          <cell r="W885" t="str">
            <v>Fonctionnement</v>
          </cell>
        </row>
        <row r="886">
          <cell r="A886">
            <v>2017</v>
          </cell>
          <cell r="D886" t="str">
            <v>DIRECTION CENTRALE DE LA CHAÎNE TAMAZIGHT</v>
          </cell>
          <cell r="V886">
            <v>7142.85</v>
          </cell>
          <cell r="W886" t="str">
            <v>Fonctionnement</v>
          </cell>
        </row>
        <row r="887">
          <cell r="A887">
            <v>2017</v>
          </cell>
          <cell r="D887" t="str">
            <v>DIRECTION CENTRALE DE LA CHAÎNE TAMAZIGHT</v>
          </cell>
          <cell r="V887">
            <v>7142.85</v>
          </cell>
          <cell r="W887" t="str">
            <v>Fonctionnement</v>
          </cell>
        </row>
        <row r="888">
          <cell r="A888">
            <v>2017</v>
          </cell>
          <cell r="D888" t="str">
            <v>DIRECTION CENTRALE DE LA CHAÎNE TAMAZIGHT</v>
          </cell>
          <cell r="V888">
            <v>28571.42</v>
          </cell>
          <cell r="W888" t="str">
            <v>Fonctionnement</v>
          </cell>
        </row>
        <row r="889">
          <cell r="A889">
            <v>2017</v>
          </cell>
          <cell r="D889" t="str">
            <v>DIRECTION CENTRALE DE LA CHAÎNE TAMAZIGHT</v>
          </cell>
          <cell r="V889">
            <v>7142.85</v>
          </cell>
          <cell r="W889" t="str">
            <v>Fonctionnement</v>
          </cell>
        </row>
        <row r="890">
          <cell r="A890">
            <v>2017</v>
          </cell>
          <cell r="D890" t="str">
            <v>DIRECTION CENTRALE DE LA CHAÎNE TAMAZIGHT</v>
          </cell>
          <cell r="V890">
            <v>7142.85</v>
          </cell>
          <cell r="W890" t="str">
            <v>Fonctionnement</v>
          </cell>
        </row>
        <row r="891">
          <cell r="A891">
            <v>2017</v>
          </cell>
          <cell r="D891" t="str">
            <v>DIRECTION CENTRALE DE LA CHAÎNE TAMAZIGHT</v>
          </cell>
          <cell r="V891">
            <v>7142.85</v>
          </cell>
          <cell r="W891" t="str">
            <v>Fonctionnement</v>
          </cell>
        </row>
        <row r="892">
          <cell r="A892">
            <v>2017</v>
          </cell>
          <cell r="D892" t="str">
            <v>DIRECTION CENTRALE DE LA CHAÎNE TAMAZIGHT</v>
          </cell>
          <cell r="V892">
            <v>7142.42</v>
          </cell>
          <cell r="W892" t="str">
            <v>Fonctionnement</v>
          </cell>
        </row>
        <row r="893">
          <cell r="A893">
            <v>2017</v>
          </cell>
          <cell r="D893" t="str">
            <v>DIRECTION CENTRALE DE LA CHAÎNE TAMAZIGHT</v>
          </cell>
          <cell r="V893">
            <v>28571.42</v>
          </cell>
          <cell r="W893" t="str">
            <v>Fonctionnement</v>
          </cell>
        </row>
        <row r="894">
          <cell r="A894">
            <v>2017</v>
          </cell>
          <cell r="D894" t="str">
            <v>DIRECTION CENTRALE DE LA CHAÎNE TAMAZIGHT</v>
          </cell>
          <cell r="V894">
            <v>28571.42</v>
          </cell>
          <cell r="W894" t="str">
            <v>Fonctionnement</v>
          </cell>
        </row>
        <row r="895">
          <cell r="A895">
            <v>2017</v>
          </cell>
          <cell r="D895" t="str">
            <v>DIRECTION CENTRALE DE LA CHAÎNE TAMAZIGHT</v>
          </cell>
          <cell r="V895">
            <v>83200</v>
          </cell>
          <cell r="W895" t="str">
            <v>Fonctionnement</v>
          </cell>
        </row>
        <row r="896">
          <cell r="A896">
            <v>2017</v>
          </cell>
          <cell r="D896" t="str">
            <v>DIRECTION DES CHAÎNES CORANIQUES TV RADIO</v>
          </cell>
          <cell r="V896">
            <v>30000</v>
          </cell>
          <cell r="W896" t="str">
            <v>Fonctionnement</v>
          </cell>
        </row>
        <row r="897">
          <cell r="A897">
            <v>2017</v>
          </cell>
          <cell r="D897" t="str">
            <v>DIRECTION DES CHAÎNES CORANIQUES TV RADIO</v>
          </cell>
          <cell r="V897">
            <v>50000</v>
          </cell>
          <cell r="W897" t="str">
            <v>Fonctionnement</v>
          </cell>
        </row>
        <row r="898">
          <cell r="A898">
            <v>2017</v>
          </cell>
          <cell r="D898" t="str">
            <v>DIRECTION DE LA PRODUCTION ET DE LA PROGRAMMATION RADIO</v>
          </cell>
          <cell r="V898">
            <v>56000</v>
          </cell>
          <cell r="W898" t="str">
            <v>Fonctionnement</v>
          </cell>
        </row>
        <row r="899">
          <cell r="A899">
            <v>2017</v>
          </cell>
          <cell r="D899" t="str">
            <v>DIRECTION CENTRALE DE LA CHAÎNE TAMAZIGHT</v>
          </cell>
          <cell r="V899">
            <v>16000</v>
          </cell>
          <cell r="W899" t="str">
            <v>Fonctionnement</v>
          </cell>
        </row>
        <row r="900">
          <cell r="A900">
            <v>2017</v>
          </cell>
          <cell r="D900" t="str">
            <v>DIRECTION CENTRALE DE LA CHAÎNE TAMAZIGHT</v>
          </cell>
          <cell r="V900">
            <v>16000</v>
          </cell>
          <cell r="W900" t="str">
            <v>Fonctionnement</v>
          </cell>
        </row>
        <row r="901">
          <cell r="A901">
            <v>2017</v>
          </cell>
          <cell r="D901" t="str">
            <v>DIRECTION CENTRALE DE LA CHAÎNE TAMAZIGHT</v>
          </cell>
          <cell r="V901">
            <v>16000</v>
          </cell>
          <cell r="W901" t="str">
            <v>Fonctionnement</v>
          </cell>
        </row>
        <row r="902">
          <cell r="A902">
            <v>2017</v>
          </cell>
          <cell r="D902" t="str">
            <v>DIRECTION DE LA PRODUCTION ET DE LA PROGRAMMATION RADIO</v>
          </cell>
          <cell r="V902">
            <v>3571.42</v>
          </cell>
          <cell r="W902" t="str">
            <v>Fonctionnement</v>
          </cell>
        </row>
        <row r="903">
          <cell r="A903">
            <v>2017</v>
          </cell>
          <cell r="D903" t="str">
            <v>DIRECTION DE LA PRODUCTION ET DE LA PROGRAMMATION RADIO</v>
          </cell>
          <cell r="V903">
            <v>7142.85</v>
          </cell>
          <cell r="W903" t="str">
            <v>Fonctionnement</v>
          </cell>
        </row>
        <row r="904">
          <cell r="A904">
            <v>2017</v>
          </cell>
          <cell r="D904" t="str">
            <v>DIRECTION DE LA PRODUCTION ET DE LA PROGRAMMATION RADIO</v>
          </cell>
          <cell r="V904">
            <v>7142.85</v>
          </cell>
          <cell r="W904" t="str">
            <v>Fonctionnement</v>
          </cell>
        </row>
        <row r="905">
          <cell r="A905">
            <v>2017</v>
          </cell>
          <cell r="D905" t="str">
            <v>DIRECTION DE LA PRODUCTION ET DE LA PROGRAMMATION RADIO</v>
          </cell>
          <cell r="V905">
            <v>7142.85</v>
          </cell>
          <cell r="W905" t="str">
            <v>Fonctionnement</v>
          </cell>
        </row>
        <row r="906">
          <cell r="A906">
            <v>2017</v>
          </cell>
          <cell r="D906" t="str">
            <v>DIRECTION CENTRALE DE LA CHAÎNE ARRYADIA</v>
          </cell>
          <cell r="V906">
            <v>150000</v>
          </cell>
          <cell r="W906" t="str">
            <v>Fonctionnement</v>
          </cell>
        </row>
        <row r="907">
          <cell r="A907">
            <v>2017</v>
          </cell>
          <cell r="D907" t="str">
            <v>DIRECTION CENTRALE DE LA PRODUCTION ET DE L'ANTENNE</v>
          </cell>
          <cell r="V907">
            <v>484000</v>
          </cell>
          <cell r="W907" t="str">
            <v>Fonctionnement</v>
          </cell>
        </row>
        <row r="908">
          <cell r="A908">
            <v>2017</v>
          </cell>
          <cell r="D908" t="str">
            <v>DIRECTION CENTRALE DE LA CHAÎNE ARRYADIA</v>
          </cell>
          <cell r="V908">
            <v>1800000</v>
          </cell>
          <cell r="W908" t="str">
            <v>Fonctionnement</v>
          </cell>
        </row>
        <row r="909">
          <cell r="A909">
            <v>2017</v>
          </cell>
          <cell r="D909" t="str">
            <v>DIRECTION DE LA TELEDIFFUSION</v>
          </cell>
          <cell r="V909">
            <v>216428.4</v>
          </cell>
          <cell r="W909" t="str">
            <v>Fonctionnement</v>
          </cell>
        </row>
        <row r="910">
          <cell r="A910">
            <v>2017</v>
          </cell>
          <cell r="D910" t="str">
            <v>DIRECTION CENTRALE DE LA PRODUCTION ET DE L'ANTENNE</v>
          </cell>
          <cell r="V910">
            <v>240000</v>
          </cell>
          <cell r="W910" t="str">
            <v>Fonctionnement</v>
          </cell>
        </row>
        <row r="911">
          <cell r="A911">
            <v>2017</v>
          </cell>
          <cell r="D911" t="str">
            <v>DIRECTION CENTRALE DE LA PRODUCTION ET DE L'ANTENNE</v>
          </cell>
          <cell r="V911">
            <v>200000</v>
          </cell>
          <cell r="W911" t="str">
            <v>Fonctionnement</v>
          </cell>
        </row>
        <row r="912">
          <cell r="A912">
            <v>2017</v>
          </cell>
          <cell r="D912" t="str">
            <v>DIRECTION CENTRALE DE LA CHAÎNE TAMAZIGHT</v>
          </cell>
          <cell r="V912">
            <v>28571.42</v>
          </cell>
          <cell r="W912" t="str">
            <v>Fonctionnement</v>
          </cell>
        </row>
        <row r="913">
          <cell r="A913">
            <v>2017</v>
          </cell>
          <cell r="D913" t="str">
            <v>DIRECTION CENTRALE DE LA CHAÎNE TAMAZIGHT</v>
          </cell>
          <cell r="V913">
            <v>7142.85</v>
          </cell>
          <cell r="W913" t="str">
            <v>Fonctionnement</v>
          </cell>
        </row>
        <row r="914">
          <cell r="A914">
            <v>2017</v>
          </cell>
          <cell r="D914" t="str">
            <v>DIRECTION CENTRALE DE LA CHAÎNE TAMAZIGHT</v>
          </cell>
          <cell r="V914">
            <v>7142.85</v>
          </cell>
          <cell r="W914" t="str">
            <v>Fonctionnement</v>
          </cell>
        </row>
        <row r="915">
          <cell r="A915">
            <v>2017</v>
          </cell>
          <cell r="D915" t="str">
            <v>DIRECTION DE LA PRODUCTION ET DE LA PROGRAMMATION RADIO</v>
          </cell>
          <cell r="V915">
            <v>11428.57</v>
          </cell>
          <cell r="W915" t="str">
            <v>Fonctionnement</v>
          </cell>
        </row>
        <row r="916">
          <cell r="A916">
            <v>2017</v>
          </cell>
          <cell r="D916" t="str">
            <v>DIRECTION DE LA PRODUCTION ET DE LA PROGRAMMATION RADIO</v>
          </cell>
          <cell r="V916">
            <v>3571.42</v>
          </cell>
          <cell r="W916" t="str">
            <v>Fonctionnement</v>
          </cell>
        </row>
        <row r="917">
          <cell r="A917">
            <v>2017</v>
          </cell>
          <cell r="D917" t="str">
            <v>DIRECTION DE LA PRODUCTION ET DE LA PROGRAMMATION RADIO</v>
          </cell>
          <cell r="V917">
            <v>3571.42</v>
          </cell>
          <cell r="W917" t="str">
            <v>Fonctionnement</v>
          </cell>
        </row>
        <row r="918">
          <cell r="A918">
            <v>2017</v>
          </cell>
          <cell r="D918" t="str">
            <v>DIRECTION DE LA PRODUCTION ET DE LA PROGRAMMATION RADIO</v>
          </cell>
          <cell r="V918">
            <v>3571.42</v>
          </cell>
          <cell r="W918" t="str">
            <v>Fonctionnement</v>
          </cell>
        </row>
        <row r="919">
          <cell r="A919">
            <v>2017</v>
          </cell>
          <cell r="D919" t="str">
            <v>DIRECTION DE LA PRODUCTION ET DE LA PROGRAMMATION RADIO</v>
          </cell>
          <cell r="V919">
            <v>28571.42</v>
          </cell>
          <cell r="W919" t="str">
            <v>Fonctionnement</v>
          </cell>
        </row>
        <row r="920">
          <cell r="A920">
            <v>2017</v>
          </cell>
          <cell r="D920" t="str">
            <v>DIRECTION DE LA PRODUCTION ET DE LA PROGRAMMATION RADIO</v>
          </cell>
          <cell r="V920">
            <v>7142.85</v>
          </cell>
          <cell r="W920" t="str">
            <v>Fonctionnement</v>
          </cell>
        </row>
        <row r="921">
          <cell r="A921">
            <v>2017</v>
          </cell>
          <cell r="D921" t="str">
            <v>DIRECTION DE LA PRODUCTION ET DE LA PROGRAMMATION RADIO</v>
          </cell>
          <cell r="V921">
            <v>8000</v>
          </cell>
          <cell r="W921" t="str">
            <v>Fonctionnement</v>
          </cell>
        </row>
        <row r="922">
          <cell r="A922">
            <v>2017</v>
          </cell>
          <cell r="D922" t="str">
            <v>DIRECTION DE LA PRODUCTION ET DE LA PROGRAMMATION RADIO</v>
          </cell>
          <cell r="V922">
            <v>3571.42</v>
          </cell>
          <cell r="W922" t="str">
            <v>Fonctionnement</v>
          </cell>
        </row>
        <row r="923">
          <cell r="A923">
            <v>2017</v>
          </cell>
          <cell r="D923" t="str">
            <v>DIRECTION DE LA PRODUCTION ET DE LA PROGRAMMATION RADIO</v>
          </cell>
          <cell r="V923">
            <v>7142.85</v>
          </cell>
          <cell r="W923" t="str">
            <v>Fonctionnement</v>
          </cell>
        </row>
        <row r="924">
          <cell r="A924">
            <v>2017</v>
          </cell>
          <cell r="D924" t="str">
            <v>DIRECTION CENTRALE DE LA CHAÎNE ARRYADIA</v>
          </cell>
          <cell r="V924">
            <v>1201200</v>
          </cell>
          <cell r="W924" t="str">
            <v>Fonctionnement</v>
          </cell>
        </row>
        <row r="925">
          <cell r="A925">
            <v>2017</v>
          </cell>
          <cell r="D925" t="str">
            <v>DIRECTION DE L’INFORMATION TV</v>
          </cell>
          <cell r="V925">
            <v>74400</v>
          </cell>
          <cell r="W925" t="str">
            <v>Fonctionnement</v>
          </cell>
        </row>
        <row r="926">
          <cell r="A926">
            <v>2017</v>
          </cell>
          <cell r="D926" t="str">
            <v>DIRECTION DES CHAÎNES CORANIQUES TV RADIO</v>
          </cell>
          <cell r="V926">
            <v>64800</v>
          </cell>
          <cell r="W926" t="str">
            <v>Fonctionnement</v>
          </cell>
        </row>
        <row r="927">
          <cell r="A927">
            <v>2017</v>
          </cell>
          <cell r="D927" t="str">
            <v>DIRECTION CENTRALE DE LA PRODUCTION ET DE L'ANTENNE</v>
          </cell>
          <cell r="V927">
            <v>30000</v>
          </cell>
          <cell r="W927" t="str">
            <v>Fonctionnement</v>
          </cell>
        </row>
        <row r="928">
          <cell r="A928">
            <v>2017</v>
          </cell>
          <cell r="D928" t="str">
            <v>DIRECTION CENTRALE DE LA PRODUCTION ET DE L'ANTENNE</v>
          </cell>
          <cell r="V928">
            <v>15000</v>
          </cell>
          <cell r="W928" t="str">
            <v>Fonctionnement</v>
          </cell>
        </row>
        <row r="929">
          <cell r="A929">
            <v>2017</v>
          </cell>
          <cell r="D929" t="str">
            <v>DIRECTION CENTRALE DE LA PRODUCTION ET DE L'ANTENNE</v>
          </cell>
          <cell r="V929">
            <v>20000</v>
          </cell>
          <cell r="W929" t="str">
            <v>Fonctionnement</v>
          </cell>
        </row>
        <row r="930">
          <cell r="A930">
            <v>2017</v>
          </cell>
          <cell r="D930" t="str">
            <v>DIRECTION CENTRALE DE LA PRODUCTION ET DE L'ANTENNE</v>
          </cell>
          <cell r="V930">
            <v>15000</v>
          </cell>
          <cell r="W930" t="str">
            <v>Fonctionnement</v>
          </cell>
        </row>
        <row r="931">
          <cell r="A931">
            <v>2017</v>
          </cell>
          <cell r="D931" t="str">
            <v>DIRECTION CENTRALE DE LA PRODUCTION ET DE L'ANTENNE</v>
          </cell>
          <cell r="V931">
            <v>20000</v>
          </cell>
          <cell r="W931" t="str">
            <v>Fonctionnement</v>
          </cell>
        </row>
        <row r="932">
          <cell r="A932">
            <v>2017</v>
          </cell>
          <cell r="D932" t="str">
            <v>DIRECTION CENTRALE DE LA PRODUCTION ET DE L'ANTENNE</v>
          </cell>
          <cell r="V932">
            <v>15000</v>
          </cell>
          <cell r="W932" t="str">
            <v>Fonctionnement</v>
          </cell>
        </row>
        <row r="933">
          <cell r="A933">
            <v>2017</v>
          </cell>
          <cell r="D933" t="str">
            <v>DIRECTION CENTRALE DE LA PRODUCTION ET DE L'ANTENNE</v>
          </cell>
          <cell r="V933">
            <v>10000</v>
          </cell>
          <cell r="W933" t="str">
            <v>Fonctionnement</v>
          </cell>
        </row>
        <row r="934">
          <cell r="A934">
            <v>2017</v>
          </cell>
          <cell r="D934" t="str">
            <v>DIRECTION CENTRALE DE LA PRODUCTION ET DE L'ANTENNE</v>
          </cell>
          <cell r="V934">
            <v>20000</v>
          </cell>
          <cell r="W934" t="str">
            <v>Fonctionnement</v>
          </cell>
        </row>
        <row r="935">
          <cell r="A935">
            <v>2017</v>
          </cell>
          <cell r="D935" t="str">
            <v>DIRECTION CENTRALE DE LA PRODUCTION ET DE L'ANTENNE</v>
          </cell>
          <cell r="V935">
            <v>20000</v>
          </cell>
          <cell r="W935" t="str">
            <v>Fonctionnement</v>
          </cell>
        </row>
        <row r="936">
          <cell r="A936">
            <v>2017</v>
          </cell>
          <cell r="D936" t="str">
            <v>DIRECTION CENTRALE DE LA PRODUCTION ET DE L'ANTENNE</v>
          </cell>
          <cell r="V936">
            <v>20000</v>
          </cell>
          <cell r="W936" t="str">
            <v>Fonctionnement</v>
          </cell>
        </row>
        <row r="937">
          <cell r="A937">
            <v>2017</v>
          </cell>
          <cell r="D937" t="str">
            <v>DIRECTION CENTRALE DE LA PRODUCTION ET DE L'ANTENNE</v>
          </cell>
          <cell r="V937">
            <v>20000</v>
          </cell>
          <cell r="W937" t="str">
            <v>Fonctionnement</v>
          </cell>
        </row>
        <row r="938">
          <cell r="A938">
            <v>2017</v>
          </cell>
          <cell r="D938" t="str">
            <v>DIRECTION CENTRALE DE LA PRODUCTION ET DE L'ANTENNE</v>
          </cell>
          <cell r="V938">
            <v>20000</v>
          </cell>
          <cell r="W938" t="str">
            <v>Fonctionnement</v>
          </cell>
        </row>
        <row r="939">
          <cell r="A939">
            <v>2017</v>
          </cell>
          <cell r="D939" t="str">
            <v>DIRECTION CENTRALE DE LA PRODUCTION ET DE L'ANTENNE</v>
          </cell>
          <cell r="V939">
            <v>20000</v>
          </cell>
          <cell r="W939" t="str">
            <v>Fonctionnement</v>
          </cell>
        </row>
        <row r="940">
          <cell r="A940">
            <v>2017</v>
          </cell>
          <cell r="D940" t="str">
            <v>DIRECTION CENTRALE DE LA PRODUCTION ET DE L'ANTENNE</v>
          </cell>
          <cell r="V940">
            <v>25000</v>
          </cell>
          <cell r="W940" t="str">
            <v>Fonctionnement</v>
          </cell>
        </row>
        <row r="941">
          <cell r="A941">
            <v>2017</v>
          </cell>
          <cell r="D941" t="str">
            <v>DIRECTION CENTRALE DE LA PRODUCTION ET DE L'ANTENNE</v>
          </cell>
          <cell r="V941">
            <v>25000</v>
          </cell>
          <cell r="W941" t="str">
            <v>Fonctionnement</v>
          </cell>
        </row>
        <row r="942">
          <cell r="A942">
            <v>2017</v>
          </cell>
          <cell r="D942" t="str">
            <v>DIRECTION CENTRALE DE LA PRODUCTION ET DE L'ANTENNE</v>
          </cell>
          <cell r="V942">
            <v>20000</v>
          </cell>
          <cell r="W942" t="str">
            <v>Fonctionnement</v>
          </cell>
        </row>
        <row r="943">
          <cell r="A943">
            <v>2017</v>
          </cell>
          <cell r="D943" t="str">
            <v>DIRECTION CENTRALE DE LA PRODUCTION ET DE L'ANTENNE</v>
          </cell>
          <cell r="V943">
            <v>20000</v>
          </cell>
          <cell r="W943" t="str">
            <v>Fonctionnement</v>
          </cell>
        </row>
        <row r="944">
          <cell r="A944">
            <v>2017</v>
          </cell>
          <cell r="D944" t="str">
            <v>DIRECTION CENTRALE DE LA PRODUCTION ET DE L'ANTENNE</v>
          </cell>
          <cell r="V944">
            <v>85000</v>
          </cell>
          <cell r="W944" t="str">
            <v>Fonctionnement</v>
          </cell>
        </row>
        <row r="945">
          <cell r="A945">
            <v>2017</v>
          </cell>
          <cell r="D945" t="str">
            <v>DIRECTION CENTRALE DE LA PRODUCTION ET DE L'ANTENNE</v>
          </cell>
          <cell r="V945">
            <v>10000</v>
          </cell>
          <cell r="W945" t="str">
            <v>Fonctionnement</v>
          </cell>
        </row>
        <row r="946">
          <cell r="A946">
            <v>2017</v>
          </cell>
          <cell r="D946" t="str">
            <v>DIRECTION CENTRALE DE LA PRODUCTION ET DE L'ANTENNE</v>
          </cell>
          <cell r="V946">
            <v>15000</v>
          </cell>
          <cell r="W946" t="str">
            <v>Fonctionnement</v>
          </cell>
        </row>
        <row r="947">
          <cell r="A947">
            <v>2017</v>
          </cell>
          <cell r="D947" t="str">
            <v>DIRECTION CENTRALE DE LA PRODUCTION ET DE L'ANTENNE</v>
          </cell>
          <cell r="V947">
            <v>20000</v>
          </cell>
          <cell r="W947" t="str">
            <v>Fonctionnement</v>
          </cell>
        </row>
        <row r="948">
          <cell r="A948">
            <v>2017</v>
          </cell>
          <cell r="D948" t="str">
            <v>DIRECTION CENTRALE DE LA PRODUCTION ET DE L'ANTENNE</v>
          </cell>
          <cell r="V948">
            <v>20000</v>
          </cell>
          <cell r="W948" t="str">
            <v>Fonctionnement</v>
          </cell>
        </row>
        <row r="949">
          <cell r="A949">
            <v>2017</v>
          </cell>
          <cell r="D949" t="str">
            <v>DIRECTION CENTRALE DE LA PRODUCTION ET DE L'ANTENNE</v>
          </cell>
          <cell r="V949">
            <v>25000</v>
          </cell>
          <cell r="W949" t="str">
            <v>Fonctionnement</v>
          </cell>
        </row>
        <row r="950">
          <cell r="A950">
            <v>2017</v>
          </cell>
          <cell r="D950" t="str">
            <v>DIRECTION CENTRALE DE LA PRODUCTION ET DE L'ANTENNE</v>
          </cell>
          <cell r="V950">
            <v>20000</v>
          </cell>
          <cell r="W950" t="str">
            <v>Fonctionnement</v>
          </cell>
        </row>
        <row r="951">
          <cell r="A951">
            <v>2017</v>
          </cell>
          <cell r="D951" t="str">
            <v>DIRECTION CENTRALE DE LA PRODUCTION ET DE L'ANTENNE</v>
          </cell>
          <cell r="V951">
            <v>25000</v>
          </cell>
          <cell r="W951" t="str">
            <v>Fonctionnement</v>
          </cell>
        </row>
        <row r="952">
          <cell r="A952">
            <v>2017</v>
          </cell>
          <cell r="D952" t="str">
            <v>DIRECTION CENTRALE DE LA PRODUCTION ET DE L'ANTENNE</v>
          </cell>
          <cell r="V952">
            <v>30000</v>
          </cell>
          <cell r="W952" t="str">
            <v>Fonctionnement</v>
          </cell>
        </row>
        <row r="953">
          <cell r="A953">
            <v>2017</v>
          </cell>
          <cell r="D953" t="str">
            <v>DIRECTION CENTRALE DE LA PRODUCTION ET DE L'ANTENNE</v>
          </cell>
          <cell r="V953">
            <v>25000</v>
          </cell>
          <cell r="W953" t="str">
            <v>Fonctionnement</v>
          </cell>
        </row>
        <row r="954">
          <cell r="A954">
            <v>2017</v>
          </cell>
          <cell r="D954" t="str">
            <v>DIRECTION CENTRALE DE LA PRODUCTION ET DE L'ANTENNE</v>
          </cell>
          <cell r="V954">
            <v>10000</v>
          </cell>
          <cell r="W954" t="str">
            <v>Fonctionnement</v>
          </cell>
        </row>
        <row r="955">
          <cell r="A955">
            <v>2017</v>
          </cell>
          <cell r="D955" t="str">
            <v>DIRECTION CENTRALE DE LA PRODUCTION ET DE L'ANTENNE</v>
          </cell>
          <cell r="V955">
            <v>15000</v>
          </cell>
          <cell r="W955" t="str">
            <v>Fonctionnement</v>
          </cell>
        </row>
        <row r="956">
          <cell r="A956">
            <v>2017</v>
          </cell>
          <cell r="D956" t="str">
            <v>DIRECTION CENTRALE DE LA PRODUCTION ET DE L'ANTENNE</v>
          </cell>
          <cell r="V956">
            <v>20000</v>
          </cell>
          <cell r="W956" t="str">
            <v>Fonctionnement</v>
          </cell>
        </row>
        <row r="957">
          <cell r="A957">
            <v>2017</v>
          </cell>
          <cell r="D957" t="str">
            <v>DIRECTION CENTRALE DE LA PRODUCTION ET DE L'ANTENNE</v>
          </cell>
          <cell r="V957">
            <v>20000</v>
          </cell>
          <cell r="W957" t="str">
            <v>Fonctionnement</v>
          </cell>
        </row>
        <row r="958">
          <cell r="A958">
            <v>2017</v>
          </cell>
          <cell r="D958" t="str">
            <v>DIRECTION CENTRALE DE LA PRODUCTION ET DE L'ANTENNE</v>
          </cell>
          <cell r="V958">
            <v>20000</v>
          </cell>
          <cell r="W958" t="str">
            <v>Fonctionnement</v>
          </cell>
        </row>
        <row r="959">
          <cell r="A959">
            <v>2017</v>
          </cell>
          <cell r="D959" t="str">
            <v>DIRECTION CENTRALE DE LA PRODUCTION ET DE L'ANTENNE</v>
          </cell>
          <cell r="V959">
            <v>10000</v>
          </cell>
          <cell r="W959" t="str">
            <v>Fonctionnement</v>
          </cell>
        </row>
        <row r="960">
          <cell r="A960">
            <v>2017</v>
          </cell>
          <cell r="D960" t="str">
            <v>DIRECTION CENTRALE DE LA PRODUCTION ET DE L'ANTENNE</v>
          </cell>
          <cell r="V960">
            <v>10000</v>
          </cell>
          <cell r="W960" t="str">
            <v>Fonctionnement</v>
          </cell>
        </row>
        <row r="961">
          <cell r="A961">
            <v>2017</v>
          </cell>
          <cell r="D961" t="str">
            <v>DIRECTION CENTRALE DE LA PRODUCTION ET DE L'ANTENNE</v>
          </cell>
          <cell r="V961">
            <v>25000</v>
          </cell>
          <cell r="W961" t="str">
            <v>Fonctionnement</v>
          </cell>
        </row>
        <row r="962">
          <cell r="A962">
            <v>2017</v>
          </cell>
          <cell r="D962" t="str">
            <v>DIRECTION CENTRALE DE LA PRODUCTION ET DE L'ANTENNE</v>
          </cell>
          <cell r="V962">
            <v>25000</v>
          </cell>
          <cell r="W962" t="str">
            <v>Fonctionnement</v>
          </cell>
        </row>
        <row r="963">
          <cell r="A963">
            <v>2017</v>
          </cell>
          <cell r="D963" t="str">
            <v>DIRECTION CENTRALE DE LA PRODUCTION ET DE L'ANTENNE</v>
          </cell>
          <cell r="V963">
            <v>200000</v>
          </cell>
          <cell r="W963" t="str">
            <v>Fonctionnement</v>
          </cell>
        </row>
        <row r="964">
          <cell r="A964">
            <v>2017</v>
          </cell>
          <cell r="D964" t="str">
            <v>DIRECTION CENTRALE DE LA PRODUCTION ET DE L'ANTENNE</v>
          </cell>
          <cell r="V964">
            <v>200000</v>
          </cell>
          <cell r="W964" t="str">
            <v>Fonctionnement</v>
          </cell>
        </row>
        <row r="965">
          <cell r="A965">
            <v>2017</v>
          </cell>
          <cell r="D965" t="str">
            <v>DIRECTION CENTRALE DE LA CHAÎNE TAMAZIGHT</v>
          </cell>
          <cell r="V965">
            <v>160000</v>
          </cell>
          <cell r="W965" t="str">
            <v>Fonctionnement</v>
          </cell>
        </row>
        <row r="966">
          <cell r="A966">
            <v>2017</v>
          </cell>
          <cell r="D966" t="str">
            <v>DIRECTION DES RESSOURCES HUMAINES</v>
          </cell>
          <cell r="V966">
            <v>171428.57</v>
          </cell>
          <cell r="W966" t="str">
            <v>Fonctionnement</v>
          </cell>
        </row>
        <row r="967">
          <cell r="A967">
            <v>2017</v>
          </cell>
          <cell r="D967" t="str">
            <v>DIRECTION DES CHAÎNES CORANIQUES TV RADIO</v>
          </cell>
          <cell r="V967">
            <v>36000</v>
          </cell>
          <cell r="W967" t="str">
            <v>Fonctionnement</v>
          </cell>
        </row>
        <row r="968">
          <cell r="A968">
            <v>2017</v>
          </cell>
          <cell r="D968" t="str">
            <v>DIRECTION DE LA PRODUCTION ET DE LA PROGRAMMATION RADIO</v>
          </cell>
          <cell r="V968">
            <v>3571.42</v>
          </cell>
          <cell r="W968" t="str">
            <v>Fonctionnement</v>
          </cell>
        </row>
        <row r="969">
          <cell r="A969">
            <v>2017</v>
          </cell>
          <cell r="D969" t="str">
            <v>DIRECTION DE LA PRODUCTION ET DE LA PROGRAMMATION RADIO</v>
          </cell>
          <cell r="V969">
            <v>8000</v>
          </cell>
          <cell r="W969" t="str">
            <v>Fonctionnement</v>
          </cell>
        </row>
        <row r="970">
          <cell r="A970">
            <v>2017</v>
          </cell>
          <cell r="D970" t="str">
            <v>DIRECTION CENTRALE DE LA PRODUCTION ET DE L'ANTENNE</v>
          </cell>
          <cell r="V970">
            <v>40000</v>
          </cell>
          <cell r="W970" t="str">
            <v>Fonctionnement</v>
          </cell>
        </row>
        <row r="971">
          <cell r="A971">
            <v>2017</v>
          </cell>
          <cell r="D971" t="str">
            <v>DIRECTION CENTRALE DE LA PRODUCTION ET DE L'ANTENNE</v>
          </cell>
          <cell r="V971">
            <v>25000</v>
          </cell>
          <cell r="W971" t="str">
            <v>Fonctionnement</v>
          </cell>
        </row>
        <row r="972">
          <cell r="A972">
            <v>2017</v>
          </cell>
          <cell r="D972" t="str">
            <v>DIRECTION CENTRALE DE LA PRODUCTION ET DE L'ANTENNE</v>
          </cell>
          <cell r="V972">
            <v>10000</v>
          </cell>
          <cell r="W972" t="str">
            <v>Fonctionnement</v>
          </cell>
        </row>
        <row r="973">
          <cell r="A973">
            <v>2017</v>
          </cell>
          <cell r="D973" t="str">
            <v>DIRECTION CENTRALE DE LA PRODUCTION ET DE L'ANTENNE</v>
          </cell>
          <cell r="V973">
            <v>5000</v>
          </cell>
          <cell r="W973" t="str">
            <v>Fonctionnement</v>
          </cell>
        </row>
        <row r="974">
          <cell r="A974">
            <v>2017</v>
          </cell>
          <cell r="D974" t="str">
            <v>DIRECTION CENTRALE DE LA PRODUCTION ET DE L'ANTENNE</v>
          </cell>
          <cell r="V974">
            <v>25000</v>
          </cell>
          <cell r="W974" t="str">
            <v>Fonctionnement</v>
          </cell>
        </row>
        <row r="975">
          <cell r="A975">
            <v>2017</v>
          </cell>
          <cell r="D975" t="str">
            <v>DIRECTION CENTRALE DE LA PRODUCTION ET DE L'ANTENNE</v>
          </cell>
          <cell r="V975">
            <v>25000</v>
          </cell>
          <cell r="W975" t="str">
            <v>Fonctionnement</v>
          </cell>
        </row>
        <row r="976">
          <cell r="A976">
            <v>2017</v>
          </cell>
          <cell r="D976" t="str">
            <v>DIRECTION CENTRALE DE LA PRODUCTION ET DE L'ANTENNE</v>
          </cell>
          <cell r="V976">
            <v>60000</v>
          </cell>
          <cell r="W976" t="str">
            <v>Fonctionnement</v>
          </cell>
        </row>
        <row r="977">
          <cell r="A977">
            <v>2017</v>
          </cell>
          <cell r="D977" t="str">
            <v>DIRECTION CENTRALE DE LA PRODUCTION ET DE L'ANTENNE</v>
          </cell>
          <cell r="V977">
            <v>30000</v>
          </cell>
          <cell r="W977" t="str">
            <v>Fonctionnement</v>
          </cell>
        </row>
        <row r="978">
          <cell r="A978">
            <v>2017</v>
          </cell>
          <cell r="D978" t="str">
            <v>DIRECTION CENTRALE DE LA PRODUCTION ET DE L'ANTENNE</v>
          </cell>
          <cell r="V978">
            <v>35000</v>
          </cell>
          <cell r="W978" t="str">
            <v>Fonctionnement</v>
          </cell>
        </row>
        <row r="979">
          <cell r="A979">
            <v>2017</v>
          </cell>
          <cell r="D979" t="str">
            <v>DIRECTION CENTRALE DE LA PRODUCTION ET DE L'ANTENNE</v>
          </cell>
          <cell r="V979">
            <v>15000</v>
          </cell>
          <cell r="W979" t="str">
            <v>Fonctionnement</v>
          </cell>
        </row>
        <row r="980">
          <cell r="A980">
            <v>2017</v>
          </cell>
          <cell r="D980" t="str">
            <v>DIRECTION CENTRALE DE LA PRODUCTION ET DE L'ANTENNE</v>
          </cell>
          <cell r="V980">
            <v>84000</v>
          </cell>
          <cell r="W980" t="str">
            <v>Fonctionnement</v>
          </cell>
        </row>
        <row r="981">
          <cell r="A981">
            <v>2017</v>
          </cell>
          <cell r="D981" t="str">
            <v>DIRECTION CENTRALE DE LA PRODUCTION ET DE L'ANTENNE</v>
          </cell>
          <cell r="V981">
            <v>36000</v>
          </cell>
          <cell r="W981" t="str">
            <v>Fonctionnement</v>
          </cell>
        </row>
        <row r="982">
          <cell r="A982">
            <v>2017</v>
          </cell>
          <cell r="D982" t="str">
            <v>DIRECTION CENTRALE DE LA PRODUCTION ET DE L'ANTENNE</v>
          </cell>
          <cell r="V982">
            <v>36000</v>
          </cell>
          <cell r="W982" t="str">
            <v>Fonctionnement</v>
          </cell>
        </row>
        <row r="983">
          <cell r="A983">
            <v>2017</v>
          </cell>
          <cell r="D983" t="str">
            <v>DIRECTION CENTRALE DE LA PRODUCTION ET DE L'ANTENNE</v>
          </cell>
          <cell r="V983">
            <v>6000</v>
          </cell>
          <cell r="W983" t="str">
            <v>Fonctionnement</v>
          </cell>
        </row>
        <row r="984">
          <cell r="A984">
            <v>2017</v>
          </cell>
          <cell r="D984" t="str">
            <v>DIRECTION CENTRALE DE LA CHAÎNE ARRYADIA</v>
          </cell>
          <cell r="V984">
            <v>360000</v>
          </cell>
          <cell r="W984" t="str">
            <v>Fonctionnement</v>
          </cell>
        </row>
        <row r="985">
          <cell r="A985">
            <v>2017</v>
          </cell>
          <cell r="D985" t="str">
            <v>DIRECTION CENTRALE DE LA PRODUCTION ET DE L'ANTENNE</v>
          </cell>
          <cell r="V985">
            <v>12000</v>
          </cell>
          <cell r="W985" t="str">
            <v>Fonctionnement</v>
          </cell>
        </row>
        <row r="986">
          <cell r="A986">
            <v>2017</v>
          </cell>
          <cell r="D986" t="str">
            <v>DIRECTION CENTRALE DE LA PRODUCTION ET DE L'ANTENNE</v>
          </cell>
          <cell r="V986">
            <v>20000</v>
          </cell>
          <cell r="W986" t="str">
            <v>Fonctionnement</v>
          </cell>
        </row>
        <row r="987">
          <cell r="A987">
            <v>2017</v>
          </cell>
          <cell r="D987" t="str">
            <v>DIRECTION CENTRALE DE LA CHAÎNE TAMAZIGHT</v>
          </cell>
          <cell r="V987">
            <v>28571.42</v>
          </cell>
          <cell r="W987" t="str">
            <v>Fonctionnement</v>
          </cell>
        </row>
        <row r="988">
          <cell r="A988">
            <v>2017</v>
          </cell>
          <cell r="D988" t="str">
            <v>DIRECTION CENTRALE DE LA CHAÎNE TAMAZIGHT</v>
          </cell>
          <cell r="V988">
            <v>7142.85</v>
          </cell>
          <cell r="W988" t="str">
            <v>Fonctionnement</v>
          </cell>
        </row>
        <row r="989">
          <cell r="A989">
            <v>2017</v>
          </cell>
          <cell r="D989" t="str">
            <v>DIRECTION CENTRALE DE LA CHAÎNE TAMAZIGHT</v>
          </cell>
          <cell r="V989">
            <v>7142.85</v>
          </cell>
          <cell r="W989" t="str">
            <v>Fonctionnement</v>
          </cell>
        </row>
        <row r="990">
          <cell r="A990">
            <v>2017</v>
          </cell>
          <cell r="D990" t="str">
            <v>DIRECTION CENTRALE DE LA CHAÎNE TAMAZIGHT</v>
          </cell>
          <cell r="V990">
            <v>28571.42</v>
          </cell>
          <cell r="W990" t="str">
            <v>Fonctionnement</v>
          </cell>
        </row>
        <row r="991">
          <cell r="A991">
            <v>2017</v>
          </cell>
          <cell r="D991" t="str">
            <v>DIRECTION CENTRALE DE LA CHAÎNE TAMAZIGHT</v>
          </cell>
          <cell r="V991">
            <v>7142.85</v>
          </cell>
          <cell r="W991" t="str">
            <v>Fonctionnement</v>
          </cell>
        </row>
        <row r="992">
          <cell r="A992">
            <v>2017</v>
          </cell>
          <cell r="D992" t="str">
            <v>DIRECTION CENTRALE DE LA CHAÎNE TAMAZIGHT</v>
          </cell>
          <cell r="V992">
            <v>7142.85</v>
          </cell>
          <cell r="W992" t="str">
            <v>Fonctionnement</v>
          </cell>
        </row>
        <row r="993">
          <cell r="A993">
            <v>2017</v>
          </cell>
          <cell r="D993" t="str">
            <v>DIRECTION CENTRALE DE LA CHAÎNE TAMAZIGHT</v>
          </cell>
          <cell r="V993">
            <v>7142.85</v>
          </cell>
          <cell r="W993" t="str">
            <v>Fonctionnement</v>
          </cell>
        </row>
        <row r="994">
          <cell r="A994">
            <v>2017</v>
          </cell>
          <cell r="D994" t="str">
            <v>DIRECTION CENTRALE DE LA CHAÎNE TAMAZIGHT</v>
          </cell>
          <cell r="V994">
            <v>28571.42</v>
          </cell>
          <cell r="W994" t="str">
            <v>Fonctionnement</v>
          </cell>
        </row>
        <row r="995">
          <cell r="A995">
            <v>2017</v>
          </cell>
          <cell r="D995" t="str">
            <v>DIRECTION CENTRALE DE LA CHAÎNE TAMAZIGHT</v>
          </cell>
          <cell r="V995">
            <v>7142.85</v>
          </cell>
          <cell r="W995" t="str">
            <v>Fonctionnement</v>
          </cell>
        </row>
        <row r="996">
          <cell r="A996">
            <v>2017</v>
          </cell>
          <cell r="D996" t="str">
            <v>DIRECTION CENTRALE DE LA CHAÎNE TAMAZIGHT</v>
          </cell>
          <cell r="V996">
            <v>7142.85</v>
          </cell>
          <cell r="W996" t="str">
            <v>Fonctionnement</v>
          </cell>
        </row>
        <row r="997">
          <cell r="A997">
            <v>2017</v>
          </cell>
          <cell r="D997" t="str">
            <v>DIRECTION CENTRALE DE LA CHAÎNE TAMAZIGHT</v>
          </cell>
          <cell r="V997">
            <v>7142.85</v>
          </cell>
          <cell r="W997" t="str">
            <v>Fonctionnement</v>
          </cell>
        </row>
        <row r="998">
          <cell r="A998">
            <v>2017</v>
          </cell>
          <cell r="D998" t="str">
            <v>DIRECTION CENTRALE DE LA CHAÎNE TAMAZIGHT</v>
          </cell>
          <cell r="V998">
            <v>7142.85</v>
          </cell>
          <cell r="W998" t="str">
            <v>Fonctionnement</v>
          </cell>
        </row>
        <row r="999">
          <cell r="A999">
            <v>2017</v>
          </cell>
          <cell r="D999" t="str">
            <v>DIRECTION CENTRALE DE LA CHAÎNE TAMAZIGHT</v>
          </cell>
          <cell r="V999">
            <v>28571.42</v>
          </cell>
          <cell r="W999" t="str">
            <v>Fonctionnement</v>
          </cell>
        </row>
        <row r="1000">
          <cell r="A1000">
            <v>2017</v>
          </cell>
          <cell r="D1000" t="str">
            <v>DIRECTION CENTRALE DE LA CHAÎNE TAMAZIGHT</v>
          </cell>
          <cell r="V1000">
            <v>7142.85</v>
          </cell>
          <cell r="W1000" t="str">
            <v>Fonctionnement</v>
          </cell>
        </row>
        <row r="1001">
          <cell r="A1001">
            <v>2017</v>
          </cell>
          <cell r="D1001" t="str">
            <v>DIRECTION CENTRALE DE LA CHAÎNE TAMAZIGHT</v>
          </cell>
          <cell r="V1001">
            <v>28571.42</v>
          </cell>
          <cell r="W1001" t="str">
            <v>Fonctionnement</v>
          </cell>
        </row>
        <row r="1002">
          <cell r="A1002">
            <v>2017</v>
          </cell>
          <cell r="D1002" t="str">
            <v>DIRECTION CENTRALE DE LA CHAÎNE TAMAZIGHT</v>
          </cell>
          <cell r="V1002">
            <v>7142.85</v>
          </cell>
          <cell r="W1002" t="str">
            <v>Fonctionnement</v>
          </cell>
        </row>
        <row r="1003">
          <cell r="A1003">
            <v>2017</v>
          </cell>
          <cell r="D1003" t="str">
            <v>DIRECTION CENTRALE DE LA CHAÎNE TAMAZIGHT</v>
          </cell>
          <cell r="V1003">
            <v>7142.85</v>
          </cell>
          <cell r="W1003" t="str">
            <v>Fonctionnement</v>
          </cell>
        </row>
        <row r="1004">
          <cell r="A1004">
            <v>2017</v>
          </cell>
          <cell r="D1004" t="str">
            <v>DIRECTION CENTRALE DE LA CHAÎNE TAMAZIGHT</v>
          </cell>
          <cell r="V1004">
            <v>28571.42</v>
          </cell>
          <cell r="W1004" t="str">
            <v>Fonctionnement</v>
          </cell>
        </row>
        <row r="1005">
          <cell r="A1005">
            <v>2017</v>
          </cell>
          <cell r="D1005" t="str">
            <v>DIRECTION CENTRALE DE LA CHAÎNE TAMAZIGHT</v>
          </cell>
          <cell r="V1005">
            <v>7142.85</v>
          </cell>
          <cell r="W1005" t="str">
            <v>Fonctionnement</v>
          </cell>
        </row>
        <row r="1006">
          <cell r="A1006">
            <v>2017</v>
          </cell>
          <cell r="D1006" t="str">
            <v>DIRECTION CENTRALE DE LA CHAÎNE TAMAZIGHT</v>
          </cell>
          <cell r="V1006">
            <v>7142.85</v>
          </cell>
          <cell r="W1006" t="str">
            <v>Fonctionnement</v>
          </cell>
        </row>
        <row r="1007">
          <cell r="A1007">
            <v>2017</v>
          </cell>
          <cell r="D1007" t="str">
            <v>DIRECTION CENTRALE DE LA CHAÎNE TAMAZIGHT</v>
          </cell>
          <cell r="V1007">
            <v>28571.42</v>
          </cell>
          <cell r="W1007" t="str">
            <v>Fonctionnement</v>
          </cell>
        </row>
        <row r="1008">
          <cell r="A1008">
            <v>2017</v>
          </cell>
          <cell r="D1008" t="str">
            <v>DIRECTION CENTRALE DE LA CHAÎNE TAMAZIGHT</v>
          </cell>
          <cell r="V1008">
            <v>7142.85</v>
          </cell>
          <cell r="W1008" t="str">
            <v>Fonctionnement</v>
          </cell>
        </row>
        <row r="1009">
          <cell r="A1009">
            <v>2017</v>
          </cell>
          <cell r="D1009" t="str">
            <v>DIRECTION CENTRALE DE LA CHAÎNE TAMAZIGHT</v>
          </cell>
          <cell r="V1009">
            <v>7142.85</v>
          </cell>
          <cell r="W1009" t="str">
            <v>Fonctionnement</v>
          </cell>
        </row>
        <row r="1010">
          <cell r="A1010">
            <v>2017</v>
          </cell>
          <cell r="D1010" t="str">
            <v>DIRECTION CENTRALE DE LA CHAÎNE TAMAZIGHT</v>
          </cell>
          <cell r="V1010">
            <v>28571.42</v>
          </cell>
          <cell r="W1010" t="str">
            <v>Fonctionnement</v>
          </cell>
        </row>
        <row r="1011">
          <cell r="A1011">
            <v>2017</v>
          </cell>
          <cell r="D1011" t="str">
            <v>DIRECTION CENTRALE DE LA CHAÎNE TAMAZIGHT</v>
          </cell>
          <cell r="V1011">
            <v>7142.8530000000001</v>
          </cell>
          <cell r="W1011" t="str">
            <v>Fonctionnement</v>
          </cell>
        </row>
        <row r="1012">
          <cell r="A1012">
            <v>2017</v>
          </cell>
          <cell r="D1012" t="str">
            <v>DIRECTION CENTRALE DE LA CHAÎNE TAMAZIGHT</v>
          </cell>
          <cell r="V1012">
            <v>7142.85</v>
          </cell>
          <cell r="W1012" t="str">
            <v>Fonctionnement</v>
          </cell>
        </row>
        <row r="1013">
          <cell r="A1013">
            <v>2017</v>
          </cell>
          <cell r="D1013" t="str">
            <v>DIRECTION CENTRALE DE LA CHAÎNE TAMAZIGHT</v>
          </cell>
          <cell r="V1013">
            <v>28571.42</v>
          </cell>
          <cell r="W1013" t="str">
            <v>Fonctionnement</v>
          </cell>
        </row>
        <row r="1014">
          <cell r="A1014">
            <v>2017</v>
          </cell>
          <cell r="D1014" t="str">
            <v>DIRECTION CENTRALE DE LA CHAÎNE TAMAZIGHT</v>
          </cell>
          <cell r="V1014">
            <v>7142.85</v>
          </cell>
          <cell r="W1014" t="str">
            <v>Fonctionnement</v>
          </cell>
        </row>
        <row r="1015">
          <cell r="A1015">
            <v>2017</v>
          </cell>
          <cell r="D1015" t="str">
            <v>DIRECTION CENTRALE DE LA CHAÎNE TAMAZIGHT</v>
          </cell>
          <cell r="V1015">
            <v>7142.85</v>
          </cell>
          <cell r="W1015" t="str">
            <v>Fonctionnement</v>
          </cell>
        </row>
        <row r="1016">
          <cell r="A1016">
            <v>2017</v>
          </cell>
          <cell r="D1016" t="str">
            <v>DIRECTION CENTRALE DE LA CHAÎNE TAMAZIGHT</v>
          </cell>
          <cell r="V1016">
            <v>28571.42</v>
          </cell>
          <cell r="W1016" t="str">
            <v>Fonctionnement</v>
          </cell>
        </row>
        <row r="1017">
          <cell r="A1017">
            <v>2017</v>
          </cell>
          <cell r="D1017" t="str">
            <v>DIRECTION CENTRALE DE LA CHAÎNE TAMAZIGHT</v>
          </cell>
          <cell r="V1017">
            <v>7142.85</v>
          </cell>
          <cell r="W1017" t="str">
            <v>Fonctionnement</v>
          </cell>
        </row>
        <row r="1018">
          <cell r="A1018">
            <v>2017</v>
          </cell>
          <cell r="D1018" t="str">
            <v>DIRECTION CENTRALE DE LA PRODUCTION ET DE L'ANTENNE</v>
          </cell>
          <cell r="V1018">
            <v>100000</v>
          </cell>
          <cell r="W1018" t="str">
            <v>Fonctionnement</v>
          </cell>
        </row>
        <row r="1019">
          <cell r="A1019">
            <v>2017</v>
          </cell>
          <cell r="D1019" t="str">
            <v>DIRECTION DE L’INFORMATION TV</v>
          </cell>
          <cell r="V1019">
            <v>557419.25</v>
          </cell>
          <cell r="W1019" t="str">
            <v>Fonctionnement</v>
          </cell>
        </row>
        <row r="1020">
          <cell r="A1020">
            <v>2017</v>
          </cell>
          <cell r="D1020" t="str">
            <v>DIRECTION CENTRALE DE LA CHAÎNE TAMAZIGHT</v>
          </cell>
          <cell r="V1020">
            <v>140000</v>
          </cell>
          <cell r="W1020" t="str">
            <v>Fonctionnement</v>
          </cell>
        </row>
        <row r="1021">
          <cell r="A1021">
            <v>2017</v>
          </cell>
          <cell r="D1021" t="str">
            <v>DIRECTION CENTRALE DE LA CHAÎNE TAMAZIGHT</v>
          </cell>
          <cell r="V1021">
            <v>140000</v>
          </cell>
          <cell r="W1021" t="str">
            <v>Fonctionnement</v>
          </cell>
        </row>
        <row r="1022">
          <cell r="A1022">
            <v>2017</v>
          </cell>
          <cell r="D1022" t="str">
            <v>DIRECTION CENTRALE DE LA CHAÎNE TAMAZIGHT</v>
          </cell>
          <cell r="V1022">
            <v>140000</v>
          </cell>
          <cell r="W1022" t="str">
            <v>Fonctionnement</v>
          </cell>
        </row>
        <row r="1023">
          <cell r="A1023">
            <v>2017</v>
          </cell>
          <cell r="D1023" t="str">
            <v>DIRECTION CENTRALE DE LA CHAÎNE TAMAZIGHT</v>
          </cell>
          <cell r="V1023">
            <v>140000</v>
          </cell>
          <cell r="W1023" t="str">
            <v>Fonctionnement</v>
          </cell>
        </row>
        <row r="1024">
          <cell r="A1024">
            <v>2017</v>
          </cell>
          <cell r="D1024" t="str">
            <v>DIRECTION CENTRALE DE LA CHAÎNE TAMAZIGHT</v>
          </cell>
          <cell r="V1024">
            <v>140000</v>
          </cell>
          <cell r="W1024" t="str">
            <v>Fonctionnement</v>
          </cell>
        </row>
        <row r="1025">
          <cell r="A1025">
            <v>2017</v>
          </cell>
          <cell r="D1025" t="str">
            <v>DIRECTION CENTRALE DE LA PRODUCTION ET DE L'ANTENNE</v>
          </cell>
          <cell r="V1025">
            <v>60000</v>
          </cell>
          <cell r="W1025" t="str">
            <v>Fonctionnement</v>
          </cell>
        </row>
        <row r="1026">
          <cell r="A1026">
            <v>2017</v>
          </cell>
          <cell r="D1026" t="str">
            <v>DIRECTION CENTRALE DE LA CHAÎNE ARRYADIA</v>
          </cell>
          <cell r="V1026">
            <v>300000</v>
          </cell>
          <cell r="W1026" t="str">
            <v>Fonctionnement</v>
          </cell>
        </row>
        <row r="1027">
          <cell r="A1027">
            <v>2017</v>
          </cell>
          <cell r="D1027" t="str">
            <v>DIRECTION CENTRALE DE LA PRODUCTION ET DE L'ANTENNE</v>
          </cell>
          <cell r="V1027">
            <v>40000</v>
          </cell>
          <cell r="W1027" t="str">
            <v>Fonctionnement</v>
          </cell>
        </row>
        <row r="1028">
          <cell r="A1028">
            <v>2017</v>
          </cell>
          <cell r="D1028" t="str">
            <v>DIRECTION CENTRALE DE LA PRODUCTION ET DE L'ANTENNE</v>
          </cell>
          <cell r="V1028">
            <v>15000</v>
          </cell>
          <cell r="W1028" t="str">
            <v>Fonctionnement</v>
          </cell>
        </row>
        <row r="1029">
          <cell r="A1029">
            <v>2017</v>
          </cell>
          <cell r="D1029" t="str">
            <v>DIRECTION CENTRALE DE LA PRODUCTION ET DE L'ANTENNE</v>
          </cell>
          <cell r="V1029">
            <v>15000</v>
          </cell>
          <cell r="W1029" t="str">
            <v>Fonctionnement</v>
          </cell>
        </row>
        <row r="1030">
          <cell r="A1030">
            <v>2017</v>
          </cell>
          <cell r="D1030" t="str">
            <v>DIRECTION CENTRALE DE LA PRODUCTION ET DE L'ANTENNE</v>
          </cell>
          <cell r="V1030">
            <v>10000</v>
          </cell>
          <cell r="W1030" t="str">
            <v>Fonctionnement</v>
          </cell>
        </row>
        <row r="1031">
          <cell r="A1031">
            <v>2017</v>
          </cell>
          <cell r="D1031" t="str">
            <v>DIRECTION CENTRALE DE LA PRODUCTION ET DE L'ANTENNE</v>
          </cell>
          <cell r="V1031">
            <v>15000</v>
          </cell>
          <cell r="W1031" t="str">
            <v>Fonctionnement</v>
          </cell>
        </row>
        <row r="1032">
          <cell r="A1032">
            <v>2017</v>
          </cell>
          <cell r="D1032" t="str">
            <v>DIRECTION CENTRALE DE LA PRODUCTION ET DE L'ANTENNE</v>
          </cell>
          <cell r="V1032">
            <v>25000</v>
          </cell>
          <cell r="W1032" t="str">
            <v>Fonctionnement</v>
          </cell>
        </row>
        <row r="1033">
          <cell r="A1033">
            <v>2017</v>
          </cell>
          <cell r="D1033" t="str">
            <v>DIRECTION CENTRALE DE LA PRODUCTION ET DE L'ANTENNE</v>
          </cell>
          <cell r="V1033">
            <v>20000</v>
          </cell>
          <cell r="W1033" t="str">
            <v>Fonctionnement</v>
          </cell>
        </row>
        <row r="1034">
          <cell r="A1034">
            <v>2017</v>
          </cell>
          <cell r="D1034" t="str">
            <v>DIRECTION CENTRALE DE LA PRODUCTION ET DE L'ANTENNE</v>
          </cell>
          <cell r="V1034">
            <v>10000</v>
          </cell>
          <cell r="W1034" t="str">
            <v>Fonctionnement</v>
          </cell>
        </row>
        <row r="1035">
          <cell r="A1035">
            <v>2017</v>
          </cell>
          <cell r="D1035" t="str">
            <v>DIRECTION CENTRALE DE LA PRODUCTION ET DE L'ANTENNE</v>
          </cell>
          <cell r="V1035">
            <v>25000</v>
          </cell>
          <cell r="W1035" t="str">
            <v>Fonctionnement</v>
          </cell>
        </row>
        <row r="1036">
          <cell r="A1036">
            <v>2017</v>
          </cell>
          <cell r="D1036" t="str">
            <v>DIRECTION CENTRALE DE LA PRODUCTION ET DE L'ANTENNE</v>
          </cell>
          <cell r="V1036">
            <v>20000</v>
          </cell>
          <cell r="W1036" t="str">
            <v>Fonctionnement</v>
          </cell>
        </row>
        <row r="1037">
          <cell r="A1037">
            <v>2017</v>
          </cell>
          <cell r="D1037" t="str">
            <v>DIRECTION CENTRALE DE LA PRODUCTION ET DE L'ANTENNE</v>
          </cell>
          <cell r="V1037">
            <v>25000</v>
          </cell>
          <cell r="W1037" t="str">
            <v>Fonctionnement</v>
          </cell>
        </row>
        <row r="1038">
          <cell r="A1038">
            <v>2017</v>
          </cell>
          <cell r="D1038" t="str">
            <v>DIRECTION CENTRALE DE LA PRODUCTION ET DE L'ANTENNE</v>
          </cell>
          <cell r="V1038">
            <v>15000</v>
          </cell>
          <cell r="W1038" t="str">
            <v>Fonctionnement</v>
          </cell>
        </row>
        <row r="1039">
          <cell r="A1039">
            <v>2017</v>
          </cell>
          <cell r="D1039" t="str">
            <v>DIRECTION CENTRALE DE LA PRODUCTION ET DE L'ANTENNE</v>
          </cell>
          <cell r="V1039">
            <v>25000</v>
          </cell>
          <cell r="W1039" t="str">
            <v>Fonctionnement</v>
          </cell>
        </row>
        <row r="1040">
          <cell r="A1040">
            <v>2017</v>
          </cell>
          <cell r="D1040" t="str">
            <v>DIRECTION CENTRALE DE LA PRODUCTION ET DE L'ANTENNE</v>
          </cell>
          <cell r="V1040">
            <v>25000</v>
          </cell>
          <cell r="W1040" t="str">
            <v>Fonctionnement</v>
          </cell>
        </row>
        <row r="1041">
          <cell r="A1041">
            <v>2017</v>
          </cell>
          <cell r="D1041" t="str">
            <v>DIRECTION CENTRALE DE LA PRODUCTION ET DE L'ANTENNE</v>
          </cell>
          <cell r="V1041">
            <v>40000</v>
          </cell>
          <cell r="W1041" t="str">
            <v>Fonctionnement</v>
          </cell>
        </row>
        <row r="1042">
          <cell r="A1042">
            <v>2017</v>
          </cell>
          <cell r="D1042" t="str">
            <v>DIRECTION CENTRALE DE LA PRODUCTION ET DE L'ANTENNE</v>
          </cell>
          <cell r="V1042">
            <v>20000</v>
          </cell>
          <cell r="W1042" t="str">
            <v>Fonctionnement</v>
          </cell>
        </row>
        <row r="1043">
          <cell r="A1043">
            <v>2017</v>
          </cell>
          <cell r="D1043" t="str">
            <v>DIRECTION CENTRALE DE LA PRODUCTION ET DE L'ANTENNE</v>
          </cell>
          <cell r="V1043">
            <v>20000</v>
          </cell>
          <cell r="W1043" t="str">
            <v>Fonctionnement</v>
          </cell>
        </row>
        <row r="1044">
          <cell r="A1044">
            <v>2017</v>
          </cell>
          <cell r="D1044" t="str">
            <v>DIRECTION CENTRALE DE LA PRODUCTION ET DE L'ANTENNE</v>
          </cell>
          <cell r="V1044">
            <v>20000</v>
          </cell>
          <cell r="W1044" t="str">
            <v>Fonctionnement</v>
          </cell>
        </row>
        <row r="1045">
          <cell r="A1045">
            <v>2017</v>
          </cell>
          <cell r="D1045" t="str">
            <v>DIRECTION CENTRALE DE LA PRODUCTION ET DE L'ANTENNE</v>
          </cell>
          <cell r="V1045">
            <v>20000</v>
          </cell>
          <cell r="W1045" t="str">
            <v>Fonctionnement</v>
          </cell>
        </row>
        <row r="1046">
          <cell r="A1046">
            <v>2017</v>
          </cell>
          <cell r="D1046" t="str">
            <v>DIRECTION CENTRALE DE LA PRODUCTION ET DE L'ANTENNE</v>
          </cell>
          <cell r="V1046">
            <v>20000</v>
          </cell>
          <cell r="W1046" t="str">
            <v>Fonctionnement</v>
          </cell>
        </row>
        <row r="1047">
          <cell r="A1047">
            <v>2017</v>
          </cell>
          <cell r="D1047" t="str">
            <v>DIRECTION CENTRALE DE LA PRODUCTION ET DE L'ANTENNE</v>
          </cell>
          <cell r="V1047">
            <v>10000</v>
          </cell>
          <cell r="W1047" t="str">
            <v>Fonctionnement</v>
          </cell>
        </row>
        <row r="1048">
          <cell r="A1048">
            <v>2017</v>
          </cell>
          <cell r="D1048" t="str">
            <v>DIRECTION CENTRALE DE LA PRODUCTION ET DE L'ANTENNE</v>
          </cell>
          <cell r="V1048">
            <v>25000</v>
          </cell>
          <cell r="W1048" t="str">
            <v>Fonctionnement</v>
          </cell>
        </row>
        <row r="1049">
          <cell r="A1049">
            <v>2017</v>
          </cell>
          <cell r="D1049" t="str">
            <v>DIRECTION CENTRALE DE LA PRODUCTION ET DE L'ANTENNE</v>
          </cell>
          <cell r="V1049">
            <v>20000</v>
          </cell>
          <cell r="W1049" t="str">
            <v>Fonctionnement</v>
          </cell>
        </row>
        <row r="1050">
          <cell r="A1050">
            <v>2017</v>
          </cell>
          <cell r="D1050" t="str">
            <v>DIRECTION CENTRALE DE LA PRODUCTION ET DE L'ANTENNE</v>
          </cell>
          <cell r="V1050">
            <v>20000</v>
          </cell>
          <cell r="W1050" t="str">
            <v>Fonctionnement</v>
          </cell>
        </row>
        <row r="1051">
          <cell r="A1051">
            <v>2017</v>
          </cell>
          <cell r="D1051" t="str">
            <v>DIRECTION CENTRALE DE LA PRODUCTION ET DE L'ANTENNE</v>
          </cell>
          <cell r="V1051">
            <v>20000</v>
          </cell>
          <cell r="W1051" t="str">
            <v>Fonctionnement</v>
          </cell>
        </row>
        <row r="1052">
          <cell r="A1052">
            <v>2017</v>
          </cell>
          <cell r="D1052" t="str">
            <v>DIRECTION CENTRALE DE LA PRODUCTION ET DE L'ANTENNE</v>
          </cell>
          <cell r="V1052">
            <v>105000</v>
          </cell>
          <cell r="W1052" t="str">
            <v>Fonctionnement</v>
          </cell>
        </row>
        <row r="1053">
          <cell r="A1053">
            <v>2017</v>
          </cell>
          <cell r="D1053" t="str">
            <v>DIRECTION CENTRALE DE LA PRODUCTION ET DE L'ANTENNE</v>
          </cell>
          <cell r="V1053">
            <v>15000</v>
          </cell>
          <cell r="W1053" t="str">
            <v>Fonctionnement</v>
          </cell>
        </row>
        <row r="1054">
          <cell r="A1054">
            <v>2017</v>
          </cell>
          <cell r="D1054" t="str">
            <v>DIRECTION CENTRALE DE LA PRODUCTION ET DE L'ANTENNE</v>
          </cell>
          <cell r="V1054">
            <v>15000</v>
          </cell>
          <cell r="W1054" t="str">
            <v>Fonctionnement</v>
          </cell>
        </row>
        <row r="1055">
          <cell r="A1055">
            <v>2017</v>
          </cell>
          <cell r="D1055" t="str">
            <v>DIRECTION CENTRALE DE LA PRODUCTION ET DE L'ANTENNE</v>
          </cell>
          <cell r="V1055">
            <v>25000</v>
          </cell>
          <cell r="W1055" t="str">
            <v>Fonctionnement</v>
          </cell>
        </row>
        <row r="1056">
          <cell r="A1056">
            <v>2017</v>
          </cell>
          <cell r="D1056" t="str">
            <v>DIRECTION CENTRALE DE LA PRODUCTION ET DE L'ANTENNE</v>
          </cell>
          <cell r="V1056">
            <v>15000</v>
          </cell>
          <cell r="W1056" t="str">
            <v>Fonctionnement</v>
          </cell>
        </row>
        <row r="1057">
          <cell r="A1057">
            <v>2017</v>
          </cell>
          <cell r="D1057" t="str">
            <v>DIRECTION CENTRALE DE LA PRODUCTION ET DE L'ANTENNE</v>
          </cell>
          <cell r="V1057">
            <v>15000</v>
          </cell>
          <cell r="W1057" t="str">
            <v>Fonctionnement</v>
          </cell>
        </row>
        <row r="1058">
          <cell r="A1058">
            <v>2017</v>
          </cell>
          <cell r="D1058" t="str">
            <v>DIRECTION CENTRALE DE LA PRODUCTION ET DE L'ANTENNE</v>
          </cell>
          <cell r="V1058">
            <v>15000</v>
          </cell>
          <cell r="W1058" t="str">
            <v>Fonctionnement</v>
          </cell>
        </row>
        <row r="1059">
          <cell r="A1059">
            <v>2017</v>
          </cell>
          <cell r="D1059" t="str">
            <v>DIRECTION CENTRALE DE LA PRODUCTION ET DE L'ANTENNE</v>
          </cell>
          <cell r="V1059">
            <v>15000</v>
          </cell>
          <cell r="W1059" t="str">
            <v>Fonctionnement</v>
          </cell>
        </row>
        <row r="1060">
          <cell r="A1060">
            <v>2017</v>
          </cell>
          <cell r="D1060" t="str">
            <v>DIRECTION CENTRALE DE LA PRODUCTION ET DE L'ANTENNE</v>
          </cell>
          <cell r="V1060">
            <v>15000</v>
          </cell>
          <cell r="W1060" t="str">
            <v>Fonctionnement</v>
          </cell>
        </row>
        <row r="1061">
          <cell r="A1061">
            <v>2017</v>
          </cell>
          <cell r="D1061" t="str">
            <v>DIRECTION CENTRALE DE LA PRODUCTION ET DE L'ANTENNE</v>
          </cell>
          <cell r="V1061">
            <v>20000</v>
          </cell>
          <cell r="W1061" t="str">
            <v>Fonctionnement</v>
          </cell>
        </row>
        <row r="1062">
          <cell r="A1062">
            <v>2017</v>
          </cell>
          <cell r="D1062" t="str">
            <v>DIRECTION CENTRALE DE LA PRODUCTION ET DE L'ANTENNE</v>
          </cell>
          <cell r="V1062">
            <v>15000</v>
          </cell>
          <cell r="W1062" t="str">
            <v>Fonctionnement</v>
          </cell>
        </row>
        <row r="1063">
          <cell r="A1063">
            <v>2017</v>
          </cell>
          <cell r="D1063" t="str">
            <v>DIRECTION CENTRALE DE LA PRODUCTION ET DE L'ANTENNE</v>
          </cell>
          <cell r="V1063">
            <v>15000</v>
          </cell>
          <cell r="W1063" t="str">
            <v>Fonctionnement</v>
          </cell>
        </row>
        <row r="1064">
          <cell r="A1064">
            <v>2017</v>
          </cell>
          <cell r="D1064" t="str">
            <v>DIRECTION CENTRALE DE LA PRODUCTION ET DE L'ANTENNE</v>
          </cell>
          <cell r="V1064">
            <v>15000</v>
          </cell>
          <cell r="W1064" t="str">
            <v>Fonctionnement</v>
          </cell>
        </row>
        <row r="1065">
          <cell r="A1065">
            <v>2017</v>
          </cell>
          <cell r="D1065" t="str">
            <v>DIRECTION CENTRALE DE LA PRODUCTION ET DE L'ANTENNE</v>
          </cell>
          <cell r="V1065">
            <v>20000</v>
          </cell>
          <cell r="W1065" t="str">
            <v>Fonctionnement</v>
          </cell>
        </row>
        <row r="1066">
          <cell r="A1066">
            <v>2017</v>
          </cell>
          <cell r="D1066" t="str">
            <v>DIRECTION CENTRALE DE LA PRODUCTION ET DE L'ANTENNE</v>
          </cell>
          <cell r="V1066">
            <v>15000</v>
          </cell>
          <cell r="W1066" t="str">
            <v>Fonctionnement</v>
          </cell>
        </row>
        <row r="1067">
          <cell r="A1067">
            <v>2017</v>
          </cell>
          <cell r="D1067" t="str">
            <v>DIRECTION CENTRALE DE LA PRODUCTION ET DE L'ANTENNE</v>
          </cell>
          <cell r="V1067">
            <v>15000</v>
          </cell>
          <cell r="W1067" t="str">
            <v>Fonctionnement</v>
          </cell>
        </row>
        <row r="1068">
          <cell r="A1068">
            <v>2017</v>
          </cell>
          <cell r="D1068" t="str">
            <v>DIRECTION CENTRALE DE LA PRODUCTION ET DE L'ANTENNE</v>
          </cell>
          <cell r="V1068">
            <v>20000</v>
          </cell>
          <cell r="W1068" t="str">
            <v>Fonctionnement</v>
          </cell>
        </row>
        <row r="1069">
          <cell r="A1069">
            <v>2017</v>
          </cell>
          <cell r="D1069" t="str">
            <v>DIRECTION CENTRALE DE LA PRODUCTION ET DE L'ANTENNE</v>
          </cell>
          <cell r="V1069">
            <v>105000</v>
          </cell>
          <cell r="W1069" t="str">
            <v>Fonctionnement</v>
          </cell>
        </row>
        <row r="1070">
          <cell r="A1070">
            <v>2017</v>
          </cell>
          <cell r="D1070" t="str">
            <v>DIRECTION CENTRALE DE LA PRODUCTION ET DE L'ANTENNE</v>
          </cell>
          <cell r="V1070">
            <v>20000</v>
          </cell>
          <cell r="W1070" t="str">
            <v>Fonctionnement</v>
          </cell>
        </row>
        <row r="1071">
          <cell r="A1071">
            <v>2017</v>
          </cell>
          <cell r="D1071" t="str">
            <v>DIRECTION CENTRALE DE LA PRODUCTION ET DE L'ANTENNE</v>
          </cell>
          <cell r="V1071">
            <v>25000</v>
          </cell>
          <cell r="W1071" t="str">
            <v>Fonctionnement</v>
          </cell>
        </row>
        <row r="1072">
          <cell r="A1072">
            <v>2017</v>
          </cell>
          <cell r="D1072" t="str">
            <v>DIRECTION CENTRALE DE LA PRODUCTION ET DE L'ANTENNE</v>
          </cell>
          <cell r="V1072">
            <v>15000</v>
          </cell>
          <cell r="W1072" t="str">
            <v>Fonctionnement</v>
          </cell>
        </row>
        <row r="1073">
          <cell r="A1073">
            <v>2017</v>
          </cell>
          <cell r="D1073" t="str">
            <v>DIRECTION CENTRALE DE LA PRODUCTION ET DE L'ANTENNE</v>
          </cell>
          <cell r="V1073">
            <v>20000</v>
          </cell>
          <cell r="W1073" t="str">
            <v>Fonctionnement</v>
          </cell>
        </row>
        <row r="1074">
          <cell r="A1074">
            <v>2017</v>
          </cell>
          <cell r="D1074" t="str">
            <v>DIRECTION CENTRALE DE LA PRODUCTION ET DE L'ANTENNE</v>
          </cell>
          <cell r="V1074">
            <v>15000</v>
          </cell>
          <cell r="W1074" t="str">
            <v>Fonctionnement</v>
          </cell>
        </row>
        <row r="1075">
          <cell r="A1075">
            <v>2017</v>
          </cell>
          <cell r="D1075" t="str">
            <v>DIRECTION CENTRALE DE LA PRODUCTION ET DE L'ANTENNE</v>
          </cell>
          <cell r="V1075">
            <v>15000</v>
          </cell>
          <cell r="W1075" t="str">
            <v>Fonctionnement</v>
          </cell>
        </row>
        <row r="1076">
          <cell r="A1076">
            <v>2017</v>
          </cell>
          <cell r="D1076" t="str">
            <v>DIRECTION CENTRALE DE LA PRODUCTION ET DE L'ANTENNE</v>
          </cell>
          <cell r="V1076">
            <v>10000</v>
          </cell>
          <cell r="W1076" t="str">
            <v>Fonctionnement</v>
          </cell>
        </row>
        <row r="1077">
          <cell r="A1077">
            <v>2017</v>
          </cell>
          <cell r="D1077" t="str">
            <v>DIRECTION CENTRALE DE LA PRODUCTION ET DE L'ANTENNE</v>
          </cell>
          <cell r="V1077">
            <v>15000</v>
          </cell>
          <cell r="W1077" t="str">
            <v>Fonctionnement</v>
          </cell>
        </row>
        <row r="1078">
          <cell r="A1078">
            <v>2017</v>
          </cell>
          <cell r="D1078" t="str">
            <v>DIRECTION CENTRALE DE LA PRODUCTION ET DE L'ANTENNE</v>
          </cell>
          <cell r="V1078">
            <v>10000</v>
          </cell>
          <cell r="W1078" t="str">
            <v>Fonctionnement</v>
          </cell>
        </row>
        <row r="1079">
          <cell r="A1079">
            <v>2017</v>
          </cell>
          <cell r="D1079" t="str">
            <v>DIRECTION CENTRALE DE LA PRODUCTION ET DE L'ANTENNE</v>
          </cell>
          <cell r="V1079">
            <v>20000</v>
          </cell>
          <cell r="W1079" t="str">
            <v>Fonctionnement</v>
          </cell>
        </row>
        <row r="1080">
          <cell r="A1080">
            <v>2017</v>
          </cell>
          <cell r="D1080" t="str">
            <v>DIRECTION CENTRALE DE LA PRODUCTION ET DE L'ANTENNE</v>
          </cell>
          <cell r="V1080">
            <v>20000</v>
          </cell>
          <cell r="W1080" t="str">
            <v>Fonctionnement</v>
          </cell>
        </row>
        <row r="1081">
          <cell r="A1081">
            <v>2017</v>
          </cell>
          <cell r="D1081" t="str">
            <v>DIRECTION CENTRALE DE LA PRODUCTION ET DE L'ANTENNE</v>
          </cell>
          <cell r="V1081">
            <v>20000</v>
          </cell>
          <cell r="W1081" t="str">
            <v>Fonctionnement</v>
          </cell>
        </row>
        <row r="1082">
          <cell r="A1082">
            <v>2017</v>
          </cell>
          <cell r="D1082" t="str">
            <v>DIRECTION CENTRALE DE LA PRODUCTION ET DE L'ANTENNE</v>
          </cell>
          <cell r="V1082">
            <v>20000</v>
          </cell>
          <cell r="W1082" t="str">
            <v>Fonctionnement</v>
          </cell>
        </row>
        <row r="1083">
          <cell r="A1083">
            <v>2017</v>
          </cell>
          <cell r="D1083" t="str">
            <v>DIRECTION CENTRALE DE LA PRODUCTION ET DE L'ANTENNE</v>
          </cell>
          <cell r="V1083">
            <v>15000</v>
          </cell>
          <cell r="W1083" t="str">
            <v>Fonctionnement</v>
          </cell>
        </row>
        <row r="1084">
          <cell r="A1084">
            <v>2017</v>
          </cell>
          <cell r="D1084" t="str">
            <v>DIRECTION CENTRALE DE LA PRODUCTION ET DE L'ANTENNE</v>
          </cell>
          <cell r="V1084">
            <v>15000</v>
          </cell>
          <cell r="W1084" t="str">
            <v>Fonctionnement</v>
          </cell>
        </row>
        <row r="1085">
          <cell r="A1085">
            <v>2017</v>
          </cell>
          <cell r="D1085" t="str">
            <v>DIRECTION CENTRALE DE LA PRODUCTION ET DE L'ANTENNE</v>
          </cell>
          <cell r="V1085">
            <v>15000</v>
          </cell>
          <cell r="W1085" t="str">
            <v>Fonctionnement</v>
          </cell>
        </row>
        <row r="1086">
          <cell r="A1086">
            <v>2017</v>
          </cell>
          <cell r="D1086" t="str">
            <v>DIRECTION CENTRALE DE LA PRODUCTION ET DE L'ANTENNE</v>
          </cell>
          <cell r="V1086">
            <v>25000</v>
          </cell>
          <cell r="W1086" t="str">
            <v>Fonctionnement</v>
          </cell>
        </row>
        <row r="1087">
          <cell r="A1087">
            <v>2017</v>
          </cell>
          <cell r="D1087" t="str">
            <v>DIRECTION CENTRALE DE LA PRODUCTION ET DE L'ANTENNE</v>
          </cell>
          <cell r="V1087">
            <v>15000</v>
          </cell>
          <cell r="W1087" t="str">
            <v>Fonctionnement</v>
          </cell>
        </row>
        <row r="1088">
          <cell r="A1088">
            <v>2017</v>
          </cell>
          <cell r="D1088" t="str">
            <v>DIRECTION CENTRALE DE LA PRODUCTION ET DE L'ANTENNE</v>
          </cell>
          <cell r="V1088">
            <v>15000</v>
          </cell>
          <cell r="W1088" t="str">
            <v>Fonctionnement</v>
          </cell>
        </row>
        <row r="1089">
          <cell r="A1089">
            <v>2017</v>
          </cell>
          <cell r="D1089" t="str">
            <v>DIRECTION CENTRALE DE LA PRODUCTION ET DE L'ANTENNE</v>
          </cell>
          <cell r="V1089">
            <v>25000</v>
          </cell>
          <cell r="W1089" t="str">
            <v>Fonctionnement</v>
          </cell>
        </row>
        <row r="1090">
          <cell r="A1090">
            <v>2017</v>
          </cell>
          <cell r="D1090" t="str">
            <v>DIRECTION CENTRALE DE LA PRODUCTION ET DE L'ANTENNE</v>
          </cell>
          <cell r="V1090">
            <v>35000</v>
          </cell>
          <cell r="W1090" t="str">
            <v>Fonctionnement</v>
          </cell>
        </row>
        <row r="1091">
          <cell r="A1091">
            <v>2017</v>
          </cell>
          <cell r="D1091" t="str">
            <v>DIRECTION CENTRALE DE LA PRODUCTION ET DE L'ANTENNE</v>
          </cell>
          <cell r="V1091">
            <v>25000</v>
          </cell>
          <cell r="W1091" t="str">
            <v>Fonctionnement</v>
          </cell>
        </row>
        <row r="1092">
          <cell r="A1092">
            <v>2017</v>
          </cell>
          <cell r="D1092" t="str">
            <v>DIRECTION CENTRALE DE LA PRODUCTION ET DE L'ANTENNE</v>
          </cell>
          <cell r="V1092">
            <v>25000</v>
          </cell>
          <cell r="W1092" t="str">
            <v>Fonctionnement</v>
          </cell>
        </row>
        <row r="1093">
          <cell r="A1093">
            <v>2017</v>
          </cell>
          <cell r="D1093" t="str">
            <v>DIRECTION CENTRALE DE LA PRODUCTION ET DE L'ANTENNE</v>
          </cell>
          <cell r="V1093">
            <v>30000</v>
          </cell>
          <cell r="W1093" t="str">
            <v>Fonctionnement</v>
          </cell>
        </row>
        <row r="1094">
          <cell r="A1094">
            <v>2017</v>
          </cell>
          <cell r="D1094" t="str">
            <v>DIRECTION CENTRALE DE LA PRODUCTION ET DE L'ANTENNE</v>
          </cell>
          <cell r="V1094">
            <v>30000</v>
          </cell>
          <cell r="W1094" t="str">
            <v>Fonctionnement</v>
          </cell>
        </row>
        <row r="1095">
          <cell r="A1095">
            <v>2017</v>
          </cell>
          <cell r="D1095" t="str">
            <v>DIRECTION CENTRALE DE LA PRODUCTION ET DE L'ANTENNE</v>
          </cell>
          <cell r="V1095">
            <v>50000</v>
          </cell>
          <cell r="W1095" t="str">
            <v>Fonctionnement</v>
          </cell>
        </row>
        <row r="1096">
          <cell r="A1096">
            <v>2017</v>
          </cell>
          <cell r="D1096" t="str">
            <v>DIRECTION CENTRALE DE LA PRODUCTION ET DE L'ANTENNE</v>
          </cell>
          <cell r="V1096">
            <v>35000</v>
          </cell>
          <cell r="W1096" t="str">
            <v>Fonctionnement</v>
          </cell>
        </row>
        <row r="1097">
          <cell r="A1097">
            <v>2017</v>
          </cell>
          <cell r="D1097" t="str">
            <v>DIRECTION CENTRALE DE LA PRODUCTION ET DE L'ANTENNE</v>
          </cell>
          <cell r="V1097">
            <v>20000</v>
          </cell>
          <cell r="W1097" t="str">
            <v>Fonctionnement</v>
          </cell>
        </row>
        <row r="1098">
          <cell r="A1098">
            <v>2017</v>
          </cell>
          <cell r="D1098" t="str">
            <v>DIRECTION CENTRALE DE LA CHAÎNE TAMAZIGHT</v>
          </cell>
          <cell r="V1098">
            <v>140000</v>
          </cell>
          <cell r="W1098" t="str">
            <v>Fonctionnement</v>
          </cell>
        </row>
        <row r="1099">
          <cell r="A1099">
            <v>2017</v>
          </cell>
          <cell r="D1099" t="str">
            <v>DIRECTION CENTRALE DE LA CHAÎNE TAMAZIGHT</v>
          </cell>
          <cell r="V1099">
            <v>140000</v>
          </cell>
          <cell r="W1099" t="str">
            <v>Fonctionnement</v>
          </cell>
        </row>
        <row r="1100">
          <cell r="A1100">
            <v>2017</v>
          </cell>
          <cell r="D1100" t="str">
            <v>DIRECTION CENTRALE DE LA CHAÎNE TAMAZIGHT</v>
          </cell>
          <cell r="V1100">
            <v>140000</v>
          </cell>
          <cell r="W1100" t="str">
            <v>Fonctionnement</v>
          </cell>
        </row>
        <row r="1101">
          <cell r="A1101">
            <v>2017</v>
          </cell>
          <cell r="D1101" t="str">
            <v>DIRECTION CENTRALE DE LA CHAÎNE TAMAZIGHT</v>
          </cell>
          <cell r="V1101">
            <v>140000</v>
          </cell>
          <cell r="W1101" t="str">
            <v>Fonctionnement</v>
          </cell>
        </row>
        <row r="1102">
          <cell r="A1102">
            <v>2017</v>
          </cell>
          <cell r="D1102" t="str">
            <v>DIRECTION DE LA PRODUCTION ET DE LA PROGRAMMATION RADIO</v>
          </cell>
          <cell r="V1102">
            <v>28571.42</v>
          </cell>
          <cell r="W1102" t="str">
            <v>Fonctionnement</v>
          </cell>
        </row>
        <row r="1103">
          <cell r="A1103">
            <v>2017</v>
          </cell>
          <cell r="D1103" t="str">
            <v>DIRECTION DE LA PRODUCTION ET DE LA PROGRAMMATION RADIO</v>
          </cell>
          <cell r="V1103">
            <v>28571.42</v>
          </cell>
          <cell r="W1103" t="str">
            <v>Fonctionnement</v>
          </cell>
        </row>
        <row r="1104">
          <cell r="A1104">
            <v>2017</v>
          </cell>
          <cell r="D1104" t="str">
            <v>DIRECTION DE LA PRODUCTION ET DE LA PROGRAMMATION RADIO</v>
          </cell>
          <cell r="V1104">
            <v>28571.42</v>
          </cell>
          <cell r="W1104" t="str">
            <v>Fonctionnement</v>
          </cell>
        </row>
        <row r="1105">
          <cell r="A1105">
            <v>2017</v>
          </cell>
          <cell r="D1105" t="str">
            <v>DIRECTION DE LA PRODUCTION ET DE LA PROGRAMMATION RADIO</v>
          </cell>
          <cell r="V1105">
            <v>7142.85</v>
          </cell>
          <cell r="W1105" t="str">
            <v>Fonctionnement</v>
          </cell>
        </row>
        <row r="1106">
          <cell r="A1106">
            <v>2017</v>
          </cell>
          <cell r="D1106" t="str">
            <v>DIRECTION DE LA PRODUCTION ET DE LA PROGRAMMATION RADIO</v>
          </cell>
          <cell r="V1106">
            <v>7142.85</v>
          </cell>
          <cell r="W1106" t="str">
            <v>Fonctionnement</v>
          </cell>
        </row>
        <row r="1107">
          <cell r="A1107">
            <v>2017</v>
          </cell>
          <cell r="D1107" t="str">
            <v>DIRECTION DE LA PRODUCTION ET DE LA PROGRAMMATION RADIO</v>
          </cell>
          <cell r="V1107">
            <v>7142.85</v>
          </cell>
          <cell r="W1107" t="str">
            <v>Fonctionnement</v>
          </cell>
        </row>
        <row r="1108">
          <cell r="A1108">
            <v>2017</v>
          </cell>
          <cell r="D1108" t="str">
            <v>DIRECTION DE LA PRODUCTION ET DE LA PROGRAMMATION RADIO</v>
          </cell>
          <cell r="V1108">
            <v>7142.85</v>
          </cell>
          <cell r="W1108" t="str">
            <v>Fonctionnement</v>
          </cell>
        </row>
        <row r="1109">
          <cell r="A1109">
            <v>2017</v>
          </cell>
          <cell r="D1109" t="str">
            <v>DIRECTION DE LA PRODUCTION ET DE LA PROGRAMMATION RADIO</v>
          </cell>
          <cell r="V1109">
            <v>7142.85</v>
          </cell>
          <cell r="W1109" t="str">
            <v>Fonctionnement</v>
          </cell>
        </row>
        <row r="1110">
          <cell r="A1110">
            <v>2017</v>
          </cell>
          <cell r="D1110" t="str">
            <v>DIRECTION DE LA PRODUCTION ET DE LA PROGRAMMATION RADIO</v>
          </cell>
          <cell r="V1110">
            <v>7142.85</v>
          </cell>
          <cell r="W1110" t="str">
            <v>Fonctionnement</v>
          </cell>
        </row>
        <row r="1111">
          <cell r="A1111">
            <v>2017</v>
          </cell>
          <cell r="D1111" t="str">
            <v>DIRECTION CENTRALE DE LA PRODUCTION ET DE L'ANTENNE</v>
          </cell>
          <cell r="V1111">
            <v>60000</v>
          </cell>
          <cell r="W1111" t="str">
            <v>Fonctionnement</v>
          </cell>
        </row>
        <row r="1112">
          <cell r="A1112">
            <v>2017</v>
          </cell>
          <cell r="D1112" t="str">
            <v>DIRECTION DE LA REGIE PUBLICITAIRE ET DES SOLUTIONS DIGITALES</v>
          </cell>
          <cell r="V1112">
            <v>100800</v>
          </cell>
          <cell r="W1112" t="str">
            <v>Fonctionnement</v>
          </cell>
        </row>
        <row r="1113">
          <cell r="A1113">
            <v>2017</v>
          </cell>
          <cell r="D1113" t="str">
            <v>DIRECTION CENTRALE DE LA PRODUCTION ET DE L'ANTENNE</v>
          </cell>
          <cell r="V1113">
            <v>240000</v>
          </cell>
          <cell r="W1113" t="str">
            <v>Fonctionnement</v>
          </cell>
        </row>
        <row r="1114">
          <cell r="A1114">
            <v>2017</v>
          </cell>
          <cell r="D1114" t="str">
            <v>DIRECTION DE LA PRODUCTION ET DE LA PROGRAMMATION RADIO</v>
          </cell>
          <cell r="V1114">
            <v>3571.42</v>
          </cell>
          <cell r="W1114" t="str">
            <v>Fonctionnement</v>
          </cell>
        </row>
        <row r="1115">
          <cell r="A1115">
            <v>2017</v>
          </cell>
          <cell r="D1115" t="str">
            <v>DIRECTION DE LA PRODUCTION ET DE LA PROGRAMMATION RADIO</v>
          </cell>
          <cell r="V1115">
            <v>8000</v>
          </cell>
          <cell r="W1115" t="str">
            <v>Fonctionnement</v>
          </cell>
        </row>
        <row r="1116">
          <cell r="A1116">
            <v>2017</v>
          </cell>
          <cell r="D1116" t="str">
            <v>DIRECTION DE LA PRODUCTION ET DE LA PROGRAMMATION RADIO</v>
          </cell>
          <cell r="V1116">
            <v>8000</v>
          </cell>
          <cell r="W1116" t="str">
            <v>Fonctionnement</v>
          </cell>
        </row>
        <row r="1117">
          <cell r="A1117">
            <v>2017</v>
          </cell>
          <cell r="D1117" t="str">
            <v>DIRECTION DE LA PRODUCTION ET DE LA PROGRAMMATION RADIO</v>
          </cell>
          <cell r="V1117">
            <v>28571.42</v>
          </cell>
          <cell r="W1117" t="str">
            <v>Fonctionnement</v>
          </cell>
        </row>
        <row r="1118">
          <cell r="A1118">
            <v>2017</v>
          </cell>
          <cell r="D1118" t="str">
            <v>DIRECTION DE LA PRODUCTION ET DE LA PROGRAMMATION RADIO</v>
          </cell>
          <cell r="V1118">
            <v>7142.85</v>
          </cell>
          <cell r="W1118" t="str">
            <v>Fonctionnement</v>
          </cell>
        </row>
        <row r="1119">
          <cell r="A1119">
            <v>2017</v>
          </cell>
          <cell r="D1119" t="str">
            <v>DIRECTION CENTRALE DE LA PRODUCTION ET DE L'ANTENNE</v>
          </cell>
          <cell r="V1119">
            <v>100000</v>
          </cell>
          <cell r="W1119" t="str">
            <v>Fonctionnement</v>
          </cell>
        </row>
        <row r="1120">
          <cell r="A1120">
            <v>2017</v>
          </cell>
          <cell r="D1120" t="str">
            <v>DIRECTION CENTRALE DE LA PRODUCTION ET DE L'ANTENNE</v>
          </cell>
          <cell r="V1120">
            <v>20000</v>
          </cell>
          <cell r="W1120" t="str">
            <v>Fonctionnement</v>
          </cell>
        </row>
        <row r="1121">
          <cell r="A1121">
            <v>2017</v>
          </cell>
          <cell r="D1121" t="str">
            <v>DIRECTION CENTRALE DE LA PRODUCTION ET DE L'ANTENNE</v>
          </cell>
          <cell r="V1121">
            <v>25000</v>
          </cell>
          <cell r="W1121" t="str">
            <v>Fonctionnement</v>
          </cell>
        </row>
        <row r="1122">
          <cell r="A1122">
            <v>2017</v>
          </cell>
          <cell r="D1122" t="str">
            <v>DIRECTION CENTRALE DE LA PRODUCTION ET DE L'ANTENNE</v>
          </cell>
          <cell r="V1122">
            <v>25000</v>
          </cell>
          <cell r="W1122" t="str">
            <v>Fonctionnement</v>
          </cell>
        </row>
        <row r="1123">
          <cell r="A1123">
            <v>2017</v>
          </cell>
          <cell r="D1123" t="str">
            <v>DIRECTION CENTRALE DE LA PRODUCTION ET DE L'ANTENNE</v>
          </cell>
          <cell r="V1123">
            <v>5000</v>
          </cell>
          <cell r="W1123" t="str">
            <v>Fonctionnement</v>
          </cell>
        </row>
        <row r="1124">
          <cell r="A1124">
            <v>2017</v>
          </cell>
          <cell r="D1124" t="str">
            <v>DIRECTION CENTRALE DE LA PRODUCTION ET DE L'ANTENNE</v>
          </cell>
          <cell r="V1124">
            <v>20000</v>
          </cell>
          <cell r="W1124" t="str">
            <v>Fonctionnement</v>
          </cell>
        </row>
        <row r="1125">
          <cell r="A1125">
            <v>2017</v>
          </cell>
          <cell r="D1125" t="str">
            <v>DIRECTION CENTRALE DE LA PRODUCTION ET DE L'ANTENNE</v>
          </cell>
          <cell r="V1125">
            <v>20000</v>
          </cell>
          <cell r="W1125" t="str">
            <v>Fonctionnement</v>
          </cell>
        </row>
        <row r="1126">
          <cell r="A1126">
            <v>2017</v>
          </cell>
          <cell r="D1126" t="str">
            <v>DIRECTION CENTRALE DE LA PRODUCTION ET DE L'ANTENNE</v>
          </cell>
          <cell r="V1126">
            <v>20000</v>
          </cell>
          <cell r="W1126" t="str">
            <v>Fonctionnement</v>
          </cell>
        </row>
        <row r="1127">
          <cell r="A1127">
            <v>2017</v>
          </cell>
          <cell r="D1127" t="str">
            <v>DIRECTION DES RESSOURCES HUMAINES</v>
          </cell>
          <cell r="V1127">
            <v>998593.2</v>
          </cell>
          <cell r="W1127" t="str">
            <v>Fonctionnement</v>
          </cell>
        </row>
        <row r="1128">
          <cell r="A1128">
            <v>2017</v>
          </cell>
          <cell r="D1128" t="str">
            <v>DIRECTION CENTRALE DE LA CHAÎNE TAMAZIGHT</v>
          </cell>
          <cell r="V1128">
            <v>456000</v>
          </cell>
          <cell r="W1128" t="str">
            <v>Fonctionnement</v>
          </cell>
        </row>
        <row r="1129">
          <cell r="A1129">
            <v>2017</v>
          </cell>
          <cell r="D1129" t="str">
            <v xml:space="preserve">DIRECTION CENTRALE DE LA CHAINE TV LAAYOUNE </v>
          </cell>
          <cell r="V1129">
            <v>171428.64</v>
          </cell>
          <cell r="W1129" t="str">
            <v>Fonctionnement</v>
          </cell>
        </row>
        <row r="1130">
          <cell r="A1130">
            <v>2017</v>
          </cell>
          <cell r="D1130" t="str">
            <v>DIRECTION DE LA TELEDIFFUSION</v>
          </cell>
          <cell r="V1130">
            <v>1000000</v>
          </cell>
          <cell r="W1130" t="str">
            <v>Fonctionnement</v>
          </cell>
        </row>
        <row r="1131">
          <cell r="A1131">
            <v>2017</v>
          </cell>
          <cell r="D1131" t="str">
            <v>DIRECTION CENTRALE DE LA CHAÎNE ARRYADIA</v>
          </cell>
          <cell r="V1131">
            <v>100000</v>
          </cell>
          <cell r="W1131" t="str">
            <v>Fonctionnement</v>
          </cell>
        </row>
        <row r="1132">
          <cell r="A1132">
            <v>2017</v>
          </cell>
          <cell r="D1132" t="str">
            <v>DIRECTION DE LA PRODUCTION ET DE LA PROGRAMMATION RADIO</v>
          </cell>
          <cell r="V1132">
            <v>7142.85</v>
          </cell>
          <cell r="W1132" t="str">
            <v>Fonctionnement</v>
          </cell>
        </row>
        <row r="1133">
          <cell r="A1133">
            <v>2017</v>
          </cell>
          <cell r="D1133" t="str">
            <v>DIRECTION CENTRALE DE LA CHAÎNE TAMAZIGHT</v>
          </cell>
          <cell r="V1133">
            <v>7142.85</v>
          </cell>
          <cell r="W1133" t="str">
            <v>Fonctionnement</v>
          </cell>
        </row>
        <row r="1134">
          <cell r="A1134">
            <v>2017</v>
          </cell>
          <cell r="D1134" t="str">
            <v>DIRECTION CENTRALE DE LA CHAÎNE TAMAZIGHT</v>
          </cell>
          <cell r="V1134">
            <v>28571.42</v>
          </cell>
          <cell r="W1134" t="str">
            <v>Fonctionnement</v>
          </cell>
        </row>
        <row r="1135">
          <cell r="A1135">
            <v>2017</v>
          </cell>
          <cell r="D1135" t="str">
            <v>DIRECTION CENTRALE DE LA CHAÎNE TAMAZIGHT</v>
          </cell>
          <cell r="V1135">
            <v>28571.42</v>
          </cell>
          <cell r="W1135" t="str">
            <v>Fonctionnement</v>
          </cell>
        </row>
        <row r="1136">
          <cell r="A1136">
            <v>2017</v>
          </cell>
          <cell r="D1136" t="str">
            <v>DIRECTION CENTRALE DE LA CHAÎNE TAMAZIGHT</v>
          </cell>
          <cell r="V1136">
            <v>14285.71</v>
          </cell>
          <cell r="W1136" t="str">
            <v>Fonctionnement</v>
          </cell>
        </row>
        <row r="1137">
          <cell r="A1137">
            <v>2017</v>
          </cell>
          <cell r="D1137" t="str">
            <v>DIRECTION CENTRALE DE LA CHAÎNE TAMAZIGHT</v>
          </cell>
          <cell r="V1137">
            <v>7142.85</v>
          </cell>
          <cell r="W1137" t="str">
            <v>Fonctionnement</v>
          </cell>
        </row>
        <row r="1138">
          <cell r="A1138">
            <v>2017</v>
          </cell>
          <cell r="D1138" t="str">
            <v>DIRECTION CENTRALE DE LA CHAÎNE TAMAZIGHT</v>
          </cell>
          <cell r="V1138">
            <v>7142.85</v>
          </cell>
          <cell r="W1138" t="str">
            <v>Fonctionnement</v>
          </cell>
        </row>
        <row r="1139">
          <cell r="A1139">
            <v>2017</v>
          </cell>
          <cell r="D1139" t="str">
            <v>DIRECTION CENTRALE DE LA CHAÎNE TAMAZIGHT</v>
          </cell>
          <cell r="V1139">
            <v>16000</v>
          </cell>
          <cell r="W1139" t="str">
            <v>Fonctionnement</v>
          </cell>
        </row>
        <row r="1140">
          <cell r="A1140">
            <v>2017</v>
          </cell>
          <cell r="D1140" t="str">
            <v>DIRECTION CENTRALE DE LA CHAÎNE TAMAZIGHT</v>
          </cell>
          <cell r="V1140">
            <v>16000</v>
          </cell>
          <cell r="W1140" t="str">
            <v>Fonctionnement</v>
          </cell>
        </row>
        <row r="1141">
          <cell r="A1141">
            <v>2017</v>
          </cell>
          <cell r="D1141" t="str">
            <v>DIRECTION CENTRALE DE LA CHAÎNE TAMAZIGHT</v>
          </cell>
          <cell r="V1141">
            <v>10000</v>
          </cell>
          <cell r="W1141" t="str">
            <v>Fonctionnement</v>
          </cell>
        </row>
        <row r="1142">
          <cell r="A1142">
            <v>2017</v>
          </cell>
          <cell r="D1142" t="str">
            <v>DIRECTION CENTRALE DE LA CHAÎNE TAMAZIGHT</v>
          </cell>
          <cell r="V1142">
            <v>31500</v>
          </cell>
          <cell r="W1142" t="str">
            <v>Fonctionnement</v>
          </cell>
        </row>
        <row r="1143">
          <cell r="A1143">
            <v>2017</v>
          </cell>
          <cell r="D1143" t="str">
            <v>DIRECTION CENTRALE DE LA CHAÎNE TAMAZIGHT</v>
          </cell>
          <cell r="V1143">
            <v>21000</v>
          </cell>
          <cell r="W1143" t="str">
            <v>Fonctionnement</v>
          </cell>
        </row>
        <row r="1144">
          <cell r="A1144">
            <v>2017</v>
          </cell>
          <cell r="D1144" t="str">
            <v>DIRECTION DE L’INFORMATION TV</v>
          </cell>
          <cell r="V1144">
            <v>980100</v>
          </cell>
          <cell r="W1144" t="str">
            <v>Fonctionnement</v>
          </cell>
        </row>
        <row r="1145">
          <cell r="A1145">
            <v>2017</v>
          </cell>
          <cell r="D1145" t="str">
            <v>DIRECTION DES RESSOURCES HUMAINES</v>
          </cell>
          <cell r="V1145">
            <v>85714.32</v>
          </cell>
          <cell r="W1145" t="str">
            <v>Fonctionnement</v>
          </cell>
        </row>
        <row r="1146">
          <cell r="A1146">
            <v>2017</v>
          </cell>
          <cell r="D1146" t="str">
            <v>DIRECTION CENTRALE DE LA CHAÎNE ARRYADIA</v>
          </cell>
          <cell r="V1146">
            <v>134400</v>
          </cell>
          <cell r="W1146" t="str">
            <v>Fonctionnement</v>
          </cell>
        </row>
        <row r="1147">
          <cell r="A1147">
            <v>2016</v>
          </cell>
          <cell r="D1147" t="str">
            <v>DIRECTION CENTRALE DE LA PRODUCTION ET DE L'ANTENNE</v>
          </cell>
          <cell r="V1147">
            <v>8472697.3919999991</v>
          </cell>
          <cell r="W1147" t="str">
            <v>Fonctionnement</v>
          </cell>
        </row>
        <row r="1148">
          <cell r="A1148">
            <v>2016</v>
          </cell>
          <cell r="D1148" t="str">
            <v>DIRECTION CENTRALE DE LA PRODUCTION ET DE L'ANTENNE</v>
          </cell>
          <cell r="V1148">
            <v>4980000</v>
          </cell>
          <cell r="W1148" t="str">
            <v>Fonctionnement</v>
          </cell>
        </row>
        <row r="1149">
          <cell r="A1149">
            <v>2018</v>
          </cell>
          <cell r="D1149" t="str">
            <v>DIRECTION CENTRALE DE LA PRODUCTION ET DE L'ANTENNE</v>
          </cell>
          <cell r="V1149">
            <v>7400459.0999999996</v>
          </cell>
          <cell r="W1149" t="str">
            <v>Fonctionnement</v>
          </cell>
        </row>
        <row r="1150">
          <cell r="A1150">
            <v>2018</v>
          </cell>
          <cell r="D1150" t="str">
            <v>DIRECTION CENTRALE DE LA PRODUCTION ET DE L'ANTENNE</v>
          </cell>
          <cell r="V1150">
            <v>270000</v>
          </cell>
          <cell r="W1150" t="str">
            <v>Fonctionnement</v>
          </cell>
        </row>
        <row r="1151">
          <cell r="A1151">
            <v>2018</v>
          </cell>
          <cell r="D1151" t="str">
            <v>DIRECTION CENTRALE DE LA PRODUCTION ET DE L'ANTENNE</v>
          </cell>
          <cell r="V1151">
            <v>1123200</v>
          </cell>
          <cell r="W1151" t="str">
            <v>Fonctionnement</v>
          </cell>
        </row>
        <row r="1152">
          <cell r="A1152">
            <v>2018</v>
          </cell>
          <cell r="D1152" t="str">
            <v>DIRECTION CENTRALE DE LA PRODUCTION ET DE L'ANTENNE</v>
          </cell>
          <cell r="V1152">
            <v>154000</v>
          </cell>
          <cell r="W1152" t="str">
            <v>Fonctionnement</v>
          </cell>
        </row>
        <row r="1153">
          <cell r="A1153">
            <v>2018</v>
          </cell>
          <cell r="D1153" t="str">
            <v>DIRECTION CENTRALE DE LA PRODUCTION ET DE L'ANTENNE</v>
          </cell>
          <cell r="V1153">
            <v>2567314.94</v>
          </cell>
          <cell r="W1153" t="str">
            <v>Fonctionnement</v>
          </cell>
        </row>
        <row r="1154">
          <cell r="A1154">
            <v>2018</v>
          </cell>
          <cell r="D1154" t="str">
            <v>DIRECTION CENTRALE DE LA PRODUCTION ET DE L'ANTENNE</v>
          </cell>
          <cell r="V1154">
            <v>28571.43</v>
          </cell>
          <cell r="W1154" t="str">
            <v>Fonctionnement</v>
          </cell>
        </row>
        <row r="1155">
          <cell r="A1155">
            <v>2018</v>
          </cell>
          <cell r="D1155" t="str">
            <v>DIRECTION CENTRALE DE LA PRODUCTION ET DE L'ANTENNE</v>
          </cell>
          <cell r="V1155">
            <v>28571.43</v>
          </cell>
          <cell r="W1155" t="str">
            <v>Fonctionnement</v>
          </cell>
        </row>
        <row r="1156">
          <cell r="A1156">
            <v>2018</v>
          </cell>
          <cell r="D1156" t="str">
            <v>DIRECTION CENTRALE DE LA PRODUCTION ET DE L'ANTENNE</v>
          </cell>
          <cell r="V1156">
            <v>28571.43</v>
          </cell>
          <cell r="W1156" t="str">
            <v>Fonctionnement</v>
          </cell>
        </row>
        <row r="1157">
          <cell r="A1157">
            <v>2018</v>
          </cell>
          <cell r="D1157" t="str">
            <v>DIRECTION CENTRALE DE LA PRODUCTION ET DE L'ANTENNE</v>
          </cell>
          <cell r="V1157">
            <v>21428.57</v>
          </cell>
          <cell r="W1157" t="str">
            <v>Fonctionnement</v>
          </cell>
        </row>
        <row r="1158">
          <cell r="A1158">
            <v>2018</v>
          </cell>
          <cell r="D1158" t="str">
            <v>DIRECTION CENTRALE DE LA PRODUCTION ET DE L'ANTENNE</v>
          </cell>
          <cell r="V1158">
            <v>28571.43</v>
          </cell>
          <cell r="W1158" t="str">
            <v>Fonctionnement</v>
          </cell>
        </row>
        <row r="1159">
          <cell r="A1159">
            <v>2018</v>
          </cell>
          <cell r="D1159" t="str">
            <v>DIRECTION CENTRALE DE LA PRODUCTION ET DE L'ANTENNE</v>
          </cell>
          <cell r="V1159">
            <v>28571.43</v>
          </cell>
          <cell r="W1159" t="str">
            <v>Fonctionnement</v>
          </cell>
        </row>
        <row r="1160">
          <cell r="A1160">
            <v>2018</v>
          </cell>
          <cell r="D1160" t="str">
            <v>DIRECTION CENTRALE DE LA PRODUCTION ET DE L'ANTENNE</v>
          </cell>
          <cell r="V1160">
            <v>35714.29</v>
          </cell>
          <cell r="W1160" t="str">
            <v>Fonctionnement</v>
          </cell>
        </row>
        <row r="1161">
          <cell r="A1161">
            <v>2018</v>
          </cell>
          <cell r="D1161" t="str">
            <v>DIRECTION CENTRALE DE LA PRODUCTION ET DE L'ANTENNE</v>
          </cell>
          <cell r="V1161">
            <v>21428.57</v>
          </cell>
          <cell r="W1161" t="str">
            <v>Fonctionnement</v>
          </cell>
        </row>
        <row r="1162">
          <cell r="A1162">
            <v>2018</v>
          </cell>
          <cell r="D1162" t="str">
            <v>DIRECTION CENTRALE DE LA PRODUCTION ET DE L'ANTENNE</v>
          </cell>
          <cell r="V1162">
            <v>50000</v>
          </cell>
          <cell r="W1162" t="str">
            <v>Fonctionnement</v>
          </cell>
        </row>
        <row r="1163">
          <cell r="A1163">
            <v>2018</v>
          </cell>
          <cell r="D1163" t="str">
            <v>DIRECTION CENTRALE DE LA PRODUCTION ET DE L'ANTENNE</v>
          </cell>
          <cell r="V1163">
            <v>35714.29</v>
          </cell>
          <cell r="W1163" t="str">
            <v>Fonctionnement</v>
          </cell>
        </row>
        <row r="1164">
          <cell r="A1164">
            <v>2018</v>
          </cell>
          <cell r="D1164" t="str">
            <v>DIRECTION CENTRALE DE LA PRODUCTION ET DE L'ANTENNE</v>
          </cell>
          <cell r="V1164">
            <v>42857.14</v>
          </cell>
          <cell r="W1164" t="str">
            <v>Fonctionnement</v>
          </cell>
        </row>
        <row r="1165">
          <cell r="A1165">
            <v>2018</v>
          </cell>
          <cell r="D1165" t="str">
            <v>DIRECTION CENTRALE DE LA PRODUCTION ET DE L'ANTENNE</v>
          </cell>
          <cell r="V1165">
            <v>28571.43</v>
          </cell>
          <cell r="W1165" t="str">
            <v>Fonctionnement</v>
          </cell>
        </row>
        <row r="1166">
          <cell r="A1166">
            <v>2018</v>
          </cell>
          <cell r="D1166" t="str">
            <v>DIRECTION CENTRALE DE LA PRODUCTION ET DE L'ANTENNE</v>
          </cell>
          <cell r="V1166">
            <v>240000</v>
          </cell>
          <cell r="W1166" t="str">
            <v>Fonctionnement</v>
          </cell>
        </row>
        <row r="1167">
          <cell r="A1167">
            <v>2018</v>
          </cell>
          <cell r="D1167" t="str">
            <v>DIRECTION CENTRALE DE LA PRODUCTION ET DE L'ANTENNE</v>
          </cell>
          <cell r="V1167">
            <v>200000</v>
          </cell>
          <cell r="W1167" t="str">
            <v>Fonctionnement</v>
          </cell>
        </row>
        <row r="1168">
          <cell r="A1168">
            <v>2018</v>
          </cell>
          <cell r="D1168" t="str">
            <v>DIRECTION CENTRALE DE LA PRODUCTION ET DE L'ANTENNE</v>
          </cell>
          <cell r="V1168">
            <v>42857.14</v>
          </cell>
          <cell r="W1168" t="str">
            <v>Fonctionnement</v>
          </cell>
        </row>
        <row r="1169">
          <cell r="A1169">
            <v>2018</v>
          </cell>
          <cell r="D1169" t="str">
            <v>DIRECTION CENTRALE DE LA PRODUCTION ET DE L'ANTENNE</v>
          </cell>
          <cell r="V1169">
            <v>200000</v>
          </cell>
          <cell r="W1169" t="str">
            <v>Fonctionnement</v>
          </cell>
        </row>
        <row r="1170">
          <cell r="A1170">
            <v>2018</v>
          </cell>
          <cell r="D1170" t="str">
            <v>DIRECTION CENTRALE DE LA PRODUCTION ET DE L'ANTENNE</v>
          </cell>
          <cell r="V1170">
            <v>145714.32</v>
          </cell>
          <cell r="W1170" t="str">
            <v>Fonctionnement</v>
          </cell>
        </row>
        <row r="1171">
          <cell r="A1171">
            <v>2018</v>
          </cell>
          <cell r="D1171" t="str">
            <v>DIRECTION CENTRALE DE LA PRODUCTION ET DE L'ANTENNE</v>
          </cell>
          <cell r="V1171">
            <v>588000</v>
          </cell>
          <cell r="W1171" t="str">
            <v>Fonctionnement</v>
          </cell>
        </row>
        <row r="1172">
          <cell r="A1172">
            <v>2018</v>
          </cell>
          <cell r="D1172" t="str">
            <v>DIRECTION CENTRALE DE LA PRODUCTION ET DE L'ANTENNE</v>
          </cell>
          <cell r="V1172">
            <v>300000</v>
          </cell>
          <cell r="W1172" t="str">
            <v>Fonctionnement</v>
          </cell>
        </row>
        <row r="1173">
          <cell r="A1173">
            <v>2018</v>
          </cell>
          <cell r="D1173" t="str">
            <v>DIRECTION CENTRALE DE LA PRODUCTION ET DE L'ANTENNE</v>
          </cell>
          <cell r="V1173">
            <v>726000</v>
          </cell>
          <cell r="W1173" t="str">
            <v>Fonctionnement</v>
          </cell>
        </row>
        <row r="1174">
          <cell r="A1174">
            <v>2018</v>
          </cell>
          <cell r="D1174" t="str">
            <v>DIRECTION CENTRALE DE LA PRODUCTION ET DE L'ANTENNE</v>
          </cell>
          <cell r="V1174">
            <v>170000</v>
          </cell>
          <cell r="W1174" t="str">
            <v>Fonctionnement</v>
          </cell>
        </row>
        <row r="1175">
          <cell r="A1175">
            <v>2018</v>
          </cell>
          <cell r="D1175" t="str">
            <v>DIRECTION CENTRALE DE LA PRODUCTION ET DE L'ANTENNE</v>
          </cell>
          <cell r="V1175">
            <v>890736</v>
          </cell>
          <cell r="W1175" t="str">
            <v>Fonctionnement</v>
          </cell>
        </row>
        <row r="1176">
          <cell r="A1176">
            <v>2018</v>
          </cell>
          <cell r="D1176" t="str">
            <v>DIRECTION CENTRALE DE LA PRODUCTION ET DE L'ANTENNE</v>
          </cell>
          <cell r="V1176">
            <v>484000</v>
          </cell>
          <cell r="W1176" t="str">
            <v>Fonctionnement</v>
          </cell>
        </row>
        <row r="1177">
          <cell r="A1177">
            <v>2018</v>
          </cell>
          <cell r="D1177" t="str">
            <v>DIRECTION CENTRALE DE LA PRODUCTION ET DE L'ANTENNE</v>
          </cell>
          <cell r="V1177">
            <v>122400</v>
          </cell>
          <cell r="W1177" t="str">
            <v>Fonctionnement</v>
          </cell>
        </row>
        <row r="1178">
          <cell r="A1178">
            <v>2018</v>
          </cell>
          <cell r="D1178" t="str">
            <v>DIRECTION CENTRALE DE LA PRODUCTION ET DE L'ANTENNE</v>
          </cell>
          <cell r="V1178">
            <v>48000</v>
          </cell>
          <cell r="W1178" t="str">
            <v>Fonctionnement</v>
          </cell>
        </row>
        <row r="1179">
          <cell r="A1179">
            <v>2018</v>
          </cell>
          <cell r="D1179" t="str">
            <v>DIRECTION CENTRALE DE LA PRODUCTION ET DE L'ANTENNE</v>
          </cell>
          <cell r="V1179">
            <v>200000</v>
          </cell>
          <cell r="W1179" t="str">
            <v>Fonctionnement</v>
          </cell>
        </row>
        <row r="1180">
          <cell r="A1180">
            <v>2018</v>
          </cell>
          <cell r="D1180" t="str">
            <v>DIRECTION CENTRALE DE LA PRODUCTION ET DE L'ANTENNE</v>
          </cell>
          <cell r="V1180">
            <v>300000</v>
          </cell>
          <cell r="W1180" t="str">
            <v>Fonctionnement</v>
          </cell>
        </row>
        <row r="1181">
          <cell r="A1181">
            <v>2018</v>
          </cell>
          <cell r="D1181" t="str">
            <v>DIRECTION CENTRALE DE LA PRODUCTION ET DE L'ANTENNE</v>
          </cell>
          <cell r="V1181">
            <v>238000</v>
          </cell>
          <cell r="W1181" t="str">
            <v>Fonctionnement</v>
          </cell>
        </row>
        <row r="1182">
          <cell r="A1182">
            <v>2018</v>
          </cell>
          <cell r="D1182" t="str">
            <v>DIRECTION CENTRALE DE LA PRODUCTION ET DE L'ANTENNE</v>
          </cell>
          <cell r="V1182">
            <v>204000</v>
          </cell>
          <cell r="W1182" t="str">
            <v>Fonctionnement</v>
          </cell>
        </row>
        <row r="1183">
          <cell r="A1183">
            <v>2018</v>
          </cell>
          <cell r="D1183" t="str">
            <v>DIRECTION CENTRALE DE LA PRODUCTION ET DE L'ANTENNE</v>
          </cell>
          <cell r="V1183">
            <v>240000</v>
          </cell>
          <cell r="W1183" t="str">
            <v>Fonctionnement</v>
          </cell>
        </row>
        <row r="1184">
          <cell r="A1184">
            <v>2018</v>
          </cell>
          <cell r="D1184" t="str">
            <v>DIRECTION CENTRALE DE LA PRODUCTION ET DE L'ANTENNE</v>
          </cell>
          <cell r="V1184">
            <v>28571.42</v>
          </cell>
          <cell r="W1184" t="str">
            <v>Fonctionnement</v>
          </cell>
        </row>
        <row r="1185">
          <cell r="A1185">
            <v>2018</v>
          </cell>
          <cell r="D1185" t="str">
            <v>DIRECTION CENTRALE DE LA PRODUCTION ET DE L'ANTENNE</v>
          </cell>
          <cell r="V1185">
            <v>28571.42</v>
          </cell>
          <cell r="W1185" t="str">
            <v>Fonctionnement</v>
          </cell>
        </row>
        <row r="1186">
          <cell r="A1186">
            <v>2018</v>
          </cell>
          <cell r="D1186" t="str">
            <v>DIRECTION CENTRALE DE LA PRODUCTION ET DE L'ANTENNE</v>
          </cell>
          <cell r="V1186">
            <v>14285.71</v>
          </cell>
          <cell r="W1186" t="str">
            <v>Fonctionnement</v>
          </cell>
        </row>
        <row r="1187">
          <cell r="A1187">
            <v>2018</v>
          </cell>
          <cell r="D1187" t="str">
            <v>DIRECTION CENTRALE DE LA PRODUCTION ET DE L'ANTENNE</v>
          </cell>
          <cell r="V1187">
            <v>21428.57</v>
          </cell>
          <cell r="W1187" t="str">
            <v>Fonctionnement</v>
          </cell>
        </row>
        <row r="1188">
          <cell r="A1188">
            <v>2018</v>
          </cell>
          <cell r="D1188" t="str">
            <v>DIRECTION CENTRALE DE LA PRODUCTION ET DE L'ANTENNE</v>
          </cell>
          <cell r="V1188">
            <v>35714.29</v>
          </cell>
          <cell r="W1188" t="str">
            <v>Fonctionnement</v>
          </cell>
        </row>
        <row r="1189">
          <cell r="A1189">
            <v>2018</v>
          </cell>
          <cell r="D1189" t="str">
            <v>DIRECTION CENTRALE DE LA PRODUCTION ET DE L'ANTENNE</v>
          </cell>
          <cell r="V1189">
            <v>21428.57</v>
          </cell>
          <cell r="W1189" t="str">
            <v>Fonctionnement</v>
          </cell>
        </row>
        <row r="1190">
          <cell r="A1190">
            <v>2018</v>
          </cell>
          <cell r="D1190" t="str">
            <v>DIRECTION CENTRALE DE LA PRODUCTION ET DE L'ANTENNE</v>
          </cell>
          <cell r="V1190">
            <v>100000</v>
          </cell>
          <cell r="W1190" t="str">
            <v>Fonctionnement</v>
          </cell>
        </row>
        <row r="1191">
          <cell r="A1191">
            <v>2018</v>
          </cell>
          <cell r="D1191" t="str">
            <v>DIRECTION CENTRALE DE LA PRODUCTION ET DE L'ANTENNE</v>
          </cell>
          <cell r="V1191">
            <v>192000</v>
          </cell>
          <cell r="W1191" t="str">
            <v>Fonctionnement</v>
          </cell>
        </row>
        <row r="1192">
          <cell r="A1192">
            <v>2018</v>
          </cell>
          <cell r="D1192" t="str">
            <v>DIRECTION CENTRALE DE LA PRODUCTION ET DE L'ANTENNE</v>
          </cell>
          <cell r="V1192">
            <v>21428.57</v>
          </cell>
          <cell r="W1192" t="str">
            <v>Fonctionnement</v>
          </cell>
        </row>
        <row r="1193">
          <cell r="A1193">
            <v>2018</v>
          </cell>
          <cell r="D1193" t="str">
            <v>DIRECTION CENTRALE DE LA PRODUCTION ET DE L'ANTENNE</v>
          </cell>
          <cell r="V1193">
            <v>35714.28</v>
          </cell>
          <cell r="W1193" t="str">
            <v>Fonctionnement</v>
          </cell>
        </row>
        <row r="1194">
          <cell r="A1194">
            <v>2018</v>
          </cell>
          <cell r="D1194" t="str">
            <v>DIRECTION CENTRALE DE LA PRODUCTION ET DE L'ANTENNE</v>
          </cell>
          <cell r="V1194">
            <v>35714.28</v>
          </cell>
          <cell r="W1194" t="str">
            <v>Fonctionnement</v>
          </cell>
        </row>
        <row r="1195">
          <cell r="A1195">
            <v>2018</v>
          </cell>
          <cell r="D1195" t="str">
            <v>DIRECTION CENTRALE DE LA PRODUCTION ET DE L'ANTENNE</v>
          </cell>
          <cell r="V1195">
            <v>28571.43</v>
          </cell>
          <cell r="W1195" t="str">
            <v>Fonctionnement</v>
          </cell>
        </row>
        <row r="1196">
          <cell r="A1196">
            <v>2018</v>
          </cell>
          <cell r="D1196" t="str">
            <v>DIRECTION CENTRALE DE LA PRODUCTION ET DE L'ANTENNE</v>
          </cell>
          <cell r="V1196">
            <v>21428.75</v>
          </cell>
          <cell r="W1196" t="str">
            <v>Fonctionnement</v>
          </cell>
        </row>
        <row r="1197">
          <cell r="A1197">
            <v>2018</v>
          </cell>
          <cell r="D1197" t="str">
            <v>DIRECTION CENTRALE DE LA PRODUCTION ET DE L'ANTENNE</v>
          </cell>
          <cell r="V1197">
            <v>28571.43</v>
          </cell>
          <cell r="W1197" t="str">
            <v>Fonctionnement</v>
          </cell>
        </row>
        <row r="1198">
          <cell r="A1198">
            <v>2018</v>
          </cell>
          <cell r="D1198" t="str">
            <v>DIRECTION CENTRALE DE LA PRODUCTION ET DE L'ANTENNE</v>
          </cell>
          <cell r="V1198">
            <v>28571.43</v>
          </cell>
          <cell r="W1198" t="str">
            <v>Fonctionnement</v>
          </cell>
        </row>
        <row r="1199">
          <cell r="A1199">
            <v>2018</v>
          </cell>
          <cell r="D1199" t="str">
            <v>DIRECTION CENTRALE DE LA PRODUCTION ET DE L'ANTENNE</v>
          </cell>
          <cell r="V1199">
            <v>28571.43</v>
          </cell>
          <cell r="W1199" t="str">
            <v>Fonctionnement</v>
          </cell>
        </row>
        <row r="1200">
          <cell r="A1200">
            <v>2018</v>
          </cell>
          <cell r="D1200" t="str">
            <v>DIRECTION CENTRALE DE LA PRODUCTION ET DE L'ANTENNE</v>
          </cell>
          <cell r="V1200">
            <v>21428.75</v>
          </cell>
          <cell r="W1200" t="str">
            <v>Fonctionnement</v>
          </cell>
        </row>
        <row r="1201">
          <cell r="A1201">
            <v>2018</v>
          </cell>
          <cell r="D1201" t="str">
            <v>DIRECTION CENTRALE DE LA PRODUCTION ET DE L'ANTENNE</v>
          </cell>
          <cell r="V1201">
            <v>14285.71</v>
          </cell>
          <cell r="W1201" t="str">
            <v>Fonctionnement</v>
          </cell>
        </row>
        <row r="1202">
          <cell r="A1202">
            <v>2018</v>
          </cell>
          <cell r="D1202" t="str">
            <v>DIRECTION CENTRALE DE LA PRODUCTION ET DE L'ANTENNE</v>
          </cell>
          <cell r="V1202">
            <v>28571.43</v>
          </cell>
          <cell r="W1202" t="str">
            <v>Fonctionnement</v>
          </cell>
        </row>
        <row r="1203">
          <cell r="A1203">
            <v>2018</v>
          </cell>
          <cell r="D1203" t="str">
            <v>DIRECTION CENTRALE DE LA PRODUCTION ET DE L'ANTENNE</v>
          </cell>
          <cell r="V1203">
            <v>21428.75</v>
          </cell>
          <cell r="W1203" t="str">
            <v>Fonctionnement</v>
          </cell>
        </row>
        <row r="1204">
          <cell r="A1204">
            <v>2018</v>
          </cell>
          <cell r="D1204" t="str">
            <v>DIRECTION CENTRALE DE LA PRODUCTION ET DE L'ANTENNE</v>
          </cell>
          <cell r="V1204">
            <v>21428.75</v>
          </cell>
          <cell r="W1204" t="str">
            <v>Fonctionnement</v>
          </cell>
        </row>
        <row r="1205">
          <cell r="A1205">
            <v>2018</v>
          </cell>
          <cell r="D1205" t="str">
            <v>DIRECTION CENTRALE DE LA PRODUCTION ET DE L'ANTENNE</v>
          </cell>
          <cell r="V1205">
            <v>21428.57</v>
          </cell>
          <cell r="W1205" t="str">
            <v>Fonctionnement</v>
          </cell>
        </row>
        <row r="1206">
          <cell r="A1206">
            <v>2018</v>
          </cell>
          <cell r="D1206" t="str">
            <v>DIRECTION CENTRALE DE LA PRODUCTION ET DE L'ANTENNE</v>
          </cell>
          <cell r="V1206">
            <v>100000</v>
          </cell>
          <cell r="W1206" t="str">
            <v>Fonctionnement</v>
          </cell>
        </row>
        <row r="1207">
          <cell r="A1207">
            <v>2018</v>
          </cell>
          <cell r="D1207" t="str">
            <v>DIRECTION CENTRALE DE LA PRODUCTION ET DE L'ANTENNE</v>
          </cell>
          <cell r="V1207">
            <v>35714.29</v>
          </cell>
          <cell r="W1207" t="str">
            <v>Fonctionnement</v>
          </cell>
        </row>
        <row r="1208">
          <cell r="A1208">
            <v>2018</v>
          </cell>
          <cell r="D1208" t="str">
            <v>DIRECTION CENTRALE DE LA PRODUCTION ET DE L'ANTENNE</v>
          </cell>
          <cell r="V1208">
            <v>28571.42</v>
          </cell>
          <cell r="W1208" t="str">
            <v>Fonctionnement</v>
          </cell>
        </row>
        <row r="1209">
          <cell r="A1209">
            <v>2018</v>
          </cell>
          <cell r="D1209" t="str">
            <v>DIRECTION CENTRALE DE LA PRODUCTION ET DE L'ANTENNE</v>
          </cell>
          <cell r="V1209">
            <v>21248.57</v>
          </cell>
          <cell r="W1209" t="str">
            <v>Fonctionnement</v>
          </cell>
        </row>
        <row r="1210">
          <cell r="A1210">
            <v>2018</v>
          </cell>
          <cell r="D1210" t="str">
            <v>DIRECTION CENTRALE DE LA PRODUCTION ET DE L'ANTENNE</v>
          </cell>
          <cell r="V1210">
            <v>28571.42</v>
          </cell>
          <cell r="W1210" t="str">
            <v>Fonctionnement</v>
          </cell>
        </row>
        <row r="1211">
          <cell r="A1211">
            <v>2018</v>
          </cell>
          <cell r="D1211" t="str">
            <v>DIRECTION CENTRALE DE LA PRODUCTION ET DE L'ANTENNE</v>
          </cell>
          <cell r="V1211">
            <v>28571.42</v>
          </cell>
          <cell r="W1211" t="str">
            <v>Fonctionnement</v>
          </cell>
        </row>
        <row r="1212">
          <cell r="A1212">
            <v>2018</v>
          </cell>
          <cell r="D1212" t="str">
            <v>DIRECTION CENTRALE DE LA PRODUCTION ET DE L'ANTENNE</v>
          </cell>
          <cell r="V1212">
            <v>42857.14</v>
          </cell>
          <cell r="W1212" t="str">
            <v>Fonctionnement</v>
          </cell>
        </row>
        <row r="1213">
          <cell r="A1213">
            <v>2018</v>
          </cell>
          <cell r="D1213" t="str">
            <v>DIRECTION CENTRALE DE LA PRODUCTION ET DE L'ANTENNE</v>
          </cell>
          <cell r="V1213">
            <v>7142.86</v>
          </cell>
          <cell r="W1213" t="str">
            <v>Fonctionnement</v>
          </cell>
        </row>
        <row r="1214">
          <cell r="A1214">
            <v>2018</v>
          </cell>
          <cell r="D1214" t="str">
            <v>DIRECTION CENTRALE DE LA PRODUCTION ET DE L'ANTENNE</v>
          </cell>
          <cell r="V1214">
            <v>50000</v>
          </cell>
          <cell r="W1214" t="str">
            <v>Fonctionnement</v>
          </cell>
        </row>
        <row r="1215">
          <cell r="A1215">
            <v>2018</v>
          </cell>
          <cell r="D1215" t="str">
            <v>DIRECTION CENTRALE DE LA PRODUCTION ET DE L'ANTENNE</v>
          </cell>
          <cell r="V1215">
            <v>21428.57</v>
          </cell>
          <cell r="W1215" t="str">
            <v>Fonctionnement</v>
          </cell>
        </row>
        <row r="1216">
          <cell r="A1216">
            <v>2018</v>
          </cell>
          <cell r="D1216" t="str">
            <v>DIRECTION CENTRALE DE LA PRODUCTION ET DE L'ANTENNE</v>
          </cell>
          <cell r="V1216">
            <v>21428.57</v>
          </cell>
          <cell r="W1216" t="str">
            <v>Fonctionnement</v>
          </cell>
        </row>
        <row r="1217">
          <cell r="A1217">
            <v>2018</v>
          </cell>
          <cell r="D1217" t="str">
            <v>DIRECTION CENTRALE DE LA PRODUCTION ET DE L'ANTENNE</v>
          </cell>
          <cell r="V1217">
            <v>35714.28</v>
          </cell>
          <cell r="W1217" t="str">
            <v>Fonctionnement</v>
          </cell>
        </row>
        <row r="1218">
          <cell r="A1218">
            <v>2018</v>
          </cell>
          <cell r="D1218" t="str">
            <v>DIRECTION CENTRALE DE LA PRODUCTION ET DE L'ANTENNE</v>
          </cell>
          <cell r="V1218">
            <v>21428.57</v>
          </cell>
          <cell r="W1218" t="str">
            <v>Fonctionnement</v>
          </cell>
        </row>
        <row r="1219">
          <cell r="A1219">
            <v>2018</v>
          </cell>
          <cell r="D1219" t="str">
            <v>DIRECTION CENTRALE DE LA PRODUCTION ET DE L'ANTENNE</v>
          </cell>
          <cell r="V1219">
            <v>50000</v>
          </cell>
          <cell r="W1219" t="str">
            <v>Fonctionnement</v>
          </cell>
        </row>
        <row r="1220">
          <cell r="A1220">
            <v>2018</v>
          </cell>
          <cell r="D1220" t="str">
            <v>DIRECTION CENTRALE DE LA PRODUCTION ET DE L'ANTENNE</v>
          </cell>
          <cell r="V1220">
            <v>21428.57</v>
          </cell>
          <cell r="W1220" t="str">
            <v>Fonctionnement</v>
          </cell>
        </row>
        <row r="1221">
          <cell r="A1221">
            <v>2018</v>
          </cell>
          <cell r="D1221" t="str">
            <v>DIRECTION CENTRALE DE LA PRODUCTION ET DE L'ANTENNE</v>
          </cell>
          <cell r="V1221">
            <v>42857.14</v>
          </cell>
          <cell r="W1221" t="str">
            <v>Fonctionnement</v>
          </cell>
        </row>
        <row r="1222">
          <cell r="A1222">
            <v>2018</v>
          </cell>
          <cell r="D1222" t="str">
            <v>DIRECTION CENTRALE DE LA PRODUCTION ET DE L'ANTENNE</v>
          </cell>
          <cell r="V1222">
            <v>28571.43</v>
          </cell>
          <cell r="W1222" t="str">
            <v>Fonctionnement</v>
          </cell>
        </row>
        <row r="1223">
          <cell r="A1223">
            <v>2018</v>
          </cell>
          <cell r="D1223" t="str">
            <v>DIRECTION CENTRALE DE LA PRODUCTION ET DE L'ANTENNE</v>
          </cell>
          <cell r="V1223">
            <v>28571.43</v>
          </cell>
          <cell r="W1223" t="str">
            <v>Fonctionnement</v>
          </cell>
        </row>
        <row r="1224">
          <cell r="A1224">
            <v>2018</v>
          </cell>
          <cell r="D1224" t="str">
            <v>DIRECTION CENTRALE DE LA PRODUCTION ET DE L'ANTENNE</v>
          </cell>
          <cell r="V1224">
            <v>21428.57</v>
          </cell>
          <cell r="W1224" t="str">
            <v>Fonctionnement</v>
          </cell>
        </row>
        <row r="1225">
          <cell r="A1225">
            <v>2018</v>
          </cell>
          <cell r="D1225" t="str">
            <v>DIRECTION CENTRALE DE LA PRODUCTION ET DE L'ANTENNE</v>
          </cell>
          <cell r="V1225">
            <v>35714.28</v>
          </cell>
          <cell r="W1225" t="str">
            <v>Fonctionnement</v>
          </cell>
        </row>
        <row r="1226">
          <cell r="A1226">
            <v>2018</v>
          </cell>
          <cell r="D1226" t="str">
            <v>DIRECTION CENTRALE DE LA PRODUCTION ET DE L'ANTENNE</v>
          </cell>
          <cell r="V1226">
            <v>21428.57</v>
          </cell>
          <cell r="W1226" t="str">
            <v>Fonctionnement</v>
          </cell>
        </row>
        <row r="1227">
          <cell r="A1227">
            <v>2018</v>
          </cell>
          <cell r="D1227" t="str">
            <v>DIRECTION CENTRALE DE LA PRODUCTION ET DE L'ANTENNE</v>
          </cell>
          <cell r="V1227">
            <v>21428.57</v>
          </cell>
          <cell r="W1227" t="str">
            <v>Fonctionnement</v>
          </cell>
        </row>
        <row r="1228">
          <cell r="A1228">
            <v>2018</v>
          </cell>
          <cell r="D1228" t="str">
            <v>DIRECTION CENTRALE DE LA PRODUCTION ET DE L'ANTENNE</v>
          </cell>
          <cell r="V1228">
            <v>28571.43</v>
          </cell>
          <cell r="W1228" t="str">
            <v>Fonctionnement</v>
          </cell>
        </row>
        <row r="1229">
          <cell r="A1229">
            <v>2018</v>
          </cell>
          <cell r="D1229" t="str">
            <v>DIRECTION CENTRALE DE LA PRODUCTION ET DE L'ANTENNE</v>
          </cell>
          <cell r="V1229">
            <v>21428.57</v>
          </cell>
          <cell r="W1229" t="str">
            <v>Fonctionnement</v>
          </cell>
        </row>
        <row r="1230">
          <cell r="A1230">
            <v>2018</v>
          </cell>
          <cell r="D1230" t="str">
            <v>DIRECTION CENTRALE DE LA PRODUCTION ET DE L'ANTENNE</v>
          </cell>
          <cell r="V1230">
            <v>28571.42</v>
          </cell>
          <cell r="W1230" t="str">
            <v>Fonctionnement</v>
          </cell>
        </row>
        <row r="1231">
          <cell r="A1231">
            <v>2018</v>
          </cell>
          <cell r="D1231" t="str">
            <v>DIRECTION CENTRALE DE LA PRODUCTION ET DE L'ANTENNE</v>
          </cell>
          <cell r="V1231">
            <v>21428.57</v>
          </cell>
          <cell r="W1231" t="str">
            <v>Fonctionnement</v>
          </cell>
        </row>
        <row r="1232">
          <cell r="A1232">
            <v>2018</v>
          </cell>
          <cell r="D1232" t="str">
            <v>DIRECTION CENTRALE DE LA PRODUCTION ET DE L'ANTENNE</v>
          </cell>
          <cell r="V1232">
            <v>21428.57</v>
          </cell>
          <cell r="W1232" t="str">
            <v>Fonctionnement</v>
          </cell>
        </row>
        <row r="1233">
          <cell r="A1233">
            <v>2018</v>
          </cell>
          <cell r="D1233" t="str">
            <v>DIRECTION CENTRALE DE LA PRODUCTION ET DE L'ANTENNE</v>
          </cell>
          <cell r="V1233">
            <v>21428.57</v>
          </cell>
          <cell r="W1233" t="str">
            <v>Fonctionnement</v>
          </cell>
        </row>
        <row r="1234">
          <cell r="A1234">
            <v>2018</v>
          </cell>
          <cell r="D1234" t="str">
            <v>DIRECTION CENTRALE DE LA PRODUCTION ET DE L'ANTENNE</v>
          </cell>
          <cell r="V1234">
            <v>2157120</v>
          </cell>
          <cell r="W1234" t="str">
            <v>Fonctionnement</v>
          </cell>
        </row>
        <row r="1235">
          <cell r="A1235">
            <v>2018</v>
          </cell>
          <cell r="D1235" t="str">
            <v>DIRECTION CENTRALE DE LA PRODUCTION ET DE L'ANTENNE</v>
          </cell>
          <cell r="V1235">
            <v>28571.43</v>
          </cell>
          <cell r="W1235" t="str">
            <v>Fonctionnement</v>
          </cell>
        </row>
        <row r="1236">
          <cell r="A1236">
            <v>2018</v>
          </cell>
          <cell r="D1236" t="str">
            <v>DIRECTION CENTRALE DE LA PRODUCTION ET DE L'ANTENNE</v>
          </cell>
          <cell r="V1236">
            <v>21428.57</v>
          </cell>
          <cell r="W1236" t="str">
            <v>Fonctionnement</v>
          </cell>
        </row>
        <row r="1237">
          <cell r="A1237">
            <v>2018</v>
          </cell>
          <cell r="D1237" t="str">
            <v>DIRECTION CENTRALE DE LA PRODUCTION ET DE L'ANTENNE</v>
          </cell>
          <cell r="V1237">
            <v>35714.29</v>
          </cell>
          <cell r="W1237" t="str">
            <v>Fonctionnement</v>
          </cell>
        </row>
        <row r="1238">
          <cell r="A1238">
            <v>2018</v>
          </cell>
          <cell r="D1238" t="str">
            <v>DIRECTION CENTRALE DE LA PRODUCTION ET DE L'ANTENNE</v>
          </cell>
          <cell r="V1238">
            <v>21428.57</v>
          </cell>
          <cell r="W1238" t="str">
            <v>Fonctionnement</v>
          </cell>
        </row>
        <row r="1239">
          <cell r="A1239">
            <v>2018</v>
          </cell>
          <cell r="D1239" t="str">
            <v>DIRECTION CENTRALE DE LA PRODUCTION ET DE L'ANTENNE</v>
          </cell>
          <cell r="V1239">
            <v>14285.71</v>
          </cell>
          <cell r="W1239" t="str">
            <v>Fonctionnement</v>
          </cell>
        </row>
        <row r="1240">
          <cell r="A1240">
            <v>2018</v>
          </cell>
          <cell r="D1240" t="str">
            <v>DIRECTION CENTRALE DE LA PRODUCTION ET DE L'ANTENNE</v>
          </cell>
          <cell r="V1240">
            <v>42857.14</v>
          </cell>
          <cell r="W1240" t="str">
            <v>Fonctionnement</v>
          </cell>
        </row>
        <row r="1241">
          <cell r="A1241">
            <v>2018</v>
          </cell>
          <cell r="D1241" t="str">
            <v>DIRECTION CENTRALE DE LA PRODUCTION ET DE L'ANTENNE</v>
          </cell>
          <cell r="V1241">
            <v>28571.43</v>
          </cell>
          <cell r="W1241" t="str">
            <v>Fonctionnement</v>
          </cell>
        </row>
        <row r="1242">
          <cell r="A1242">
            <v>2018</v>
          </cell>
          <cell r="D1242" t="str">
            <v>DIRECTION CENTRALE DE LA PRODUCTION ET DE L'ANTENNE</v>
          </cell>
          <cell r="V1242">
            <v>42857.14</v>
          </cell>
          <cell r="W1242" t="str">
            <v>Fonctionnement</v>
          </cell>
        </row>
        <row r="1243">
          <cell r="A1243">
            <v>2018</v>
          </cell>
          <cell r="D1243" t="str">
            <v>DIRECTION CENTRALE DE LA PRODUCTION ET DE L'ANTENNE</v>
          </cell>
          <cell r="V1243">
            <v>28571.43</v>
          </cell>
          <cell r="W1243" t="str">
            <v>Fonctionnement</v>
          </cell>
        </row>
        <row r="1244">
          <cell r="A1244">
            <v>2018</v>
          </cell>
          <cell r="D1244" t="str">
            <v>DIRECTION CENTRALE DE LA PRODUCTION ET DE L'ANTENNE</v>
          </cell>
          <cell r="V1244">
            <v>28571.43</v>
          </cell>
          <cell r="W1244" t="str">
            <v>Fonctionnement</v>
          </cell>
        </row>
        <row r="1245">
          <cell r="A1245">
            <v>2018</v>
          </cell>
          <cell r="D1245" t="str">
            <v>DIRECTION CENTRALE DE LA PRODUCTION ET DE L'ANTENNE</v>
          </cell>
          <cell r="V1245">
            <v>21428.57</v>
          </cell>
          <cell r="W1245" t="str">
            <v>Fonctionnement</v>
          </cell>
        </row>
        <row r="1246">
          <cell r="A1246">
            <v>2018</v>
          </cell>
          <cell r="D1246" t="str">
            <v>DIRECTION CENTRALE DE LA PRODUCTION ET DE L'ANTENNE</v>
          </cell>
          <cell r="V1246">
            <v>21428.57</v>
          </cell>
          <cell r="W1246" t="str">
            <v>Fonctionnement</v>
          </cell>
        </row>
        <row r="1247">
          <cell r="A1247">
            <v>2018</v>
          </cell>
          <cell r="D1247" t="str">
            <v>DIRECTION CENTRALE DE LA PRODUCTION ET DE L'ANTENNE</v>
          </cell>
          <cell r="V1247">
            <v>28571.43</v>
          </cell>
          <cell r="W1247" t="str">
            <v>Fonctionnement</v>
          </cell>
        </row>
        <row r="1248">
          <cell r="A1248">
            <v>2018</v>
          </cell>
          <cell r="D1248" t="str">
            <v>DIRECTION CENTRALE DE LA PRODUCTION ET DE L'ANTENNE</v>
          </cell>
          <cell r="V1248">
            <v>21428.57</v>
          </cell>
          <cell r="W1248" t="str">
            <v>Fonctionnement</v>
          </cell>
        </row>
        <row r="1249">
          <cell r="A1249">
            <v>2018</v>
          </cell>
          <cell r="D1249" t="str">
            <v>DIRECTION CENTRALE DE LA PRODUCTION ET DE L'ANTENNE</v>
          </cell>
          <cell r="V1249">
            <v>71428.570000000007</v>
          </cell>
          <cell r="W1249" t="str">
            <v>Fonctionnement</v>
          </cell>
        </row>
        <row r="1250">
          <cell r="A1250">
            <v>2018</v>
          </cell>
          <cell r="D1250" t="str">
            <v>DIRECTION CENTRALE DE LA PRODUCTION ET DE L'ANTENNE</v>
          </cell>
          <cell r="V1250">
            <v>21428.57</v>
          </cell>
          <cell r="W1250" t="str">
            <v>Fonctionnement</v>
          </cell>
        </row>
        <row r="1251">
          <cell r="A1251">
            <v>2018</v>
          </cell>
          <cell r="D1251" t="str">
            <v>DIRECTION CENTRALE DE LA PRODUCTION ET DE L'ANTENNE</v>
          </cell>
          <cell r="V1251">
            <v>28571.43</v>
          </cell>
          <cell r="W1251" t="str">
            <v>Fonctionnement</v>
          </cell>
        </row>
        <row r="1252">
          <cell r="A1252">
            <v>2018</v>
          </cell>
          <cell r="D1252" t="str">
            <v>DIRECTION CENTRALE DE LA PRODUCTION ET DE L'ANTENNE</v>
          </cell>
          <cell r="V1252">
            <v>21428.57</v>
          </cell>
          <cell r="W1252" t="str">
            <v>Fonctionnement</v>
          </cell>
        </row>
        <row r="1253">
          <cell r="A1253">
            <v>2018</v>
          </cell>
          <cell r="D1253" t="str">
            <v>DIRECTION CENTRALE DE LA PRODUCTION ET DE L'ANTENNE</v>
          </cell>
          <cell r="V1253">
            <v>21428.57</v>
          </cell>
          <cell r="W1253" t="str">
            <v>Fonctionnement</v>
          </cell>
        </row>
        <row r="1254">
          <cell r="A1254">
            <v>2018</v>
          </cell>
          <cell r="D1254" t="str">
            <v>DIRECTION CENTRALE DE LA PRODUCTION ET DE L'ANTENNE</v>
          </cell>
          <cell r="V1254">
            <v>28571.43</v>
          </cell>
          <cell r="W1254" t="str">
            <v>Fonctionnement</v>
          </cell>
        </row>
        <row r="1255">
          <cell r="A1255">
            <v>2018</v>
          </cell>
          <cell r="D1255" t="str">
            <v>DIRECTION CENTRALE DE LA PRODUCTION ET DE L'ANTENNE</v>
          </cell>
          <cell r="V1255">
            <v>28571.43</v>
          </cell>
          <cell r="W1255" t="str">
            <v>Fonctionnement</v>
          </cell>
        </row>
        <row r="1256">
          <cell r="A1256">
            <v>2018</v>
          </cell>
          <cell r="D1256" t="str">
            <v>DIRECTION CENTRALE DE LA PRODUCTION ET DE L'ANTENNE</v>
          </cell>
          <cell r="V1256">
            <v>21428.57</v>
          </cell>
          <cell r="W1256" t="str">
            <v>Fonctionnement</v>
          </cell>
        </row>
        <row r="1257">
          <cell r="A1257">
            <v>2018</v>
          </cell>
          <cell r="D1257" t="str">
            <v>DIRECTION CENTRALE DE LA PRODUCTION ET DE L'ANTENNE</v>
          </cell>
          <cell r="V1257">
            <v>28571.43</v>
          </cell>
          <cell r="W1257" t="str">
            <v>Fonctionnement</v>
          </cell>
        </row>
        <row r="1258">
          <cell r="A1258">
            <v>2018</v>
          </cell>
          <cell r="D1258" t="str">
            <v>DIRECTION CENTRALE DE LA PRODUCTION ET DE L'ANTENNE</v>
          </cell>
          <cell r="V1258">
            <v>21428.57</v>
          </cell>
          <cell r="W1258" t="str">
            <v>Fonctionnement</v>
          </cell>
        </row>
        <row r="1259">
          <cell r="A1259">
            <v>2018</v>
          </cell>
          <cell r="D1259" t="str">
            <v>DIRECTION CENTRALE DE LA PRODUCTION ET DE L'ANTENNE</v>
          </cell>
          <cell r="V1259">
            <v>21428.57</v>
          </cell>
          <cell r="W1259" t="str">
            <v>Fonctionnement</v>
          </cell>
        </row>
        <row r="1260">
          <cell r="A1260">
            <v>2018</v>
          </cell>
          <cell r="D1260" t="str">
            <v>DIRECTION CENTRALE DE LA PRODUCTION ET DE L'ANTENNE</v>
          </cell>
          <cell r="V1260">
            <v>21428.57</v>
          </cell>
          <cell r="W1260" t="str">
            <v>Fonctionnement</v>
          </cell>
        </row>
        <row r="1261">
          <cell r="A1261">
            <v>2018</v>
          </cell>
          <cell r="D1261" t="str">
            <v>DIRECTION CENTRALE DE LA PRODUCTION ET DE L'ANTENNE</v>
          </cell>
          <cell r="V1261">
            <v>21428.57</v>
          </cell>
          <cell r="W1261" t="str">
            <v>Fonctionnement</v>
          </cell>
        </row>
        <row r="1262">
          <cell r="A1262">
            <v>2018</v>
          </cell>
          <cell r="D1262" t="str">
            <v>DIRECTION CENTRALE DE LA PRODUCTION ET DE L'ANTENNE</v>
          </cell>
          <cell r="V1262">
            <v>28571.43</v>
          </cell>
          <cell r="W1262" t="str">
            <v>Fonctionnement</v>
          </cell>
        </row>
        <row r="1263">
          <cell r="A1263">
            <v>2018</v>
          </cell>
          <cell r="D1263" t="str">
            <v>DIRECTION CENTRALE DE LA PRODUCTION ET DE L'ANTENNE</v>
          </cell>
          <cell r="V1263">
            <v>28571.43</v>
          </cell>
          <cell r="W1263" t="str">
            <v>Fonctionnement</v>
          </cell>
        </row>
        <row r="1264">
          <cell r="A1264">
            <v>2018</v>
          </cell>
          <cell r="D1264" t="str">
            <v>DIRECTION CENTRALE DE LA PRODUCTION ET DE L'ANTENNE</v>
          </cell>
          <cell r="V1264">
            <v>28571.43</v>
          </cell>
          <cell r="W1264" t="str">
            <v>Fonctionnement</v>
          </cell>
        </row>
        <row r="1265">
          <cell r="A1265">
            <v>2018</v>
          </cell>
          <cell r="D1265" t="str">
            <v>DIRECTION CENTRALE DE LA PRODUCTION ET DE L'ANTENNE</v>
          </cell>
          <cell r="V1265">
            <v>8400000</v>
          </cell>
          <cell r="W1265" t="str">
            <v>Fonctionnement</v>
          </cell>
        </row>
        <row r="1266">
          <cell r="A1266">
            <v>2018</v>
          </cell>
          <cell r="D1266" t="str">
            <v>DIRECTION CENTRALE DE LA PRODUCTION ET DE L'ANTENNE</v>
          </cell>
          <cell r="V1266">
            <v>50000</v>
          </cell>
          <cell r="W1266" t="str">
            <v>Fonctionnement</v>
          </cell>
        </row>
        <row r="1267">
          <cell r="A1267">
            <v>2018</v>
          </cell>
          <cell r="D1267" t="str">
            <v>DIRECTION CENTRALE DE LA PRODUCTION ET DE L'ANTENNE</v>
          </cell>
          <cell r="V1267">
            <v>42857.14</v>
          </cell>
          <cell r="W1267" t="str">
            <v>Fonctionnement</v>
          </cell>
        </row>
        <row r="1268">
          <cell r="A1268">
            <v>2018</v>
          </cell>
          <cell r="D1268" t="str">
            <v>DIRECTION CENTRALE DE LA PRODUCTION ET DE L'ANTENNE</v>
          </cell>
          <cell r="V1268">
            <v>21428.57</v>
          </cell>
          <cell r="W1268" t="str">
            <v>Fonctionnement</v>
          </cell>
        </row>
        <row r="1269">
          <cell r="A1269">
            <v>2018</v>
          </cell>
          <cell r="D1269" t="str">
            <v>DIRECTION CENTRALE DE LA PRODUCTION ET DE L'ANTENNE</v>
          </cell>
          <cell r="V1269">
            <v>78571.429999999993</v>
          </cell>
          <cell r="W1269" t="str">
            <v>Fonctionnement</v>
          </cell>
        </row>
        <row r="1270">
          <cell r="A1270">
            <v>2018</v>
          </cell>
          <cell r="D1270" t="str">
            <v>DIRECTION CENTRALE DE LA PRODUCTION ET DE L'ANTENNE</v>
          </cell>
          <cell r="V1270">
            <v>21428.57</v>
          </cell>
          <cell r="W1270" t="str">
            <v>Fonctionnement</v>
          </cell>
        </row>
        <row r="1271">
          <cell r="A1271">
            <v>2018</v>
          </cell>
          <cell r="D1271" t="str">
            <v>DIRECTION CENTRALE DE LA PRODUCTION ET DE L'ANTENNE</v>
          </cell>
          <cell r="V1271">
            <v>21428.57</v>
          </cell>
          <cell r="W1271" t="str">
            <v>Fonctionnement</v>
          </cell>
        </row>
        <row r="1272">
          <cell r="A1272">
            <v>2018</v>
          </cell>
          <cell r="D1272" t="str">
            <v>DIRECTION CENTRALE DE LA PRODUCTION ET DE L'ANTENNE</v>
          </cell>
          <cell r="V1272">
            <v>21428.57</v>
          </cell>
          <cell r="W1272" t="str">
            <v>Fonctionnement</v>
          </cell>
        </row>
        <row r="1273">
          <cell r="A1273">
            <v>2018</v>
          </cell>
          <cell r="D1273" t="str">
            <v>DIRECTION CENTRALE DE LA PRODUCTION ET DE L'ANTENNE</v>
          </cell>
          <cell r="V1273">
            <v>28571.43</v>
          </cell>
          <cell r="W1273" t="str">
            <v>Fonctionnement</v>
          </cell>
        </row>
        <row r="1274">
          <cell r="A1274">
            <v>2018</v>
          </cell>
          <cell r="D1274" t="str">
            <v>DIRECTION CENTRALE DE LA PRODUCTION ET DE L'ANTENNE</v>
          </cell>
          <cell r="V1274">
            <v>21428.57</v>
          </cell>
          <cell r="W1274" t="str">
            <v>Fonctionnement</v>
          </cell>
        </row>
        <row r="1275">
          <cell r="A1275">
            <v>2018</v>
          </cell>
          <cell r="D1275" t="str">
            <v>DIRECTION CENTRALE DE LA PRODUCTION ET DE L'ANTENNE</v>
          </cell>
          <cell r="V1275">
            <v>21428.57</v>
          </cell>
          <cell r="W1275" t="str">
            <v>Fonctionnement</v>
          </cell>
        </row>
        <row r="1276">
          <cell r="A1276">
            <v>2018</v>
          </cell>
          <cell r="D1276" t="str">
            <v>DIRECTION CENTRALE DE LA PRODUCTION ET DE L'ANTENNE</v>
          </cell>
          <cell r="V1276">
            <v>21428.57</v>
          </cell>
          <cell r="W1276" t="str">
            <v>Fonctionnement</v>
          </cell>
        </row>
        <row r="1277">
          <cell r="A1277">
            <v>2018</v>
          </cell>
          <cell r="D1277" t="str">
            <v>DIRECTION CENTRALE DE LA PRODUCTION ET DE L'ANTENNE</v>
          </cell>
          <cell r="V1277">
            <v>200000</v>
          </cell>
          <cell r="W1277" t="str">
            <v>Fonctionnement</v>
          </cell>
        </row>
        <row r="1278">
          <cell r="A1278">
            <v>2018</v>
          </cell>
          <cell r="D1278" t="str">
            <v>DIRECTION CENTRALE DE LA PRODUCTION ET DE L'ANTENNE</v>
          </cell>
          <cell r="V1278">
            <v>200000</v>
          </cell>
          <cell r="W1278" t="str">
            <v>Fonctionnement</v>
          </cell>
        </row>
        <row r="1279">
          <cell r="A1279">
            <v>2018</v>
          </cell>
          <cell r="D1279" t="str">
            <v>DIRECTION CENTRALE DE LA PRODUCTION ET DE L'ANTENNE</v>
          </cell>
          <cell r="V1279">
            <v>180000</v>
          </cell>
          <cell r="W1279" t="str">
            <v>Fonctionnement</v>
          </cell>
        </row>
        <row r="1280">
          <cell r="A1280">
            <v>2018</v>
          </cell>
          <cell r="D1280" t="str">
            <v>DIRECTION CENTRALE DE LA PRODUCTION ET DE L'ANTENNE</v>
          </cell>
          <cell r="V1280">
            <v>42857.14</v>
          </cell>
          <cell r="W1280" t="str">
            <v>Fonctionnement</v>
          </cell>
        </row>
        <row r="1281">
          <cell r="A1281">
            <v>2018</v>
          </cell>
          <cell r="D1281" t="str">
            <v>DIRECTION CENTRALE DE LA PRODUCTION ET DE L'ANTENNE</v>
          </cell>
          <cell r="V1281">
            <v>21428.57</v>
          </cell>
          <cell r="W1281" t="str">
            <v>Fonctionnement</v>
          </cell>
        </row>
        <row r="1282">
          <cell r="A1282">
            <v>2018</v>
          </cell>
          <cell r="D1282" t="str">
            <v>DIRECTION CENTRALE DE LA PRODUCTION ET DE L'ANTENNE</v>
          </cell>
          <cell r="V1282">
            <v>21428.57</v>
          </cell>
          <cell r="W1282" t="str">
            <v>Fonctionnement</v>
          </cell>
        </row>
        <row r="1283">
          <cell r="A1283">
            <v>2018</v>
          </cell>
          <cell r="D1283" t="str">
            <v>DIRECTION CENTRALE DE LA PRODUCTION ET DE L'ANTENNE</v>
          </cell>
          <cell r="V1283">
            <v>28571.43</v>
          </cell>
          <cell r="W1283" t="str">
            <v>Fonctionnement</v>
          </cell>
        </row>
        <row r="1284">
          <cell r="A1284">
            <v>2018</v>
          </cell>
          <cell r="D1284" t="str">
            <v>DIRECTION CENTRALE DE LA PRODUCTION ET DE L'ANTENNE</v>
          </cell>
          <cell r="V1284">
            <v>21428.57</v>
          </cell>
          <cell r="W1284" t="str">
            <v>Fonctionnement</v>
          </cell>
        </row>
        <row r="1285">
          <cell r="A1285">
            <v>2018</v>
          </cell>
          <cell r="D1285" t="str">
            <v>DIRECTION CENTRALE DE LA PRODUCTION ET DE L'ANTENNE</v>
          </cell>
          <cell r="V1285">
            <v>21428.57</v>
          </cell>
          <cell r="W1285" t="str">
            <v>Fonctionnement</v>
          </cell>
        </row>
        <row r="1286">
          <cell r="A1286">
            <v>2018</v>
          </cell>
          <cell r="D1286" t="str">
            <v>DIRECTION CENTRALE DE LA PRODUCTION ET DE L'ANTENNE</v>
          </cell>
          <cell r="V1286">
            <v>21428.57</v>
          </cell>
          <cell r="W1286" t="str">
            <v>Fonctionnement</v>
          </cell>
        </row>
        <row r="1287">
          <cell r="A1287">
            <v>2018</v>
          </cell>
          <cell r="D1287" t="str">
            <v>DIRECTION CENTRALE DE LA PRODUCTION ET DE L'ANTENNE</v>
          </cell>
          <cell r="V1287">
            <v>21428.57</v>
          </cell>
          <cell r="W1287" t="str">
            <v>Fonctionnement</v>
          </cell>
        </row>
        <row r="1288">
          <cell r="A1288">
            <v>2018</v>
          </cell>
          <cell r="D1288" t="str">
            <v>DIRECTION CENTRALE DE LA PRODUCTION ET DE L'ANTENNE</v>
          </cell>
          <cell r="V1288">
            <v>200000</v>
          </cell>
          <cell r="W1288" t="str">
            <v>Fonctionnement</v>
          </cell>
        </row>
        <row r="1289">
          <cell r="A1289">
            <v>2018</v>
          </cell>
          <cell r="D1289" t="str">
            <v>DIRECTION CENTRALE DE LA PRODUCTION ET DE L'ANTENNE</v>
          </cell>
          <cell r="V1289">
            <v>503096.08799999999</v>
          </cell>
          <cell r="W1289" t="str">
            <v>Fonctionnement</v>
          </cell>
        </row>
        <row r="1290">
          <cell r="A1290">
            <v>2018</v>
          </cell>
          <cell r="D1290" t="str">
            <v>DIRECTION CENTRALE DE LA PRODUCTION ET DE L'ANTENNE</v>
          </cell>
          <cell r="V1290">
            <v>28571.43</v>
          </cell>
          <cell r="W1290" t="str">
            <v>Fonctionnement</v>
          </cell>
        </row>
        <row r="1291">
          <cell r="A1291">
            <v>2018</v>
          </cell>
          <cell r="D1291" t="str">
            <v>DIRECTION CENTRALE DE LA PRODUCTION ET DE L'ANTENNE</v>
          </cell>
          <cell r="V1291">
            <v>28571.43</v>
          </cell>
          <cell r="W1291" t="str">
            <v>Fonctionnement</v>
          </cell>
        </row>
        <row r="1292">
          <cell r="A1292">
            <v>2018</v>
          </cell>
          <cell r="D1292" t="str">
            <v>DIRECTION CENTRALE DE LA PRODUCTION ET DE L'ANTENNE</v>
          </cell>
          <cell r="V1292">
            <v>28571.43</v>
          </cell>
          <cell r="W1292" t="str">
            <v>Fonctionnement</v>
          </cell>
        </row>
        <row r="1293">
          <cell r="A1293">
            <v>2018</v>
          </cell>
          <cell r="D1293" t="str">
            <v>DIRECTION CENTRALE DE LA PRODUCTION ET DE L'ANTENNE</v>
          </cell>
          <cell r="V1293">
            <v>21428.57</v>
          </cell>
          <cell r="W1293" t="str">
            <v>Fonctionnement</v>
          </cell>
        </row>
        <row r="1294">
          <cell r="A1294">
            <v>2018</v>
          </cell>
          <cell r="D1294" t="str">
            <v>DIRECTION CENTRALE DE LA PRODUCTION ET DE L'ANTENNE</v>
          </cell>
          <cell r="V1294">
            <v>21428.57</v>
          </cell>
          <cell r="W1294" t="str">
            <v>Fonctionnement</v>
          </cell>
        </row>
        <row r="1295">
          <cell r="A1295">
            <v>2018</v>
          </cell>
          <cell r="D1295" t="str">
            <v>DIRECTION CENTRALE DE LA PRODUCTION ET DE L'ANTENNE</v>
          </cell>
          <cell r="V1295">
            <v>21428.57</v>
          </cell>
          <cell r="W1295" t="str">
            <v>Fonctionnement</v>
          </cell>
        </row>
        <row r="1296">
          <cell r="A1296">
            <v>2018</v>
          </cell>
          <cell r="D1296" t="str">
            <v>DIRECTION CENTRALE DE LA PRODUCTION ET DE L'ANTENNE</v>
          </cell>
          <cell r="V1296">
            <v>50000</v>
          </cell>
          <cell r="W1296" t="str">
            <v>Fonctionnement</v>
          </cell>
        </row>
        <row r="1297">
          <cell r="A1297">
            <v>2018</v>
          </cell>
          <cell r="D1297" t="str">
            <v>DIRECTION CENTRALE DE LA PRODUCTION ET DE L'ANTENNE</v>
          </cell>
          <cell r="V1297">
            <v>21428.57</v>
          </cell>
          <cell r="W1297" t="str">
            <v>Fonctionnement</v>
          </cell>
        </row>
        <row r="1298">
          <cell r="A1298">
            <v>2018</v>
          </cell>
          <cell r="D1298" t="str">
            <v>DIRECTION CENTRALE DE LA PRODUCTION ET DE L'ANTENNE</v>
          </cell>
          <cell r="V1298">
            <v>28571.43</v>
          </cell>
          <cell r="W1298" t="str">
            <v>Fonctionnement</v>
          </cell>
        </row>
        <row r="1299">
          <cell r="A1299">
            <v>2018</v>
          </cell>
          <cell r="D1299" t="str">
            <v>DIRECTION CENTRALE DE LA PRODUCTION ET DE L'ANTENNE</v>
          </cell>
          <cell r="V1299">
            <v>21428.57</v>
          </cell>
          <cell r="W1299" t="str">
            <v>Fonctionnement</v>
          </cell>
        </row>
        <row r="1300">
          <cell r="A1300">
            <v>2018</v>
          </cell>
          <cell r="D1300" t="str">
            <v>DIRECTION CENTRALE DE LA PRODUCTION ET DE L'ANTENNE</v>
          </cell>
          <cell r="V1300">
            <v>28571.43</v>
          </cell>
          <cell r="W1300" t="str">
            <v>Fonctionnement</v>
          </cell>
        </row>
        <row r="1301">
          <cell r="A1301">
            <v>2018</v>
          </cell>
          <cell r="D1301" t="str">
            <v>DIRECTION CENTRALE DE LA PRODUCTION ET DE L'ANTENNE</v>
          </cell>
          <cell r="V1301">
            <v>21428.57</v>
          </cell>
          <cell r="W1301" t="str">
            <v>Fonctionnement</v>
          </cell>
        </row>
        <row r="1302">
          <cell r="A1302">
            <v>2018</v>
          </cell>
          <cell r="D1302" t="str">
            <v>DIRECTION CENTRALE DE LA PRODUCTION ET DE L'ANTENNE</v>
          </cell>
          <cell r="V1302">
            <v>21428.57</v>
          </cell>
          <cell r="W1302" t="str">
            <v>Fonctionnement</v>
          </cell>
        </row>
        <row r="1303">
          <cell r="A1303">
            <v>2018</v>
          </cell>
          <cell r="D1303" t="str">
            <v>DIRECTION CENTRALE DE LA PRODUCTION ET DE L'ANTENNE</v>
          </cell>
          <cell r="V1303">
            <v>28571.43</v>
          </cell>
          <cell r="W1303" t="str">
            <v>Fonctionnement</v>
          </cell>
        </row>
        <row r="1304">
          <cell r="A1304">
            <v>2018</v>
          </cell>
          <cell r="D1304" t="str">
            <v>DIRECTION CENTRALE DE LA PRODUCTION ET DE L'ANTENNE</v>
          </cell>
          <cell r="V1304">
            <v>21428.57</v>
          </cell>
          <cell r="W1304" t="str">
            <v>Fonctionnement</v>
          </cell>
        </row>
        <row r="1305">
          <cell r="A1305">
            <v>2018</v>
          </cell>
          <cell r="D1305" t="str">
            <v>DIRECTION CENTRALE DE LA PRODUCTION ET DE L'ANTENNE</v>
          </cell>
          <cell r="V1305">
            <v>21428.57</v>
          </cell>
          <cell r="W1305" t="str">
            <v>Fonctionnement</v>
          </cell>
        </row>
        <row r="1306">
          <cell r="A1306">
            <v>2018</v>
          </cell>
          <cell r="D1306" t="str">
            <v>DIRECTION CENTRALE DE LA PRODUCTION ET DE L'ANTENNE</v>
          </cell>
          <cell r="V1306">
            <v>21428.57</v>
          </cell>
          <cell r="W1306" t="str">
            <v>Fonctionnement</v>
          </cell>
        </row>
        <row r="1307">
          <cell r="A1307">
            <v>2018</v>
          </cell>
          <cell r="D1307" t="str">
            <v>DIRECTION CENTRALE DE LA PRODUCTION ET DE L'ANTENNE</v>
          </cell>
          <cell r="V1307">
            <v>50000</v>
          </cell>
          <cell r="W1307" t="str">
            <v>Fonctionnement</v>
          </cell>
        </row>
        <row r="1308">
          <cell r="A1308">
            <v>2018</v>
          </cell>
          <cell r="D1308" t="str">
            <v>DIRECTION CENTRALE DE LA PRODUCTION ET DE L'ANTENNE</v>
          </cell>
          <cell r="V1308">
            <v>28571.43</v>
          </cell>
          <cell r="W1308" t="str">
            <v>Fonctionnement</v>
          </cell>
        </row>
        <row r="1309">
          <cell r="A1309">
            <v>2018</v>
          </cell>
          <cell r="D1309" t="str">
            <v>DIRECTION CENTRALE DE LA PRODUCTION ET DE L'ANTENNE</v>
          </cell>
          <cell r="V1309">
            <v>21428.57</v>
          </cell>
          <cell r="W1309" t="str">
            <v>Fonctionnement</v>
          </cell>
        </row>
        <row r="1310">
          <cell r="A1310">
            <v>2018</v>
          </cell>
          <cell r="D1310" t="str">
            <v>DIRECTION CENTRALE DE LA PRODUCTION ET DE L'ANTENNE</v>
          </cell>
          <cell r="V1310">
            <v>14285.71</v>
          </cell>
          <cell r="W1310" t="str">
            <v>Fonctionnement</v>
          </cell>
        </row>
        <row r="1311">
          <cell r="A1311">
            <v>2018</v>
          </cell>
          <cell r="D1311" t="str">
            <v>DIRECTION CENTRALE DE LA PRODUCTION ET DE L'ANTENNE</v>
          </cell>
          <cell r="V1311">
            <v>21428.57</v>
          </cell>
          <cell r="W1311" t="str">
            <v>Fonctionnement</v>
          </cell>
        </row>
        <row r="1312">
          <cell r="A1312">
            <v>2018</v>
          </cell>
          <cell r="D1312" t="str">
            <v>DIRECTION CENTRALE DE LA PRODUCTION ET DE L'ANTENNE</v>
          </cell>
          <cell r="V1312">
            <v>21428.57</v>
          </cell>
          <cell r="W1312" t="str">
            <v>Fonctionnement</v>
          </cell>
        </row>
        <row r="1313">
          <cell r="A1313">
            <v>2018</v>
          </cell>
          <cell r="D1313" t="str">
            <v>DIRECTION CENTRALE DE LA PRODUCTION ET DE L'ANTENNE</v>
          </cell>
          <cell r="V1313">
            <v>400000</v>
          </cell>
          <cell r="W1313" t="str">
            <v>Fonctionnement</v>
          </cell>
        </row>
        <row r="1314">
          <cell r="A1314">
            <v>2018</v>
          </cell>
          <cell r="D1314" t="str">
            <v>DIRECTION CENTRALE DE LA PRODUCTION ET DE L'ANTENNE</v>
          </cell>
          <cell r="V1314">
            <v>180000</v>
          </cell>
          <cell r="W1314" t="str">
            <v>Fonctionnement</v>
          </cell>
        </row>
        <row r="1315">
          <cell r="A1315">
            <v>2018</v>
          </cell>
          <cell r="D1315" t="str">
            <v>DIRECTION CENTRALE DE LA PRODUCTION ET DE L'ANTENNE</v>
          </cell>
          <cell r="V1315">
            <v>200000</v>
          </cell>
          <cell r="W1315" t="str">
            <v>Fonctionnement</v>
          </cell>
        </row>
        <row r="1316">
          <cell r="A1316">
            <v>2018</v>
          </cell>
          <cell r="D1316" t="str">
            <v>DIRECTION CENTRALE DE LA PRODUCTION ET DE L'ANTENNE</v>
          </cell>
          <cell r="V1316">
            <v>200000</v>
          </cell>
          <cell r="W1316" t="str">
            <v>Fonctionnement</v>
          </cell>
        </row>
        <row r="1317">
          <cell r="A1317">
            <v>2018</v>
          </cell>
          <cell r="D1317" t="str">
            <v>DIRECTION CENTRALE DE LA PRODUCTION ET DE L'ANTENNE</v>
          </cell>
          <cell r="V1317">
            <v>9600000</v>
          </cell>
          <cell r="W1317" t="str">
            <v>Fonctionnement</v>
          </cell>
        </row>
        <row r="1318">
          <cell r="A1318">
            <v>2018</v>
          </cell>
          <cell r="D1318" t="str">
            <v>DIRECTION CENTRALE DE LA PRODUCTION ET DE L'ANTENNE</v>
          </cell>
          <cell r="V1318">
            <v>6146500</v>
          </cell>
          <cell r="W1318" t="str">
            <v>Fonctionnement</v>
          </cell>
        </row>
        <row r="1319">
          <cell r="A1319">
            <v>2018</v>
          </cell>
          <cell r="D1319" t="str">
            <v>DIRECTION CENTRALE DE LA PRODUCTION ET DE L'ANTENNE</v>
          </cell>
          <cell r="V1319">
            <v>240000</v>
          </cell>
          <cell r="W1319" t="str">
            <v>Fonctionnement</v>
          </cell>
        </row>
        <row r="1320">
          <cell r="A1320">
            <v>2018</v>
          </cell>
          <cell r="D1320" t="str">
            <v>DIRECTION CENTRALE DE LA PRODUCTION ET DE L'ANTENNE</v>
          </cell>
          <cell r="V1320">
            <v>150000</v>
          </cell>
          <cell r="W1320" t="str">
            <v>Fonctionnement</v>
          </cell>
        </row>
        <row r="1321">
          <cell r="A1321">
            <v>2018</v>
          </cell>
          <cell r="D1321" t="str">
            <v>DIRECTION CENTRALE DE LA PRODUCTION ET DE L'ANTENNE</v>
          </cell>
          <cell r="V1321">
            <v>400000</v>
          </cell>
          <cell r="W1321" t="str">
            <v>Fonctionnement</v>
          </cell>
        </row>
        <row r="1322">
          <cell r="A1322">
            <v>2018</v>
          </cell>
          <cell r="D1322" t="str">
            <v>DIRECTION CENTRALE DE LA PRODUCTION ET DE L'ANTENNE</v>
          </cell>
          <cell r="V1322">
            <v>21428.57</v>
          </cell>
          <cell r="W1322" t="str">
            <v>Fonctionnement</v>
          </cell>
        </row>
        <row r="1323">
          <cell r="A1323">
            <v>2018</v>
          </cell>
          <cell r="D1323" t="str">
            <v>DIRECTION CENTRALE DE LA PRODUCTION ET DE L'ANTENNE</v>
          </cell>
          <cell r="V1323">
            <v>21428.57</v>
          </cell>
          <cell r="W1323" t="str">
            <v>Fonctionnement</v>
          </cell>
        </row>
        <row r="1324">
          <cell r="A1324">
            <v>2018</v>
          </cell>
          <cell r="D1324" t="str">
            <v>DIRECTION CENTRALE DE LA PRODUCTION ET DE L'ANTENNE</v>
          </cell>
          <cell r="V1324">
            <v>21428.57</v>
          </cell>
          <cell r="W1324" t="str">
            <v>Fonctionnement</v>
          </cell>
        </row>
        <row r="1325">
          <cell r="A1325">
            <v>2018</v>
          </cell>
          <cell r="D1325" t="str">
            <v>DIRECTION CENTRALE DE LA PRODUCTION ET DE L'ANTENNE</v>
          </cell>
          <cell r="V1325">
            <v>28571.43</v>
          </cell>
          <cell r="W1325" t="str">
            <v>Fonctionnement</v>
          </cell>
        </row>
        <row r="1326">
          <cell r="A1326">
            <v>2018</v>
          </cell>
          <cell r="D1326" t="str">
            <v>DIRECTION CENTRALE DE LA PRODUCTION ET DE L'ANTENNE</v>
          </cell>
          <cell r="V1326">
            <v>35714.29</v>
          </cell>
          <cell r="W1326" t="str">
            <v>Fonctionnement</v>
          </cell>
        </row>
        <row r="1327">
          <cell r="A1327">
            <v>2018</v>
          </cell>
          <cell r="D1327" t="str">
            <v>DIRECTION CENTRALE DE LA PRODUCTION ET DE L'ANTENNE</v>
          </cell>
          <cell r="V1327">
            <v>28571.43</v>
          </cell>
          <cell r="W1327" t="str">
            <v>Fonctionnement</v>
          </cell>
        </row>
        <row r="1328">
          <cell r="A1328">
            <v>2018</v>
          </cell>
          <cell r="D1328" t="str">
            <v>DIRECTION CENTRALE DE LA PRODUCTION ET DE L'ANTENNE</v>
          </cell>
          <cell r="V1328">
            <v>35714.29</v>
          </cell>
          <cell r="W1328" t="str">
            <v>Fonctionnement</v>
          </cell>
        </row>
        <row r="1329">
          <cell r="A1329">
            <v>2018</v>
          </cell>
          <cell r="D1329" t="str">
            <v>DIRECTION CENTRALE DE LA PRODUCTION ET DE L'ANTENNE</v>
          </cell>
          <cell r="V1329">
            <v>28571.43</v>
          </cell>
          <cell r="W1329" t="str">
            <v>Fonctionnement</v>
          </cell>
        </row>
        <row r="1330">
          <cell r="A1330">
            <v>2018</v>
          </cell>
          <cell r="D1330" t="str">
            <v>DIRECTION CENTRALE DE LA PRODUCTION ET DE L'ANTENNE</v>
          </cell>
          <cell r="V1330">
            <v>150000</v>
          </cell>
          <cell r="W1330" t="str">
            <v>Fonctionnement</v>
          </cell>
        </row>
        <row r="1331">
          <cell r="A1331">
            <v>2018</v>
          </cell>
          <cell r="D1331" t="str">
            <v>DIRECTION CENTRALE DE LA PRODUCTION ET DE L'ANTENNE</v>
          </cell>
          <cell r="V1331">
            <v>28571.43</v>
          </cell>
          <cell r="W1331" t="str">
            <v>Fonctionnement</v>
          </cell>
        </row>
        <row r="1332">
          <cell r="A1332">
            <v>2018</v>
          </cell>
          <cell r="D1332" t="str">
            <v>DIRECTION CENTRALE DE LA PRODUCTION ET DE L'ANTENNE</v>
          </cell>
          <cell r="V1332">
            <v>21428.57</v>
          </cell>
          <cell r="W1332" t="str">
            <v>Fonctionnement</v>
          </cell>
        </row>
        <row r="1333">
          <cell r="A1333">
            <v>2018</v>
          </cell>
          <cell r="D1333" t="str">
            <v>DIRECTION CENTRALE DE LA PRODUCTION ET DE L'ANTENNE</v>
          </cell>
          <cell r="V1333">
            <v>35714.29</v>
          </cell>
          <cell r="W1333" t="str">
            <v>Fonctionnement</v>
          </cell>
        </row>
        <row r="1334">
          <cell r="A1334">
            <v>2018</v>
          </cell>
          <cell r="D1334" t="str">
            <v>DIRECTION CENTRALE DE LA PRODUCTION ET DE L'ANTENNE</v>
          </cell>
          <cell r="V1334">
            <v>28571.43</v>
          </cell>
          <cell r="W1334" t="str">
            <v>Fonctionnement</v>
          </cell>
        </row>
        <row r="1335">
          <cell r="A1335">
            <v>2018</v>
          </cell>
          <cell r="D1335" t="str">
            <v>DIRECTION CENTRALE DE LA PRODUCTION ET DE L'ANTENNE</v>
          </cell>
          <cell r="V1335">
            <v>35714.29</v>
          </cell>
          <cell r="W1335" t="str">
            <v>Fonctionnement</v>
          </cell>
        </row>
        <row r="1336">
          <cell r="A1336">
            <v>2018</v>
          </cell>
          <cell r="D1336" t="str">
            <v>DIRECTION CENTRALE DE LA PRODUCTION ET DE L'ANTENNE</v>
          </cell>
          <cell r="V1336">
            <v>21428.57</v>
          </cell>
          <cell r="W1336" t="str">
            <v>Fonctionnement</v>
          </cell>
        </row>
        <row r="1337">
          <cell r="A1337">
            <v>2018</v>
          </cell>
          <cell r="D1337" t="str">
            <v>DIRECTION CENTRALE DE LA PRODUCTION ET DE L'ANTENNE</v>
          </cell>
          <cell r="V1337">
            <v>21428.57</v>
          </cell>
          <cell r="W1337" t="str">
            <v>Fonctionnement</v>
          </cell>
        </row>
        <row r="1338">
          <cell r="A1338">
            <v>2018</v>
          </cell>
          <cell r="D1338" t="str">
            <v>DIRECTION CENTRALE DE LA PRODUCTION ET DE L'ANTENNE</v>
          </cell>
          <cell r="V1338">
            <v>21428.57</v>
          </cell>
          <cell r="W1338" t="str">
            <v>Fonctionnement</v>
          </cell>
        </row>
        <row r="1339">
          <cell r="A1339">
            <v>2018</v>
          </cell>
          <cell r="D1339" t="str">
            <v>DIRECTION CENTRALE DE LA PRODUCTION ET DE L'ANTENNE</v>
          </cell>
          <cell r="V1339">
            <v>28571.43</v>
          </cell>
          <cell r="W1339" t="str">
            <v>Fonctionnement</v>
          </cell>
        </row>
        <row r="1340">
          <cell r="A1340">
            <v>2018</v>
          </cell>
          <cell r="D1340" t="str">
            <v>DIRECTION CENTRALE DE LA PRODUCTION ET DE L'ANTENNE</v>
          </cell>
          <cell r="V1340">
            <v>25000</v>
          </cell>
          <cell r="W1340" t="str">
            <v>Fonctionnement</v>
          </cell>
        </row>
        <row r="1341">
          <cell r="A1341">
            <v>2018</v>
          </cell>
          <cell r="D1341" t="str">
            <v>DIRECTION CENTRALE DE LA PRODUCTION ET DE L'ANTENNE</v>
          </cell>
          <cell r="V1341">
            <v>21428.57</v>
          </cell>
          <cell r="W1341" t="str">
            <v>Fonctionnement</v>
          </cell>
        </row>
        <row r="1342">
          <cell r="A1342">
            <v>2018</v>
          </cell>
          <cell r="D1342" t="str">
            <v>DIRECTION CENTRALE DE LA PRODUCTION ET DE L'ANTENNE</v>
          </cell>
          <cell r="V1342">
            <v>28571.43</v>
          </cell>
          <cell r="W1342" t="str">
            <v>Fonctionnement</v>
          </cell>
        </row>
        <row r="1343">
          <cell r="A1343">
            <v>2018</v>
          </cell>
          <cell r="D1343" t="str">
            <v>DIRECTION CENTRALE DE LA PRODUCTION ET DE L'ANTENNE</v>
          </cell>
          <cell r="V1343">
            <v>28571.43</v>
          </cell>
          <cell r="W1343" t="str">
            <v>Fonctionnement</v>
          </cell>
        </row>
        <row r="1344">
          <cell r="A1344">
            <v>2018</v>
          </cell>
          <cell r="D1344" t="str">
            <v>DIRECTION CENTRALE DE LA PRODUCTION ET DE L'ANTENNE</v>
          </cell>
          <cell r="V1344">
            <v>28571.43</v>
          </cell>
          <cell r="W1344" t="str">
            <v>Fonctionnement</v>
          </cell>
        </row>
        <row r="1345">
          <cell r="A1345">
            <v>2018</v>
          </cell>
          <cell r="D1345" t="str">
            <v>DIRECTION CENTRALE DE LA PRODUCTION ET DE L'ANTENNE</v>
          </cell>
          <cell r="V1345">
            <v>150000</v>
          </cell>
          <cell r="W1345" t="str">
            <v>Fonctionnement</v>
          </cell>
        </row>
        <row r="1346">
          <cell r="A1346">
            <v>2018</v>
          </cell>
          <cell r="D1346" t="str">
            <v>DIRECTION CENTRALE DE LA PRODUCTION ET DE L'ANTENNE</v>
          </cell>
          <cell r="V1346">
            <v>35714.28</v>
          </cell>
          <cell r="W1346" t="str">
            <v>Fonctionnement</v>
          </cell>
        </row>
        <row r="1347">
          <cell r="A1347">
            <v>2018</v>
          </cell>
          <cell r="D1347" t="str">
            <v>DIRECTION CENTRALE DE LA PRODUCTION ET DE L'ANTENNE</v>
          </cell>
          <cell r="V1347">
            <v>21428.57</v>
          </cell>
          <cell r="W1347" t="str">
            <v>Fonctionnement</v>
          </cell>
        </row>
        <row r="1348">
          <cell r="A1348">
            <v>2018</v>
          </cell>
          <cell r="D1348" t="str">
            <v>DIRECTION CENTRALE DE LA PRODUCTION ET DE L'ANTENNE</v>
          </cell>
          <cell r="V1348">
            <v>14285.71</v>
          </cell>
          <cell r="W1348" t="str">
            <v>Fonctionnement</v>
          </cell>
        </row>
        <row r="1349">
          <cell r="A1349">
            <v>2018</v>
          </cell>
          <cell r="D1349" t="str">
            <v>DIRECTION CENTRALE DE LA PRODUCTION ET DE L'ANTENNE</v>
          </cell>
          <cell r="V1349">
            <v>42857.14</v>
          </cell>
          <cell r="W1349" t="str">
            <v>Fonctionnement</v>
          </cell>
        </row>
        <row r="1350">
          <cell r="A1350">
            <v>2018</v>
          </cell>
          <cell r="D1350" t="str">
            <v>DIRECTION CENTRALE DE LA PRODUCTION ET DE L'ANTENNE</v>
          </cell>
          <cell r="V1350">
            <v>35714.29</v>
          </cell>
          <cell r="W1350" t="str">
            <v>Fonctionnement</v>
          </cell>
        </row>
        <row r="1351">
          <cell r="A1351">
            <v>2018</v>
          </cell>
          <cell r="D1351" t="str">
            <v>DIRECTION CENTRALE DE LA PRODUCTION ET DE L'ANTENNE</v>
          </cell>
          <cell r="V1351">
            <v>21428.57</v>
          </cell>
          <cell r="W1351" t="str">
            <v>Fonctionnement</v>
          </cell>
        </row>
        <row r="1352">
          <cell r="A1352">
            <v>2018</v>
          </cell>
          <cell r="D1352" t="str">
            <v>DIRECTION CENTRALE DE LA PRODUCTION ET DE L'ANTENNE</v>
          </cell>
          <cell r="V1352">
            <v>35714.29</v>
          </cell>
          <cell r="W1352" t="str">
            <v>Fonctionnement</v>
          </cell>
        </row>
        <row r="1353">
          <cell r="A1353">
            <v>2018</v>
          </cell>
          <cell r="D1353" t="str">
            <v>DIRECTION CENTRALE DE LA PRODUCTION ET DE L'ANTENNE</v>
          </cell>
          <cell r="V1353">
            <v>21428.57</v>
          </cell>
          <cell r="W1353" t="str">
            <v>Fonctionnement</v>
          </cell>
        </row>
        <row r="1354">
          <cell r="A1354">
            <v>2018</v>
          </cell>
          <cell r="D1354" t="str">
            <v>DIRECTION CENTRALE DE LA PRODUCTION ET DE L'ANTENNE</v>
          </cell>
          <cell r="V1354">
            <v>21428.57</v>
          </cell>
          <cell r="W1354" t="str">
            <v>Fonctionnement</v>
          </cell>
        </row>
        <row r="1355">
          <cell r="A1355">
            <v>2018</v>
          </cell>
          <cell r="D1355" t="str">
            <v>DIRECTION CENTRALE DE LA PRODUCTION ET DE L'ANTENNE</v>
          </cell>
          <cell r="V1355">
            <v>28571.43</v>
          </cell>
          <cell r="W1355" t="str">
            <v>Fonctionnement</v>
          </cell>
        </row>
        <row r="1356">
          <cell r="A1356">
            <v>2018</v>
          </cell>
          <cell r="D1356" t="str">
            <v>DIRECTION CENTRALE DE LA PRODUCTION ET DE L'ANTENNE</v>
          </cell>
          <cell r="V1356">
            <v>21428.57</v>
          </cell>
          <cell r="W1356" t="str">
            <v>Fonctionnement</v>
          </cell>
        </row>
        <row r="1357">
          <cell r="A1357">
            <v>2018</v>
          </cell>
          <cell r="D1357" t="str">
            <v>DIRECTION CENTRALE DE LA PRODUCTION ET DE L'ANTENNE</v>
          </cell>
          <cell r="V1357">
            <v>28571.43</v>
          </cell>
          <cell r="W1357" t="str">
            <v>Fonctionnement</v>
          </cell>
        </row>
        <row r="1358">
          <cell r="A1358">
            <v>2018</v>
          </cell>
          <cell r="D1358" t="str">
            <v>DIRECTION CENTRALE DE LA PRODUCTION ET DE L'ANTENNE</v>
          </cell>
          <cell r="V1358">
            <v>35714.29</v>
          </cell>
          <cell r="W1358" t="str">
            <v>Fonctionnement</v>
          </cell>
        </row>
        <row r="1359">
          <cell r="A1359">
            <v>2018</v>
          </cell>
          <cell r="D1359" t="str">
            <v>DIRECTION CENTRALE DE LA PRODUCTION ET DE L'ANTENNE</v>
          </cell>
          <cell r="V1359">
            <v>14285.71</v>
          </cell>
          <cell r="W1359" t="str">
            <v>Fonctionnement</v>
          </cell>
        </row>
        <row r="1360">
          <cell r="A1360">
            <v>2018</v>
          </cell>
          <cell r="D1360" t="str">
            <v>DIRECTION CENTRALE DE LA PRODUCTION ET DE L'ANTENNE</v>
          </cell>
          <cell r="V1360">
            <v>42857.14</v>
          </cell>
          <cell r="W1360" t="str">
            <v>Fonctionnement</v>
          </cell>
        </row>
        <row r="1361">
          <cell r="A1361">
            <v>2018</v>
          </cell>
          <cell r="D1361" t="str">
            <v>DIRECTION CENTRALE DE LA PRODUCTION ET DE L'ANTENNE</v>
          </cell>
          <cell r="V1361">
            <v>21428.57</v>
          </cell>
          <cell r="W1361" t="str">
            <v>Fonctionnement</v>
          </cell>
        </row>
        <row r="1362">
          <cell r="A1362">
            <v>2018</v>
          </cell>
          <cell r="D1362" t="str">
            <v>DIRECTION CENTRALE DE LA PRODUCTION ET DE L'ANTENNE</v>
          </cell>
          <cell r="V1362">
            <v>28751.43</v>
          </cell>
          <cell r="W1362" t="str">
            <v>Fonctionnement</v>
          </cell>
        </row>
        <row r="1363">
          <cell r="A1363">
            <v>2018</v>
          </cell>
          <cell r="D1363" t="str">
            <v>DIRECTION CENTRALE DE LA PRODUCTION ET DE L'ANTENNE</v>
          </cell>
          <cell r="V1363">
            <v>21428.57</v>
          </cell>
          <cell r="W1363" t="str">
            <v>Fonctionnement</v>
          </cell>
        </row>
        <row r="1364">
          <cell r="A1364">
            <v>2018</v>
          </cell>
          <cell r="D1364" t="str">
            <v>DIRECTION CENTRALE DE LA PRODUCTION ET DE L'ANTENNE</v>
          </cell>
          <cell r="V1364">
            <v>21428.57</v>
          </cell>
          <cell r="W1364" t="str">
            <v>Fonctionnement</v>
          </cell>
        </row>
        <row r="1365">
          <cell r="A1365">
            <v>2018</v>
          </cell>
          <cell r="D1365" t="str">
            <v>DIRECTION CENTRALE DE LA PRODUCTION ET DE L'ANTENNE</v>
          </cell>
          <cell r="V1365">
            <v>57142.86</v>
          </cell>
          <cell r="W1365" t="str">
            <v>Fonctionnement</v>
          </cell>
        </row>
        <row r="1366">
          <cell r="A1366">
            <v>2018</v>
          </cell>
          <cell r="D1366" t="str">
            <v>DIRECTION CENTRALE DE LA PRODUCTION ET DE L'ANTENNE</v>
          </cell>
          <cell r="V1366">
            <v>21428.57</v>
          </cell>
          <cell r="W1366" t="str">
            <v>Fonctionnement</v>
          </cell>
        </row>
        <row r="1367">
          <cell r="A1367">
            <v>2018</v>
          </cell>
          <cell r="D1367" t="str">
            <v>DIRECTION CENTRALE DE LA PRODUCTION ET DE L'ANTENNE</v>
          </cell>
          <cell r="V1367">
            <v>21428.57</v>
          </cell>
          <cell r="W1367" t="str">
            <v>Fonctionnement</v>
          </cell>
        </row>
        <row r="1368">
          <cell r="A1368">
            <v>2018</v>
          </cell>
          <cell r="D1368" t="str">
            <v>DIRECTION CENTRALE DE LA PRODUCTION ET DE L'ANTENNE</v>
          </cell>
          <cell r="V1368">
            <v>28751.43</v>
          </cell>
          <cell r="W1368" t="str">
            <v>Fonctionnement</v>
          </cell>
        </row>
        <row r="1369">
          <cell r="A1369">
            <v>2018</v>
          </cell>
          <cell r="D1369" t="str">
            <v>DIRECTION CENTRALE DE LA PRODUCTION ET DE L'ANTENNE</v>
          </cell>
          <cell r="V1369">
            <v>21428.57</v>
          </cell>
          <cell r="W1369" t="str">
            <v>Fonctionnement</v>
          </cell>
        </row>
        <row r="1370">
          <cell r="A1370">
            <v>2018</v>
          </cell>
          <cell r="D1370" t="str">
            <v>DIRECTION CENTRALE DE LA PRODUCTION ET DE L'ANTENNE</v>
          </cell>
          <cell r="V1370">
            <v>28751.43</v>
          </cell>
          <cell r="W1370" t="str">
            <v>Fonctionnement</v>
          </cell>
        </row>
        <row r="1371">
          <cell r="A1371">
            <v>2018</v>
          </cell>
          <cell r="D1371" t="str">
            <v>DIRECTION CENTRALE DE LA PRODUCTION ET DE L'ANTENNE</v>
          </cell>
          <cell r="V1371">
            <v>21428.57</v>
          </cell>
          <cell r="W1371" t="str">
            <v>Fonctionnement</v>
          </cell>
        </row>
        <row r="1372">
          <cell r="A1372">
            <v>2018</v>
          </cell>
          <cell r="D1372" t="str">
            <v>DIRECTION CENTRALE DE LA PRODUCTION ET DE L'ANTENNE</v>
          </cell>
          <cell r="V1372">
            <v>28751.43</v>
          </cell>
          <cell r="W1372" t="str">
            <v>Fonctionnement</v>
          </cell>
        </row>
        <row r="1373">
          <cell r="A1373">
            <v>2018</v>
          </cell>
          <cell r="D1373" t="str">
            <v>DIRECTION CENTRALE DE LA PRODUCTION ET DE L'ANTENNE</v>
          </cell>
          <cell r="V1373">
            <v>21428.57</v>
          </cell>
          <cell r="W1373" t="str">
            <v>Fonctionnement</v>
          </cell>
        </row>
        <row r="1374">
          <cell r="A1374">
            <v>2018</v>
          </cell>
          <cell r="D1374" t="str">
            <v>DIRECTION CENTRALE DE LA PRODUCTION ET DE L'ANTENNE</v>
          </cell>
          <cell r="V1374">
            <v>21428.57</v>
          </cell>
          <cell r="W1374" t="str">
            <v>Fonctionnement</v>
          </cell>
        </row>
        <row r="1375">
          <cell r="A1375">
            <v>2018</v>
          </cell>
          <cell r="D1375" t="str">
            <v>DIRECTION CENTRALE DE LA PRODUCTION ET DE L'ANTENNE</v>
          </cell>
          <cell r="V1375">
            <v>21428.57</v>
          </cell>
          <cell r="W1375" t="str">
            <v>Fonctionnement</v>
          </cell>
        </row>
        <row r="1376">
          <cell r="A1376">
            <v>2018</v>
          </cell>
          <cell r="D1376" t="str">
            <v>DIRECTION CENTRALE DE LA PRODUCTION ET DE L'ANTENNE</v>
          </cell>
          <cell r="V1376">
            <v>21428.57</v>
          </cell>
          <cell r="W1376" t="str">
            <v>Fonctionnement</v>
          </cell>
        </row>
        <row r="1377">
          <cell r="A1377">
            <v>2018</v>
          </cell>
          <cell r="D1377" t="str">
            <v>DIRECTION CENTRALE DE LA PRODUCTION ET DE L'ANTENNE</v>
          </cell>
          <cell r="V1377">
            <v>28751.43</v>
          </cell>
          <cell r="W1377" t="str">
            <v>Fonctionnement</v>
          </cell>
        </row>
        <row r="1378">
          <cell r="A1378">
            <v>2018</v>
          </cell>
          <cell r="D1378" t="str">
            <v>DIRECTION CENTRALE DE LA PRODUCTION ET DE L'ANTENNE</v>
          </cell>
          <cell r="V1378">
            <v>28751.43</v>
          </cell>
          <cell r="W1378" t="str">
            <v>Fonctionnement</v>
          </cell>
        </row>
        <row r="1379">
          <cell r="A1379">
            <v>2018</v>
          </cell>
          <cell r="D1379" t="str">
            <v>DIRECTION CENTRALE DE LA PRODUCTION ET DE L'ANTENNE</v>
          </cell>
          <cell r="V1379">
            <v>21428.57</v>
          </cell>
          <cell r="W1379" t="str">
            <v>Fonctionnement</v>
          </cell>
        </row>
        <row r="1380">
          <cell r="A1380">
            <v>2018</v>
          </cell>
          <cell r="D1380" t="str">
            <v>DIRECTION CENTRALE DE LA PRODUCTION ET DE L'ANTENNE</v>
          </cell>
          <cell r="V1380">
            <v>21428.57</v>
          </cell>
          <cell r="W1380" t="str">
            <v>Fonctionnement</v>
          </cell>
        </row>
        <row r="1381">
          <cell r="A1381">
            <v>2018</v>
          </cell>
          <cell r="D1381" t="str">
            <v>DIRECTION CENTRALE DE LA PRODUCTION ET DE L'ANTENNE</v>
          </cell>
          <cell r="V1381">
            <v>14285.71</v>
          </cell>
          <cell r="W1381" t="str">
            <v>Fonctionnement</v>
          </cell>
        </row>
        <row r="1382">
          <cell r="A1382">
            <v>2018</v>
          </cell>
          <cell r="D1382" t="str">
            <v>DIRECTION CENTRALE DE LA PRODUCTION ET DE L'ANTENNE</v>
          </cell>
          <cell r="V1382">
            <v>150000</v>
          </cell>
          <cell r="W1382" t="str">
            <v>Fonctionnement</v>
          </cell>
        </row>
        <row r="1383">
          <cell r="A1383">
            <v>2018</v>
          </cell>
          <cell r="D1383" t="str">
            <v>DIRECTION CENTRALE DE LA PRODUCTION ET DE L'ANTENNE</v>
          </cell>
          <cell r="V1383">
            <v>28751.43</v>
          </cell>
          <cell r="W1383" t="str">
            <v>Fonctionnement</v>
          </cell>
        </row>
        <row r="1384">
          <cell r="A1384">
            <v>2018</v>
          </cell>
          <cell r="D1384" t="str">
            <v>DIRECTION CENTRALE DE LA PRODUCTION ET DE L'ANTENNE</v>
          </cell>
          <cell r="V1384">
            <v>21428.57</v>
          </cell>
          <cell r="W1384" t="str">
            <v>Fonctionnement</v>
          </cell>
        </row>
        <row r="1385">
          <cell r="A1385">
            <v>2018</v>
          </cell>
          <cell r="D1385" t="str">
            <v>DIRECTION CENTRALE DE LA PRODUCTION ET DE L'ANTENNE</v>
          </cell>
          <cell r="V1385">
            <v>28751.43</v>
          </cell>
          <cell r="W1385" t="str">
            <v>Fonctionnement</v>
          </cell>
        </row>
        <row r="1386">
          <cell r="A1386">
            <v>2018</v>
          </cell>
          <cell r="D1386" t="str">
            <v>DIRECTION CENTRALE DE LA PRODUCTION ET DE L'ANTENNE</v>
          </cell>
          <cell r="V1386">
            <v>28751.43</v>
          </cell>
          <cell r="W1386" t="str">
            <v>Fonctionnement</v>
          </cell>
        </row>
        <row r="1387">
          <cell r="A1387">
            <v>2018</v>
          </cell>
          <cell r="D1387" t="str">
            <v>DIRECTION CENTRALE DE LA PRODUCTION ET DE L'ANTENNE</v>
          </cell>
          <cell r="V1387">
            <v>35714.29</v>
          </cell>
          <cell r="W1387" t="str">
            <v>Fonctionnement</v>
          </cell>
        </row>
        <row r="1388">
          <cell r="A1388">
            <v>2018</v>
          </cell>
          <cell r="D1388" t="str">
            <v>DIRECTION CENTRALE DE LA PRODUCTION ET DE L'ANTENNE</v>
          </cell>
          <cell r="V1388">
            <v>28751.43</v>
          </cell>
          <cell r="W1388" t="str">
            <v>Fonctionnement</v>
          </cell>
        </row>
        <row r="1389">
          <cell r="A1389">
            <v>2018</v>
          </cell>
          <cell r="D1389" t="str">
            <v>DIRECTION CENTRALE DE LA PRODUCTION ET DE L'ANTENNE</v>
          </cell>
          <cell r="V1389">
            <v>35714.29</v>
          </cell>
          <cell r="W1389" t="str">
            <v>Fonctionnement</v>
          </cell>
        </row>
        <row r="1390">
          <cell r="A1390">
            <v>2018</v>
          </cell>
          <cell r="D1390" t="str">
            <v>DIRECTION CENTRALE DE LA PRODUCTION ET DE L'ANTENNE</v>
          </cell>
          <cell r="V1390">
            <v>200000</v>
          </cell>
          <cell r="W1390" t="str">
            <v>Fonctionnement</v>
          </cell>
        </row>
        <row r="1391">
          <cell r="A1391">
            <v>2018</v>
          </cell>
          <cell r="D1391" t="str">
            <v>DIRECTION CENTRALE DE LA PRODUCTION ET DE L'ANTENNE</v>
          </cell>
          <cell r="V1391">
            <v>4980000</v>
          </cell>
          <cell r="W1391" t="str">
            <v>Fonctionnement</v>
          </cell>
        </row>
        <row r="1392">
          <cell r="A1392">
            <v>2018</v>
          </cell>
          <cell r="D1392" t="str">
            <v>DIRECTION CENTRALE DE LA PRODUCTION ET DE L'ANTENNE</v>
          </cell>
          <cell r="V1392">
            <v>21428.57</v>
          </cell>
          <cell r="W1392" t="str">
            <v>Fonctionnement</v>
          </cell>
        </row>
        <row r="1393">
          <cell r="A1393">
            <v>2018</v>
          </cell>
          <cell r="D1393" t="str">
            <v>DIRECTION CENTRALE DE LA PRODUCTION ET DE L'ANTENNE</v>
          </cell>
          <cell r="V1393">
            <v>21428.57</v>
          </cell>
          <cell r="W1393" t="str">
            <v>Fonctionnement</v>
          </cell>
        </row>
        <row r="1394">
          <cell r="A1394">
            <v>2018</v>
          </cell>
          <cell r="D1394" t="str">
            <v>DIRECTION CENTRALE DE LA PRODUCTION ET DE L'ANTENNE</v>
          </cell>
          <cell r="V1394">
            <v>21428.57</v>
          </cell>
          <cell r="W1394" t="str">
            <v>Fonctionnement</v>
          </cell>
        </row>
        <row r="1395">
          <cell r="A1395">
            <v>2018</v>
          </cell>
          <cell r="D1395" t="str">
            <v>DIRECTION CENTRALE DE LA PRODUCTION ET DE L'ANTENNE</v>
          </cell>
          <cell r="V1395">
            <v>28751.43</v>
          </cell>
          <cell r="W1395" t="str">
            <v>Fonctionnement</v>
          </cell>
        </row>
        <row r="1396">
          <cell r="A1396">
            <v>2018</v>
          </cell>
          <cell r="D1396" t="str">
            <v>DIRECTION CENTRALE DE LA PRODUCTION ET DE L'ANTENNE</v>
          </cell>
          <cell r="V1396">
            <v>28751.43</v>
          </cell>
          <cell r="W1396" t="str">
            <v>Fonctionnement</v>
          </cell>
        </row>
        <row r="1397">
          <cell r="A1397">
            <v>2018</v>
          </cell>
          <cell r="D1397" t="str">
            <v>DIRECTION CENTRALE DE LA PRODUCTION ET DE L'ANTENNE</v>
          </cell>
          <cell r="V1397">
            <v>28751.43</v>
          </cell>
          <cell r="W1397" t="str">
            <v>Fonctionnement</v>
          </cell>
        </row>
        <row r="1398">
          <cell r="A1398">
            <v>2018</v>
          </cell>
          <cell r="D1398" t="str">
            <v>DIRECTION CENTRALE DE LA PRODUCTION ET DE L'ANTENNE</v>
          </cell>
          <cell r="V1398">
            <v>28751.43</v>
          </cell>
          <cell r="W1398" t="str">
            <v>Fonctionnement</v>
          </cell>
        </row>
        <row r="1399">
          <cell r="A1399">
            <v>2018</v>
          </cell>
          <cell r="D1399" t="str">
            <v>DIRECTION CENTRALE DE LA PRODUCTION ET DE L'ANTENNE</v>
          </cell>
          <cell r="V1399">
            <v>28751.43</v>
          </cell>
          <cell r="W1399" t="str">
            <v>Fonctionnement</v>
          </cell>
        </row>
        <row r="1400">
          <cell r="A1400">
            <v>2018</v>
          </cell>
          <cell r="D1400" t="str">
            <v>DIRECTION CENTRALE DE LA PRODUCTION ET DE L'ANTENNE</v>
          </cell>
          <cell r="V1400">
            <v>21428.57</v>
          </cell>
          <cell r="W1400" t="str">
            <v>Fonctionnement</v>
          </cell>
        </row>
        <row r="1401">
          <cell r="A1401">
            <v>2018</v>
          </cell>
          <cell r="D1401" t="str">
            <v>DIRECTION CENTRALE DE LA PRODUCTION ET DE L'ANTENNE</v>
          </cell>
          <cell r="V1401">
            <v>28751.43</v>
          </cell>
          <cell r="W1401" t="str">
            <v>Fonctionnement</v>
          </cell>
        </row>
        <row r="1402">
          <cell r="A1402">
            <v>2018</v>
          </cell>
          <cell r="D1402" t="str">
            <v>DIRECTION CENTRALE DE LA PRODUCTION ET DE L'ANTENNE</v>
          </cell>
          <cell r="V1402">
            <v>28751.43</v>
          </cell>
          <cell r="W1402" t="str">
            <v>Fonctionnement</v>
          </cell>
        </row>
        <row r="1403">
          <cell r="A1403">
            <v>2018</v>
          </cell>
          <cell r="D1403" t="str">
            <v>DIRECTION CENTRALE DE LA PRODUCTION ET DE L'ANTENNE</v>
          </cell>
          <cell r="V1403">
            <v>14285.71</v>
          </cell>
          <cell r="W1403" t="str">
            <v>Fonctionnement</v>
          </cell>
        </row>
        <row r="1404">
          <cell r="A1404">
            <v>2018</v>
          </cell>
          <cell r="D1404" t="str">
            <v>DIRECTION CENTRALE DE LA PRODUCTION ET DE L'ANTENNE</v>
          </cell>
          <cell r="V1404">
            <v>14285.71</v>
          </cell>
          <cell r="W1404" t="str">
            <v>Fonctionnement</v>
          </cell>
        </row>
        <row r="1405">
          <cell r="A1405">
            <v>2018</v>
          </cell>
          <cell r="D1405" t="str">
            <v>DIRECTION CENTRALE DE LA PRODUCTION ET DE L'ANTENNE</v>
          </cell>
          <cell r="V1405">
            <v>28751.43</v>
          </cell>
          <cell r="W1405" t="str">
            <v>Fonctionnement</v>
          </cell>
        </row>
        <row r="1406">
          <cell r="A1406">
            <v>2018</v>
          </cell>
          <cell r="D1406" t="str">
            <v>DIRECTION CENTRALE DE LA PRODUCTION ET DE L'ANTENNE</v>
          </cell>
          <cell r="V1406">
            <v>21428.57</v>
          </cell>
          <cell r="W1406" t="str">
            <v>Fonctionnement</v>
          </cell>
        </row>
        <row r="1407">
          <cell r="A1407">
            <v>2018</v>
          </cell>
          <cell r="D1407" t="str">
            <v>DIRECTION CENTRALE DE LA PRODUCTION ET DE L'ANTENNE</v>
          </cell>
          <cell r="V1407">
            <v>42857.14</v>
          </cell>
          <cell r="W1407" t="str">
            <v>Fonctionnement</v>
          </cell>
        </row>
        <row r="1408">
          <cell r="A1408">
            <v>2018</v>
          </cell>
          <cell r="D1408" t="str">
            <v>DIRECTION CENTRALE DE LA PRODUCTION ET DE L'ANTENNE</v>
          </cell>
          <cell r="V1408">
            <v>21428.57</v>
          </cell>
          <cell r="W1408" t="str">
            <v>Fonctionnement</v>
          </cell>
        </row>
        <row r="1409">
          <cell r="A1409">
            <v>2018</v>
          </cell>
          <cell r="D1409" t="str">
            <v>DIRECTION CENTRALE DE LA PRODUCTION ET DE L'ANTENNE</v>
          </cell>
          <cell r="V1409">
            <v>21428.57</v>
          </cell>
          <cell r="W1409" t="str">
            <v>Fonctionnement</v>
          </cell>
        </row>
        <row r="1410">
          <cell r="A1410">
            <v>2018</v>
          </cell>
          <cell r="D1410" t="str">
            <v>DIRECTION CENTRALE DE LA PRODUCTION ET DE L'ANTENNE</v>
          </cell>
          <cell r="V1410">
            <v>28751.43</v>
          </cell>
          <cell r="W1410" t="str">
            <v>Fonctionnement</v>
          </cell>
        </row>
        <row r="1411">
          <cell r="A1411">
            <v>2018</v>
          </cell>
          <cell r="D1411" t="str">
            <v>DIRECTION CENTRALE DE LA PRODUCTION ET DE L'ANTENNE</v>
          </cell>
          <cell r="V1411">
            <v>21428.57</v>
          </cell>
          <cell r="W1411" t="str">
            <v>Fonctionnement</v>
          </cell>
        </row>
        <row r="1412">
          <cell r="A1412">
            <v>2018</v>
          </cell>
          <cell r="D1412" t="str">
            <v>DIRECTION CENTRALE DE LA PRODUCTION ET DE L'ANTENNE</v>
          </cell>
          <cell r="V1412">
            <v>28751.43</v>
          </cell>
          <cell r="W1412" t="str">
            <v>Fonctionnement</v>
          </cell>
        </row>
        <row r="1413">
          <cell r="A1413">
            <v>2018</v>
          </cell>
          <cell r="D1413" t="str">
            <v>DIRECTION CENTRALE DE LA PRODUCTION ET DE L'ANTENNE</v>
          </cell>
          <cell r="V1413">
            <v>21428.57</v>
          </cell>
          <cell r="W1413" t="str">
            <v>Fonctionnement</v>
          </cell>
        </row>
        <row r="1414">
          <cell r="A1414">
            <v>2018</v>
          </cell>
          <cell r="D1414" t="str">
            <v>DIRECTION CENTRALE DE LA PRODUCTION ET DE L'ANTENNE</v>
          </cell>
          <cell r="V1414">
            <v>100000</v>
          </cell>
          <cell r="W1414" t="str">
            <v>Fonctionnement</v>
          </cell>
        </row>
        <row r="1415">
          <cell r="A1415">
            <v>2018</v>
          </cell>
          <cell r="D1415" t="str">
            <v>DIRECTION CENTRALE DE LA PRODUCTION ET DE L'ANTENNE</v>
          </cell>
          <cell r="V1415">
            <v>300000</v>
          </cell>
          <cell r="W1415" t="str">
            <v>Fonctionnement</v>
          </cell>
        </row>
        <row r="1416">
          <cell r="A1416">
            <v>2018</v>
          </cell>
          <cell r="D1416" t="str">
            <v>DIRECTION CENTRALE DE LA PRODUCTION ET DE L'ANTENNE</v>
          </cell>
          <cell r="V1416">
            <v>200000</v>
          </cell>
          <cell r="W1416" t="str">
            <v>Fonctionnement</v>
          </cell>
        </row>
        <row r="1417">
          <cell r="A1417">
            <v>2018</v>
          </cell>
          <cell r="D1417" t="str">
            <v>DIRECTION CENTRALE DE LA PRODUCTION ET DE L'ANTENNE</v>
          </cell>
          <cell r="V1417">
            <v>28751.43</v>
          </cell>
          <cell r="W1417" t="str">
            <v>Fonctionnement</v>
          </cell>
        </row>
        <row r="1418">
          <cell r="A1418">
            <v>2018</v>
          </cell>
          <cell r="D1418" t="str">
            <v>DIRECTION CENTRALE DE LA PRODUCTION ET DE L'ANTENNE</v>
          </cell>
          <cell r="V1418">
            <v>21428.57</v>
          </cell>
          <cell r="W1418" t="str">
            <v>Fonctionnement</v>
          </cell>
        </row>
        <row r="1419">
          <cell r="A1419">
            <v>2018</v>
          </cell>
          <cell r="D1419" t="str">
            <v>DIRECTION CENTRALE DE LA PRODUCTION ET DE L'ANTENNE</v>
          </cell>
          <cell r="V1419">
            <v>14285.71</v>
          </cell>
          <cell r="W1419" t="str">
            <v>Fonctionnement</v>
          </cell>
        </row>
        <row r="1420">
          <cell r="A1420">
            <v>2018</v>
          </cell>
          <cell r="D1420" t="str">
            <v>DIRECTION CENTRALE DE LA PRODUCTION ET DE L'ANTENNE</v>
          </cell>
          <cell r="V1420">
            <v>28571.43</v>
          </cell>
          <cell r="W1420" t="str">
            <v>Fonctionnement</v>
          </cell>
        </row>
        <row r="1421">
          <cell r="A1421">
            <v>2018</v>
          </cell>
          <cell r="D1421" t="str">
            <v>DIRECTION CENTRALE DE LA PRODUCTION ET DE L'ANTENNE</v>
          </cell>
          <cell r="V1421">
            <v>50000</v>
          </cell>
          <cell r="W1421" t="str">
            <v>Fonctionnement</v>
          </cell>
        </row>
        <row r="1422">
          <cell r="A1422">
            <v>2018</v>
          </cell>
          <cell r="D1422" t="str">
            <v>DIRECTION CENTRALE DE LA PRODUCTION ET DE L'ANTENNE</v>
          </cell>
          <cell r="V1422">
            <v>14285.71</v>
          </cell>
          <cell r="W1422" t="str">
            <v>Fonctionnement</v>
          </cell>
        </row>
        <row r="1423">
          <cell r="A1423">
            <v>2018</v>
          </cell>
          <cell r="D1423" t="str">
            <v>DIRECTION CENTRALE DE LA PRODUCTION ET DE L'ANTENNE</v>
          </cell>
          <cell r="V1423">
            <v>21428.57</v>
          </cell>
          <cell r="W1423" t="str">
            <v>Fonctionnement</v>
          </cell>
        </row>
        <row r="1424">
          <cell r="A1424">
            <v>2018</v>
          </cell>
          <cell r="D1424" t="str">
            <v>DIRECTION CENTRALE DE LA PRODUCTION ET DE L'ANTENNE</v>
          </cell>
          <cell r="V1424">
            <v>21428.57</v>
          </cell>
          <cell r="W1424" t="str">
            <v>Fonctionnement</v>
          </cell>
        </row>
        <row r="1425">
          <cell r="A1425">
            <v>2018</v>
          </cell>
          <cell r="D1425" t="str">
            <v>DIRECTION CENTRALE DE LA PRODUCTION ET DE L'ANTENNE</v>
          </cell>
          <cell r="V1425">
            <v>28571.43</v>
          </cell>
          <cell r="W1425" t="str">
            <v>Fonctionnement</v>
          </cell>
        </row>
        <row r="1426">
          <cell r="A1426">
            <v>2018</v>
          </cell>
          <cell r="D1426" t="str">
            <v>DIRECTION CENTRALE DE LA PRODUCTION ET DE L'ANTENNE</v>
          </cell>
          <cell r="V1426">
            <v>21428.57</v>
          </cell>
          <cell r="W1426" t="str">
            <v>Fonctionnement</v>
          </cell>
        </row>
        <row r="1427">
          <cell r="A1427">
            <v>2018</v>
          </cell>
          <cell r="D1427" t="str">
            <v>DIRECTION CENTRALE DE LA PRODUCTION ET DE L'ANTENNE</v>
          </cell>
          <cell r="V1427">
            <v>21428.57</v>
          </cell>
          <cell r="W1427" t="str">
            <v>Fonctionnement</v>
          </cell>
        </row>
        <row r="1428">
          <cell r="A1428">
            <v>2018</v>
          </cell>
          <cell r="D1428" t="str">
            <v>DIRECTION CENTRALE DE LA PRODUCTION ET DE L'ANTENNE</v>
          </cell>
          <cell r="V1428">
            <v>28571.43</v>
          </cell>
          <cell r="W1428" t="str">
            <v>Fonctionnement</v>
          </cell>
        </row>
        <row r="1429">
          <cell r="A1429">
            <v>2018</v>
          </cell>
          <cell r="D1429" t="str">
            <v>DIRECTION CENTRALE DE LA PRODUCTION ET DE L'ANTENNE</v>
          </cell>
          <cell r="V1429">
            <v>21428.57</v>
          </cell>
          <cell r="W1429" t="str">
            <v>Fonctionnement</v>
          </cell>
        </row>
        <row r="1430">
          <cell r="A1430">
            <v>2018</v>
          </cell>
          <cell r="D1430" t="str">
            <v>DIRECTION CENTRALE DE LA PRODUCTION ET DE L'ANTENNE</v>
          </cell>
          <cell r="V1430">
            <v>50000</v>
          </cell>
          <cell r="W1430" t="str">
            <v>Fonctionnement</v>
          </cell>
        </row>
        <row r="1431">
          <cell r="A1431">
            <v>2018</v>
          </cell>
          <cell r="D1431" t="str">
            <v>DIRECTION CENTRALE DE LA PRODUCTION ET DE L'ANTENNE</v>
          </cell>
          <cell r="V1431">
            <v>21428.57</v>
          </cell>
          <cell r="W1431" t="str">
            <v>Fonctionnement</v>
          </cell>
        </row>
        <row r="1432">
          <cell r="A1432">
            <v>2018</v>
          </cell>
          <cell r="D1432" t="str">
            <v>DIRECTION CENTRALE DE LA PRODUCTION ET DE L'ANTENNE</v>
          </cell>
          <cell r="V1432">
            <v>21428.57</v>
          </cell>
          <cell r="W1432" t="str">
            <v>Fonctionnement</v>
          </cell>
        </row>
        <row r="1433">
          <cell r="A1433">
            <v>2018</v>
          </cell>
          <cell r="D1433" t="str">
            <v>DIRECTION CENTRALE DE LA PRODUCTION ET DE L'ANTENNE</v>
          </cell>
          <cell r="V1433">
            <v>21428.57</v>
          </cell>
          <cell r="W1433" t="str">
            <v>Fonctionnement</v>
          </cell>
        </row>
        <row r="1434">
          <cell r="A1434">
            <v>2018</v>
          </cell>
          <cell r="D1434" t="str">
            <v>DIRECTION CENTRALE DE LA PRODUCTION ET DE L'ANTENNE</v>
          </cell>
          <cell r="V1434">
            <v>42857.14</v>
          </cell>
          <cell r="W1434" t="str">
            <v>Fonctionnement</v>
          </cell>
        </row>
        <row r="1435">
          <cell r="A1435">
            <v>2018</v>
          </cell>
          <cell r="D1435" t="str">
            <v>DIRECTION CENTRALE DE LA PRODUCTION ET DE L'ANTENNE</v>
          </cell>
          <cell r="V1435">
            <v>21428.57</v>
          </cell>
          <cell r="W1435" t="str">
            <v>Fonctionnement</v>
          </cell>
        </row>
        <row r="1436">
          <cell r="A1436">
            <v>2018</v>
          </cell>
          <cell r="D1436" t="str">
            <v>DIRECTION CENTRALE DE LA PRODUCTION ET DE L'ANTENNE</v>
          </cell>
          <cell r="V1436">
            <v>21428.57</v>
          </cell>
          <cell r="W1436" t="str">
            <v>Fonctionnement</v>
          </cell>
        </row>
        <row r="1437">
          <cell r="A1437">
            <v>2018</v>
          </cell>
          <cell r="D1437" t="str">
            <v>DIRECTION CENTRALE DE LA PRODUCTION ET DE L'ANTENNE</v>
          </cell>
          <cell r="V1437">
            <v>21428.57</v>
          </cell>
          <cell r="W1437" t="str">
            <v>Fonctionnement</v>
          </cell>
        </row>
        <row r="1438">
          <cell r="A1438">
            <v>2018</v>
          </cell>
          <cell r="D1438" t="str">
            <v>DIRECTION CENTRALE DE LA PRODUCTION ET DE L'ANTENNE</v>
          </cell>
          <cell r="V1438">
            <v>42857.14</v>
          </cell>
          <cell r="W1438" t="str">
            <v>Fonctionnement</v>
          </cell>
        </row>
        <row r="1439">
          <cell r="A1439">
            <v>2018</v>
          </cell>
          <cell r="D1439" t="str">
            <v>DIRECTION CENTRALE DE LA PRODUCTION ET DE L'ANTENNE</v>
          </cell>
          <cell r="V1439">
            <v>21428.57</v>
          </cell>
          <cell r="W1439" t="str">
            <v>Fonctionnement</v>
          </cell>
        </row>
        <row r="1440">
          <cell r="A1440">
            <v>2018</v>
          </cell>
          <cell r="D1440" t="str">
            <v>DIRECTION CENTRALE DE LA PRODUCTION ET DE L'ANTENNE</v>
          </cell>
          <cell r="V1440">
            <v>28571.43</v>
          </cell>
          <cell r="W1440" t="str">
            <v>Fonctionnement</v>
          </cell>
        </row>
        <row r="1441">
          <cell r="A1441">
            <v>2018</v>
          </cell>
          <cell r="D1441" t="str">
            <v>DIRECTION CENTRALE DE LA PRODUCTION ET DE L'ANTENNE</v>
          </cell>
          <cell r="V1441">
            <v>21428.57</v>
          </cell>
          <cell r="W1441" t="str">
            <v>Fonctionnement</v>
          </cell>
        </row>
        <row r="1442">
          <cell r="A1442">
            <v>2018</v>
          </cell>
          <cell r="D1442" t="str">
            <v>DIRECTION CENTRALE DE LA PRODUCTION ET DE L'ANTENNE</v>
          </cell>
          <cell r="V1442">
            <v>35714.29</v>
          </cell>
          <cell r="W1442" t="str">
            <v>Fonctionnement</v>
          </cell>
        </row>
        <row r="1443">
          <cell r="A1443">
            <v>2018</v>
          </cell>
          <cell r="D1443" t="str">
            <v>DIRECTION CENTRALE DE LA PRODUCTION ET DE L'ANTENNE</v>
          </cell>
          <cell r="V1443">
            <v>28571.43</v>
          </cell>
          <cell r="W1443" t="str">
            <v>Fonctionnement</v>
          </cell>
        </row>
        <row r="1444">
          <cell r="A1444">
            <v>2018</v>
          </cell>
          <cell r="D1444" t="str">
            <v>DIRECTION CENTRALE DE LA PRODUCTION ET DE L'ANTENNE</v>
          </cell>
          <cell r="V1444">
            <v>28571.43</v>
          </cell>
          <cell r="W1444" t="str">
            <v>Fonctionnement</v>
          </cell>
        </row>
        <row r="1445">
          <cell r="A1445">
            <v>2018</v>
          </cell>
          <cell r="D1445" t="str">
            <v>DIRECTION CENTRALE DE LA PRODUCTION ET DE L'ANTENNE</v>
          </cell>
          <cell r="V1445">
            <v>35714.29</v>
          </cell>
          <cell r="W1445" t="str">
            <v>Fonctionnement</v>
          </cell>
        </row>
        <row r="1446">
          <cell r="A1446">
            <v>2018</v>
          </cell>
          <cell r="D1446" t="str">
            <v>DIRECTION CENTRALE DE LA PRODUCTION ET DE L'ANTENNE</v>
          </cell>
          <cell r="V1446">
            <v>28571.43</v>
          </cell>
          <cell r="W1446" t="str">
            <v>Fonctionnement</v>
          </cell>
        </row>
        <row r="1447">
          <cell r="A1447">
            <v>2018</v>
          </cell>
          <cell r="D1447" t="str">
            <v>DIRECTION CENTRALE DE LA PRODUCTION ET DE L'ANTENNE</v>
          </cell>
          <cell r="V1447">
            <v>50000</v>
          </cell>
          <cell r="W1447" t="str">
            <v>Fonctionnement</v>
          </cell>
        </row>
        <row r="1448">
          <cell r="A1448">
            <v>2018</v>
          </cell>
          <cell r="D1448" t="str">
            <v>DIRECTION CENTRALE DE LA PRODUCTION ET DE L'ANTENNE</v>
          </cell>
          <cell r="V1448">
            <v>21428.57</v>
          </cell>
          <cell r="W1448" t="str">
            <v>Fonctionnement</v>
          </cell>
        </row>
        <row r="1449">
          <cell r="A1449">
            <v>2018</v>
          </cell>
          <cell r="D1449" t="str">
            <v>DIRECTION CENTRALE DE LA PRODUCTION ET DE L'ANTENNE</v>
          </cell>
          <cell r="V1449">
            <v>35714.29</v>
          </cell>
          <cell r="W1449" t="str">
            <v>Fonctionnement</v>
          </cell>
        </row>
        <row r="1450">
          <cell r="A1450">
            <v>2018</v>
          </cell>
          <cell r="D1450" t="str">
            <v>DIRECTION CENTRALE DE LA PRODUCTION ET DE L'ANTENNE</v>
          </cell>
          <cell r="V1450">
            <v>35714.29</v>
          </cell>
          <cell r="W1450" t="str">
            <v>Fonctionnement</v>
          </cell>
        </row>
        <row r="1451">
          <cell r="A1451">
            <v>2018</v>
          </cell>
          <cell r="D1451" t="str">
            <v>DIRECTION CENTRALE DE LA PRODUCTION ET DE L'ANTENNE</v>
          </cell>
          <cell r="V1451">
            <v>35714.29</v>
          </cell>
          <cell r="W1451" t="str">
            <v>Fonctionnement</v>
          </cell>
        </row>
        <row r="1452">
          <cell r="A1452">
            <v>2018</v>
          </cell>
          <cell r="D1452" t="str">
            <v>DIRECTION CENTRALE DE LA PRODUCTION ET DE L'ANTENNE</v>
          </cell>
          <cell r="V1452">
            <v>50000</v>
          </cell>
          <cell r="W1452" t="str">
            <v>Fonctionnement</v>
          </cell>
        </row>
        <row r="1453">
          <cell r="A1453">
            <v>2018</v>
          </cell>
          <cell r="D1453" t="str">
            <v>DIRECTION CENTRALE DE LA PRODUCTION ET DE L'ANTENNE</v>
          </cell>
          <cell r="V1453">
            <v>21428.57</v>
          </cell>
          <cell r="W1453" t="str">
            <v>Fonctionnement</v>
          </cell>
        </row>
        <row r="1454">
          <cell r="A1454">
            <v>2018</v>
          </cell>
          <cell r="D1454" t="str">
            <v>DIRECTION CENTRALE DE LA PRODUCTION ET DE L'ANTENNE</v>
          </cell>
          <cell r="V1454">
            <v>35714.29</v>
          </cell>
          <cell r="W1454" t="str">
            <v>Fonctionnement</v>
          </cell>
        </row>
        <row r="1455">
          <cell r="A1455">
            <v>2018</v>
          </cell>
          <cell r="D1455" t="str">
            <v>DIRECTION CENTRALE DE LA PRODUCTION ET DE L'ANTENNE</v>
          </cell>
          <cell r="V1455">
            <v>21428.57</v>
          </cell>
          <cell r="W1455" t="str">
            <v>Fonctionnement</v>
          </cell>
        </row>
        <row r="1456">
          <cell r="A1456">
            <v>2018</v>
          </cell>
          <cell r="D1456" t="str">
            <v>DIRECTION CENTRALE DE LA PRODUCTION ET DE L'ANTENNE</v>
          </cell>
          <cell r="V1456">
            <v>21428.57</v>
          </cell>
          <cell r="W1456" t="str">
            <v>Fonctionnement</v>
          </cell>
        </row>
        <row r="1457">
          <cell r="A1457">
            <v>2018</v>
          </cell>
          <cell r="D1457" t="str">
            <v>DIRECTION CENTRALE DE LA PRODUCTION ET DE L'ANTENNE</v>
          </cell>
          <cell r="V1457">
            <v>21428.57</v>
          </cell>
          <cell r="W1457" t="str">
            <v>Fonctionnement</v>
          </cell>
        </row>
        <row r="1458">
          <cell r="A1458">
            <v>2018</v>
          </cell>
          <cell r="D1458" t="str">
            <v>DIRECTION CENTRALE DE LA PRODUCTION ET DE L'ANTENNE</v>
          </cell>
          <cell r="V1458">
            <v>21428.57</v>
          </cell>
          <cell r="W1458" t="str">
            <v>Fonctionnement</v>
          </cell>
        </row>
        <row r="1459">
          <cell r="A1459">
            <v>2018</v>
          </cell>
          <cell r="D1459" t="str">
            <v>DIRECTION CENTRALE DE LA PRODUCTION ET DE L'ANTENNE</v>
          </cell>
          <cell r="V1459">
            <v>21428.57</v>
          </cell>
          <cell r="W1459" t="str">
            <v>Fonctionnement</v>
          </cell>
        </row>
        <row r="1460">
          <cell r="A1460">
            <v>2018</v>
          </cell>
          <cell r="D1460" t="str">
            <v>DIRECTION CENTRALE DE LA PRODUCTION ET DE L'ANTENNE</v>
          </cell>
          <cell r="V1460">
            <v>21428.57</v>
          </cell>
          <cell r="W1460" t="str">
            <v>Fonctionnement</v>
          </cell>
        </row>
        <row r="1461">
          <cell r="A1461">
            <v>2018</v>
          </cell>
          <cell r="D1461" t="str">
            <v>DIRECTION CENTRALE DE LA PRODUCTION ET DE L'ANTENNE</v>
          </cell>
          <cell r="V1461">
            <v>28571.43</v>
          </cell>
          <cell r="W1461" t="str">
            <v>Fonctionnement</v>
          </cell>
        </row>
        <row r="1462">
          <cell r="A1462">
            <v>2018</v>
          </cell>
          <cell r="D1462" t="str">
            <v>DIRECTION CENTRALE DE LA PRODUCTION ET DE L'ANTENNE</v>
          </cell>
          <cell r="V1462">
            <v>21428.57</v>
          </cell>
          <cell r="W1462" t="str">
            <v>Fonctionnement</v>
          </cell>
        </row>
        <row r="1463">
          <cell r="A1463">
            <v>2018</v>
          </cell>
          <cell r="D1463" t="str">
            <v>DIRECTION CENTRALE DE LA PRODUCTION ET DE L'ANTENNE</v>
          </cell>
          <cell r="V1463">
            <v>21428.57</v>
          </cell>
          <cell r="W1463" t="str">
            <v>Fonctionnement</v>
          </cell>
        </row>
        <row r="1464">
          <cell r="A1464">
            <v>2018</v>
          </cell>
          <cell r="D1464" t="str">
            <v>DIRECTION CENTRALE DE LA PRODUCTION ET DE L'ANTENNE</v>
          </cell>
          <cell r="V1464">
            <v>28571.43</v>
          </cell>
          <cell r="W1464" t="str">
            <v>Fonctionnement</v>
          </cell>
        </row>
        <row r="1465">
          <cell r="A1465">
            <v>2018</v>
          </cell>
          <cell r="D1465" t="str">
            <v>DIRECTION CENTRALE DE LA PRODUCTION ET DE L'ANTENNE</v>
          </cell>
          <cell r="V1465">
            <v>21428.57</v>
          </cell>
          <cell r="W1465" t="str">
            <v>Fonctionnement</v>
          </cell>
        </row>
        <row r="1466">
          <cell r="A1466">
            <v>2018</v>
          </cell>
          <cell r="D1466" t="str">
            <v>DIRECTION CENTRALE DE LA PRODUCTION ET DE L'ANTENNE</v>
          </cell>
          <cell r="V1466">
            <v>28571.43</v>
          </cell>
          <cell r="W1466" t="str">
            <v>Fonctionnement</v>
          </cell>
        </row>
        <row r="1467">
          <cell r="A1467">
            <v>2018</v>
          </cell>
          <cell r="D1467" t="str">
            <v>DIRECTION CENTRALE DE LA PRODUCTION ET DE L'ANTENNE</v>
          </cell>
          <cell r="V1467">
            <v>35714.29</v>
          </cell>
          <cell r="W1467" t="str">
            <v>Fonctionnement</v>
          </cell>
        </row>
        <row r="1468">
          <cell r="A1468">
            <v>2018</v>
          </cell>
          <cell r="D1468" t="str">
            <v>DIRECTION CENTRALE DE LA PRODUCTION ET DE L'ANTENNE</v>
          </cell>
          <cell r="V1468">
            <v>21428.57</v>
          </cell>
          <cell r="W1468" t="str">
            <v>Fonctionnement</v>
          </cell>
        </row>
        <row r="1469">
          <cell r="A1469">
            <v>2018</v>
          </cell>
          <cell r="D1469" t="str">
            <v>DIRECTION CENTRALE DE LA PRODUCTION ET DE L'ANTENNE</v>
          </cell>
          <cell r="V1469">
            <v>21428.57</v>
          </cell>
          <cell r="W1469" t="str">
            <v>Fonctionnement</v>
          </cell>
        </row>
        <row r="1470">
          <cell r="A1470">
            <v>2018</v>
          </cell>
          <cell r="D1470" t="str">
            <v>DIRECTION CENTRALE DE LA PRODUCTION ET DE L'ANTENNE</v>
          </cell>
          <cell r="V1470">
            <v>21428.57</v>
          </cell>
          <cell r="W1470" t="str">
            <v>Fonctionnement</v>
          </cell>
        </row>
        <row r="1471">
          <cell r="A1471">
            <v>2018</v>
          </cell>
          <cell r="D1471" t="str">
            <v>DIRECTION CENTRALE DE LA PRODUCTION ET DE L'ANTENNE</v>
          </cell>
          <cell r="V1471">
            <v>28571.43</v>
          </cell>
          <cell r="W1471" t="str">
            <v>Fonctionnement</v>
          </cell>
        </row>
        <row r="1472">
          <cell r="A1472">
            <v>2018</v>
          </cell>
          <cell r="D1472" t="str">
            <v>DIRECTION CENTRALE DE LA PRODUCTION ET DE L'ANTENNE</v>
          </cell>
          <cell r="V1472">
            <v>28571.43</v>
          </cell>
          <cell r="W1472" t="str">
            <v>Fonctionnement</v>
          </cell>
        </row>
        <row r="1473">
          <cell r="A1473">
            <v>2018</v>
          </cell>
          <cell r="D1473" t="str">
            <v>DIRECTION CENTRALE DE LA PRODUCTION ET DE L'ANTENNE</v>
          </cell>
          <cell r="V1473">
            <v>21428.57</v>
          </cell>
          <cell r="W1473" t="str">
            <v>Fonctionnement</v>
          </cell>
        </row>
        <row r="1474">
          <cell r="A1474">
            <v>2018</v>
          </cell>
          <cell r="D1474" t="str">
            <v>DIRECTION CENTRALE DE LA PRODUCTION ET DE L'ANTENNE</v>
          </cell>
          <cell r="V1474">
            <v>50000</v>
          </cell>
          <cell r="W1474" t="str">
            <v>Fonctionnement</v>
          </cell>
        </row>
        <row r="1475">
          <cell r="A1475">
            <v>2018</v>
          </cell>
          <cell r="D1475" t="str">
            <v>DIRECTION CENTRALE DE LA PRODUCTION ET DE L'ANTENNE</v>
          </cell>
          <cell r="V1475">
            <v>28571.43</v>
          </cell>
          <cell r="W1475" t="str">
            <v>Fonctionnement</v>
          </cell>
        </row>
        <row r="1476">
          <cell r="A1476">
            <v>2018</v>
          </cell>
          <cell r="D1476" t="str">
            <v>DIRECTION CENTRALE DE LA PRODUCTION ET DE L'ANTENNE</v>
          </cell>
          <cell r="V1476">
            <v>35714.29</v>
          </cell>
          <cell r="W1476" t="str">
            <v>Fonctionnement</v>
          </cell>
        </row>
        <row r="1477">
          <cell r="A1477">
            <v>2018</v>
          </cell>
          <cell r="D1477" t="str">
            <v>DIRECTION CENTRALE DE LA PRODUCTION ET DE L'ANTENNE</v>
          </cell>
          <cell r="V1477">
            <v>21428.57</v>
          </cell>
          <cell r="W1477" t="str">
            <v>Fonctionnement</v>
          </cell>
        </row>
        <row r="1478">
          <cell r="A1478">
            <v>2018</v>
          </cell>
          <cell r="D1478" t="str">
            <v>DIRECTION CENTRALE DE LA PRODUCTION ET DE L'ANTENNE</v>
          </cell>
          <cell r="V1478">
            <v>21428.57</v>
          </cell>
          <cell r="W1478" t="str">
            <v>Fonctionnement</v>
          </cell>
        </row>
        <row r="1479">
          <cell r="A1479">
            <v>2018</v>
          </cell>
          <cell r="D1479" t="str">
            <v>DIRECTION CENTRALE DE LA PRODUCTION ET DE L'ANTENNE</v>
          </cell>
          <cell r="V1479">
            <v>28571.43</v>
          </cell>
          <cell r="W1479" t="str">
            <v>Fonctionnement</v>
          </cell>
        </row>
        <row r="1480">
          <cell r="A1480">
            <v>2018</v>
          </cell>
          <cell r="D1480" t="str">
            <v>DIRECTION CENTRALE DE LA PRODUCTION ET DE L'ANTENNE</v>
          </cell>
          <cell r="V1480">
            <v>28571.43</v>
          </cell>
          <cell r="W1480" t="str">
            <v>Fonctionnement</v>
          </cell>
        </row>
        <row r="1481">
          <cell r="A1481">
            <v>2018</v>
          </cell>
          <cell r="D1481" t="str">
            <v>DIRECTION CENTRALE DE LA PRODUCTION ET DE L'ANTENNE</v>
          </cell>
          <cell r="V1481">
            <v>28571.43</v>
          </cell>
          <cell r="W1481" t="str">
            <v>Fonctionnement</v>
          </cell>
        </row>
        <row r="1482">
          <cell r="A1482">
            <v>2018</v>
          </cell>
          <cell r="D1482" t="str">
            <v>DIRECTION CENTRALE DE LA PRODUCTION ET DE L'ANTENNE</v>
          </cell>
          <cell r="V1482">
            <v>35714.29</v>
          </cell>
          <cell r="W1482" t="str">
            <v>Fonctionnement</v>
          </cell>
        </row>
        <row r="1483">
          <cell r="A1483">
            <v>2018</v>
          </cell>
          <cell r="D1483" t="str">
            <v>DIRECTION CENTRALE DE LA PRODUCTION ET DE L'ANTENNE</v>
          </cell>
          <cell r="V1483">
            <v>50000</v>
          </cell>
          <cell r="W1483" t="str">
            <v>Fonctionnement</v>
          </cell>
        </row>
        <row r="1484">
          <cell r="A1484">
            <v>2018</v>
          </cell>
          <cell r="D1484" t="str">
            <v>DIRECTION CENTRALE DE LA PRODUCTION ET DE L'ANTENNE</v>
          </cell>
          <cell r="V1484">
            <v>35714.29</v>
          </cell>
          <cell r="W1484" t="str">
            <v>Fonctionnement</v>
          </cell>
        </row>
        <row r="1485">
          <cell r="A1485">
            <v>2018</v>
          </cell>
          <cell r="D1485" t="str">
            <v>DIRECTION CENTRALE DE LA PRODUCTION ET DE L'ANTENNE</v>
          </cell>
          <cell r="V1485">
            <v>21428.57</v>
          </cell>
          <cell r="W1485" t="str">
            <v>Fonctionnement</v>
          </cell>
        </row>
        <row r="1486">
          <cell r="A1486">
            <v>2018</v>
          </cell>
          <cell r="D1486" t="str">
            <v>DIRECTION CENTRALE DE LA PRODUCTION ET DE L'ANTENNE</v>
          </cell>
          <cell r="V1486">
            <v>35714.29</v>
          </cell>
          <cell r="W1486" t="str">
            <v>Fonctionnement</v>
          </cell>
        </row>
        <row r="1487">
          <cell r="A1487">
            <v>2018</v>
          </cell>
          <cell r="D1487" t="str">
            <v>DIRECTION CENTRALE DE LA PRODUCTION ET DE L'ANTENNE</v>
          </cell>
          <cell r="V1487">
            <v>21428.57</v>
          </cell>
          <cell r="W1487" t="str">
            <v>Fonctionnement</v>
          </cell>
        </row>
        <row r="1488">
          <cell r="A1488">
            <v>2018</v>
          </cell>
          <cell r="D1488" t="str">
            <v>DIRECTION CENTRALE DE LA PRODUCTION ET DE L'ANTENNE</v>
          </cell>
          <cell r="V1488">
            <v>21428.57</v>
          </cell>
          <cell r="W1488" t="str">
            <v>Fonctionnement</v>
          </cell>
        </row>
        <row r="1489">
          <cell r="A1489">
            <v>2018</v>
          </cell>
          <cell r="D1489" t="str">
            <v>DIRECTION CENTRALE DE LA PRODUCTION ET DE L'ANTENNE</v>
          </cell>
          <cell r="V1489">
            <v>21428.57</v>
          </cell>
          <cell r="W1489" t="str">
            <v>Fonctionnement</v>
          </cell>
        </row>
        <row r="1490">
          <cell r="A1490">
            <v>2018</v>
          </cell>
          <cell r="D1490" t="str">
            <v>DIRECTION CENTRALE DE LA PRODUCTION ET DE L'ANTENNE</v>
          </cell>
          <cell r="V1490">
            <v>21428.57</v>
          </cell>
          <cell r="W1490" t="str">
            <v>Fonctionnement</v>
          </cell>
        </row>
        <row r="1491">
          <cell r="A1491">
            <v>2018</v>
          </cell>
          <cell r="D1491" t="str">
            <v>DIRECTION CENTRALE DE LA PRODUCTION ET DE L'ANTENNE</v>
          </cell>
          <cell r="V1491">
            <v>57142.86</v>
          </cell>
          <cell r="W1491" t="str">
            <v>Fonctionnement</v>
          </cell>
        </row>
        <row r="1492">
          <cell r="A1492">
            <v>2018</v>
          </cell>
          <cell r="D1492" t="str">
            <v>DIRECTION CENTRALE DE LA PRODUCTION ET DE L'ANTENNE</v>
          </cell>
          <cell r="V1492">
            <v>21428.57</v>
          </cell>
          <cell r="W1492" t="str">
            <v>Fonctionnement</v>
          </cell>
        </row>
        <row r="1493">
          <cell r="A1493">
            <v>2018</v>
          </cell>
          <cell r="D1493" t="str">
            <v>DIRECTION CENTRALE DE LA PRODUCTION ET DE L'ANTENNE</v>
          </cell>
          <cell r="V1493">
            <v>28571.43</v>
          </cell>
          <cell r="W1493" t="str">
            <v>Fonctionnement</v>
          </cell>
        </row>
        <row r="1494">
          <cell r="A1494">
            <v>2018</v>
          </cell>
          <cell r="D1494" t="str">
            <v>DIRECTION CENTRALE DE LA PRODUCTION ET DE L'ANTENNE</v>
          </cell>
          <cell r="V1494">
            <v>21428.57</v>
          </cell>
          <cell r="W1494" t="str">
            <v>Fonctionnement</v>
          </cell>
        </row>
        <row r="1495">
          <cell r="A1495">
            <v>2018</v>
          </cell>
          <cell r="D1495" t="str">
            <v>DIRECTION CENTRALE DE LA PRODUCTION ET DE L'ANTENNE</v>
          </cell>
          <cell r="V1495">
            <v>50000</v>
          </cell>
          <cell r="W1495" t="str">
            <v>Fonctionnement</v>
          </cell>
        </row>
        <row r="1496">
          <cell r="A1496">
            <v>2018</v>
          </cell>
          <cell r="D1496" t="str">
            <v>DIRECTION CENTRALE DE LA PRODUCTION ET DE L'ANTENNE</v>
          </cell>
          <cell r="V1496">
            <v>21428.57</v>
          </cell>
          <cell r="W1496" t="str">
            <v>Fonctionnement</v>
          </cell>
        </row>
        <row r="1497">
          <cell r="A1497">
            <v>2018</v>
          </cell>
          <cell r="D1497" t="str">
            <v>DIRECTION CENTRALE DE LA PRODUCTION ET DE L'ANTENNE</v>
          </cell>
          <cell r="V1497">
            <v>21428.57</v>
          </cell>
          <cell r="W1497" t="str">
            <v>Fonctionnement</v>
          </cell>
        </row>
        <row r="1498">
          <cell r="A1498">
            <v>2018</v>
          </cell>
          <cell r="D1498" t="str">
            <v>DIRECTION CENTRALE DE LA PRODUCTION ET DE L'ANTENNE</v>
          </cell>
          <cell r="V1498">
            <v>21428.57</v>
          </cell>
          <cell r="W1498" t="str">
            <v>Fonctionnement</v>
          </cell>
        </row>
        <row r="1499">
          <cell r="A1499">
            <v>2018</v>
          </cell>
          <cell r="D1499" t="str">
            <v>DIRECTION CENTRALE DE LA PRODUCTION ET DE L'ANTENNE</v>
          </cell>
          <cell r="V1499">
            <v>21428.57</v>
          </cell>
          <cell r="W1499" t="str">
            <v>Fonctionnement</v>
          </cell>
        </row>
        <row r="1500">
          <cell r="A1500">
            <v>2018</v>
          </cell>
          <cell r="D1500" t="str">
            <v>DIRECTION CENTRALE DE LA PRODUCTION ET DE L'ANTENNE</v>
          </cell>
          <cell r="V1500">
            <v>50000</v>
          </cell>
          <cell r="W1500" t="str">
            <v>Fonctionnement</v>
          </cell>
        </row>
        <row r="1501">
          <cell r="A1501">
            <v>2018</v>
          </cell>
          <cell r="D1501" t="str">
            <v>DIRECTION CENTRALE DE LA PRODUCTION ET DE L'ANTENNE</v>
          </cell>
          <cell r="V1501">
            <v>90000</v>
          </cell>
          <cell r="W1501" t="str">
            <v>Fonctionnement</v>
          </cell>
        </row>
        <row r="1502">
          <cell r="A1502">
            <v>2018</v>
          </cell>
          <cell r="D1502" t="str">
            <v>DIRECTION CENTRALE DE LA PRODUCTION ET DE L'ANTENNE</v>
          </cell>
          <cell r="V1502">
            <v>90000</v>
          </cell>
          <cell r="W1502" t="str">
            <v>Fonctionnement</v>
          </cell>
        </row>
        <row r="1503">
          <cell r="A1503">
            <v>2018</v>
          </cell>
          <cell r="D1503" t="str">
            <v>DIRECTION CENTRALE DE LA PRODUCTION ET DE L'ANTENNE</v>
          </cell>
          <cell r="V1503">
            <v>90000</v>
          </cell>
          <cell r="W1503" t="str">
            <v>Fonctionnement</v>
          </cell>
        </row>
        <row r="1504">
          <cell r="A1504">
            <v>2018</v>
          </cell>
          <cell r="D1504" t="str">
            <v>DIRECTION CENTRALE DE LA CHAÎNE ARRYADIA</v>
          </cell>
          <cell r="V1504">
            <v>140642.18</v>
          </cell>
          <cell r="W1504" t="str">
            <v>Fonctionnement</v>
          </cell>
        </row>
        <row r="1505">
          <cell r="A1505">
            <v>2018</v>
          </cell>
          <cell r="D1505" t="str">
            <v>DIRECTION CENTRALE DE LA CHAÎNE ARRYADIA</v>
          </cell>
          <cell r="V1505">
            <v>145999.28</v>
          </cell>
          <cell r="W1505" t="str">
            <v>Fonctionnement</v>
          </cell>
        </row>
        <row r="1506">
          <cell r="A1506">
            <v>2018</v>
          </cell>
          <cell r="D1506" t="str">
            <v>DIRECTION CENTRALE DE LA CHAÎNE ARRYADIA</v>
          </cell>
          <cell r="V1506">
            <v>145999.28</v>
          </cell>
          <cell r="W1506" t="str">
            <v>Fonctionnement</v>
          </cell>
        </row>
        <row r="1507">
          <cell r="A1507">
            <v>2018</v>
          </cell>
          <cell r="D1507" t="str">
            <v>DIRECTION CENTRALE DE LA CHAÎNE ARRYADIA</v>
          </cell>
          <cell r="V1507">
            <v>145999.28</v>
          </cell>
          <cell r="W1507" t="str">
            <v>Fonctionnement</v>
          </cell>
        </row>
        <row r="1508">
          <cell r="A1508">
            <v>2018</v>
          </cell>
          <cell r="D1508" t="str">
            <v>DIRECTION CENTRALE DE LA CHAÎNE ARRYADIA</v>
          </cell>
          <cell r="V1508">
            <v>145999.28</v>
          </cell>
          <cell r="W1508" t="str">
            <v>Fonctionnement</v>
          </cell>
        </row>
        <row r="1509">
          <cell r="A1509">
            <v>2018</v>
          </cell>
          <cell r="D1509" t="str">
            <v>DIRECTION CENTRALE DE LA CHAÎNE ARRYADIA</v>
          </cell>
          <cell r="V1509">
            <v>145999.28</v>
          </cell>
          <cell r="W1509" t="str">
            <v>Fonctionnement</v>
          </cell>
        </row>
        <row r="1510">
          <cell r="A1510">
            <v>2018</v>
          </cell>
          <cell r="D1510" t="str">
            <v>DIRECTION CENTRALE DE LA CHAÎNE ARRYADIA</v>
          </cell>
          <cell r="V1510">
            <v>145999.28</v>
          </cell>
          <cell r="W1510" t="str">
            <v>Fonctionnement</v>
          </cell>
        </row>
        <row r="1511">
          <cell r="A1511">
            <v>2018</v>
          </cell>
          <cell r="D1511" t="str">
            <v>DIRECTION CENTRALE DE LA CHAÎNE ARRYADIA</v>
          </cell>
          <cell r="V1511">
            <v>121356.68</v>
          </cell>
          <cell r="W1511" t="str">
            <v>Fonctionnement</v>
          </cell>
        </row>
        <row r="1512">
          <cell r="A1512">
            <v>2018</v>
          </cell>
          <cell r="D1512" t="str">
            <v>DIRECTION CENTRALE DE LA CHAÎNE ARRYADIA</v>
          </cell>
          <cell r="V1512">
            <v>137785.07999999999</v>
          </cell>
          <cell r="W1512" t="str">
            <v>Fonctionnement</v>
          </cell>
        </row>
        <row r="1513">
          <cell r="A1513">
            <v>2018</v>
          </cell>
          <cell r="D1513" t="str">
            <v>DIRECTION CENTRALE DE LA CHAÎNE ARRYADIA</v>
          </cell>
          <cell r="V1513">
            <v>145999.28</v>
          </cell>
          <cell r="W1513" t="str">
            <v>Fonctionnement</v>
          </cell>
        </row>
        <row r="1514">
          <cell r="A1514">
            <v>2018</v>
          </cell>
          <cell r="D1514" t="str">
            <v>DIRECTION CENTRALE DE LA CHAÎNE ARRYADIA</v>
          </cell>
          <cell r="V1514">
            <v>163141.88</v>
          </cell>
          <cell r="W1514" t="str">
            <v>Fonctionnement</v>
          </cell>
        </row>
        <row r="1515">
          <cell r="A1515">
            <v>2018</v>
          </cell>
          <cell r="D1515" t="str">
            <v>DIRECTION CENTRALE DE LA CHAÎNE ARRYADIA</v>
          </cell>
          <cell r="V1515">
            <v>178141.88</v>
          </cell>
          <cell r="W1515" t="str">
            <v>Fonctionnement</v>
          </cell>
        </row>
        <row r="1516">
          <cell r="A1516">
            <v>2018</v>
          </cell>
          <cell r="D1516" t="str">
            <v>DIRECTION CENTRALE DE LA CHAÎNE ARRYADIA</v>
          </cell>
          <cell r="V1516">
            <v>178141.88</v>
          </cell>
          <cell r="W1516" t="str">
            <v>Fonctionnement</v>
          </cell>
        </row>
        <row r="1517">
          <cell r="A1517">
            <v>2018</v>
          </cell>
          <cell r="D1517" t="str">
            <v>DIRECTION CENTRALE DE LA CHAÎNE ARRYADIA</v>
          </cell>
          <cell r="V1517">
            <v>129570.88</v>
          </cell>
          <cell r="W1517" t="str">
            <v>Fonctionnement</v>
          </cell>
        </row>
        <row r="1518">
          <cell r="A1518">
            <v>2018</v>
          </cell>
          <cell r="D1518" t="str">
            <v>DIRECTION CENTRALE DE LA CHAÎNE ARRYADIA</v>
          </cell>
          <cell r="V1518">
            <v>162427.68</v>
          </cell>
          <cell r="W1518" t="str">
            <v>Fonctionnement</v>
          </cell>
        </row>
        <row r="1519">
          <cell r="A1519">
            <v>2018</v>
          </cell>
          <cell r="D1519" t="str">
            <v>DIRECTION CENTRALE DE LA CHAÎNE ARRYADIA</v>
          </cell>
          <cell r="V1519">
            <v>121356.68</v>
          </cell>
          <cell r="W1519" t="str">
            <v>Fonctionnement</v>
          </cell>
        </row>
        <row r="1520">
          <cell r="A1520">
            <v>2018</v>
          </cell>
          <cell r="D1520" t="str">
            <v>DIRECTION CENTRALE DE LA CHAÎNE ARRYADIA</v>
          </cell>
          <cell r="V1520">
            <v>162427.68</v>
          </cell>
          <cell r="W1520" t="str">
            <v>Fonctionnement</v>
          </cell>
        </row>
        <row r="1521">
          <cell r="A1521">
            <v>2018</v>
          </cell>
          <cell r="D1521" t="str">
            <v>DIRECTION CENTRALE DE LA CHAÎNE ARRYADIA</v>
          </cell>
          <cell r="V1521">
            <v>158999.16</v>
          </cell>
          <cell r="W1521" t="str">
            <v>Fonctionnement</v>
          </cell>
        </row>
        <row r="1522">
          <cell r="A1522">
            <v>2018</v>
          </cell>
          <cell r="D1522" t="str">
            <v>DIRECTION CENTRALE DE LA CHAÎNE ARRYADIA</v>
          </cell>
          <cell r="V1522">
            <v>194570.28</v>
          </cell>
          <cell r="W1522" t="str">
            <v>Fonctionnement</v>
          </cell>
        </row>
        <row r="1523">
          <cell r="A1523">
            <v>2018</v>
          </cell>
          <cell r="D1523" t="str">
            <v>DIRECTION CENTRALE DE LA CHAÎNE ARRYADIA</v>
          </cell>
          <cell r="V1523">
            <v>159142</v>
          </cell>
          <cell r="W1523" t="str">
            <v>Fonctionnement</v>
          </cell>
        </row>
        <row r="1524">
          <cell r="A1524">
            <v>2018</v>
          </cell>
          <cell r="D1524" t="str">
            <v>DIRECTION CENTRALE DE LA CHAÎNE ARRYADIA</v>
          </cell>
          <cell r="V1524">
            <v>159142</v>
          </cell>
          <cell r="W1524" t="str">
            <v>Fonctionnement</v>
          </cell>
        </row>
        <row r="1525">
          <cell r="A1525">
            <v>2018</v>
          </cell>
          <cell r="D1525" t="str">
            <v>DIRECTION CENTRALE DE LA CHAÎNE ARRYADIA</v>
          </cell>
          <cell r="V1525">
            <v>162427.68</v>
          </cell>
          <cell r="W1525" t="str">
            <v>Fonctionnement</v>
          </cell>
        </row>
        <row r="1526">
          <cell r="A1526">
            <v>2018</v>
          </cell>
          <cell r="D1526" t="str">
            <v>DIRECTION CENTRALE DE LA CHAÎNE ARRYADIA</v>
          </cell>
          <cell r="V1526">
            <v>180000</v>
          </cell>
          <cell r="W1526" t="str">
            <v>Fonctionnement</v>
          </cell>
        </row>
        <row r="1527">
          <cell r="A1527">
            <v>2018</v>
          </cell>
          <cell r="D1527" t="str">
            <v>DIRECTION CENTRALE DE LA CHAÎNE ARRYADIA</v>
          </cell>
          <cell r="V1527">
            <v>178141.88</v>
          </cell>
          <cell r="W1527" t="str">
            <v>Fonctionnement</v>
          </cell>
        </row>
        <row r="1528">
          <cell r="A1528">
            <v>2018</v>
          </cell>
          <cell r="D1528" t="str">
            <v>DIRECTION CENTRALE DE LA CHAÎNE ARRYADIA</v>
          </cell>
          <cell r="V1528">
            <v>145999.28</v>
          </cell>
          <cell r="W1528" t="str">
            <v>Fonctionnement</v>
          </cell>
        </row>
        <row r="1529">
          <cell r="A1529">
            <v>2018</v>
          </cell>
          <cell r="D1529" t="str">
            <v>DIRECTION CENTRALE DE LA CHAÎNE ARRYADIA</v>
          </cell>
          <cell r="V1529">
            <v>137785.07999999999</v>
          </cell>
          <cell r="W1529" t="str">
            <v>Fonctionnement</v>
          </cell>
        </row>
        <row r="1530">
          <cell r="A1530">
            <v>2018</v>
          </cell>
          <cell r="D1530" t="str">
            <v>DIRECTION CENTRALE DE LA CHAÎNE ARRYADIA</v>
          </cell>
          <cell r="V1530">
            <v>129571.88</v>
          </cell>
          <cell r="W1530" t="str">
            <v>Fonctionnement</v>
          </cell>
        </row>
        <row r="1531">
          <cell r="A1531">
            <v>2018</v>
          </cell>
          <cell r="D1531" t="str">
            <v>DIRECTION CENTRALE DE LA CHAÎNE ARRYADIA</v>
          </cell>
          <cell r="V1531">
            <v>113142.48</v>
          </cell>
          <cell r="W1531" t="str">
            <v>Fonctionnement</v>
          </cell>
        </row>
        <row r="1532">
          <cell r="A1532">
            <v>2018</v>
          </cell>
          <cell r="D1532" t="str">
            <v>DIRECTION CENTRALE DE LA CHAÎNE ARRYADIA</v>
          </cell>
          <cell r="V1532">
            <v>129570.88</v>
          </cell>
          <cell r="W1532" t="str">
            <v>Fonctionnement</v>
          </cell>
        </row>
        <row r="1533">
          <cell r="A1533">
            <v>2018</v>
          </cell>
          <cell r="D1533" t="str">
            <v>DIRECTION CENTRALE DE LA CHAÎNE ARRYADIA</v>
          </cell>
          <cell r="V1533">
            <v>145999.28</v>
          </cell>
          <cell r="W1533" t="str">
            <v>Fonctionnement</v>
          </cell>
        </row>
        <row r="1534">
          <cell r="A1534">
            <v>2018</v>
          </cell>
          <cell r="D1534" t="str">
            <v>DIRECTION CENTRALE DE LA CHAÎNE ARRYADIA</v>
          </cell>
          <cell r="V1534">
            <v>150000</v>
          </cell>
          <cell r="W1534" t="str">
            <v>Fonctionnement</v>
          </cell>
        </row>
        <row r="1535">
          <cell r="A1535">
            <v>2018</v>
          </cell>
          <cell r="D1535" t="str">
            <v>DIRECTION CENTRALE DE LA CHAÎNE ARRYADIA</v>
          </cell>
          <cell r="V1535">
            <v>228571.2</v>
          </cell>
          <cell r="W1535" t="str">
            <v>Fonctionnement</v>
          </cell>
        </row>
        <row r="1536">
          <cell r="A1536">
            <v>2018</v>
          </cell>
          <cell r="D1536" t="str">
            <v>DIRECTION CENTRALE DE LA CHAÎNE ARRYADIA</v>
          </cell>
          <cell r="V1536">
            <v>135000</v>
          </cell>
          <cell r="W1536" t="str">
            <v>Fonctionnement</v>
          </cell>
        </row>
        <row r="1537">
          <cell r="A1537">
            <v>2018</v>
          </cell>
          <cell r="D1537" t="str">
            <v>DIRECTION CENTRALE DE LA CHAÎNE ARRYADIA</v>
          </cell>
          <cell r="V1537">
            <v>270000</v>
          </cell>
          <cell r="W1537" t="str">
            <v>Fonctionnement</v>
          </cell>
        </row>
        <row r="1538">
          <cell r="A1538">
            <v>2018</v>
          </cell>
          <cell r="D1538" t="str">
            <v>DIRECTION CENTRALE DE LA CHAÎNE ARRYADIA</v>
          </cell>
          <cell r="V1538">
            <v>210000</v>
          </cell>
          <cell r="W1538" t="str">
            <v>Fonctionnement</v>
          </cell>
        </row>
        <row r="1539">
          <cell r="A1539">
            <v>2018</v>
          </cell>
          <cell r="D1539" t="str">
            <v>DIRECTION CENTRALE DE LA CHAÎNE ARRYADIA</v>
          </cell>
          <cell r="V1539">
            <v>150000</v>
          </cell>
          <cell r="W1539" t="str">
            <v>Fonctionnement</v>
          </cell>
        </row>
        <row r="1540">
          <cell r="A1540">
            <v>2018</v>
          </cell>
          <cell r="D1540" t="str">
            <v>DIRECTION CENTRALE DE LA CHAÎNE ARRYADIA</v>
          </cell>
          <cell r="V1540">
            <v>150000</v>
          </cell>
          <cell r="W1540" t="str">
            <v>Fonctionnement</v>
          </cell>
        </row>
        <row r="1541">
          <cell r="A1541">
            <v>2018</v>
          </cell>
          <cell r="D1541" t="str">
            <v>DIRECTION CENTRALE DE LA CHAÎNE ARRYADIA</v>
          </cell>
          <cell r="V1541">
            <v>210000</v>
          </cell>
          <cell r="W1541" t="str">
            <v>Fonctionnement</v>
          </cell>
        </row>
        <row r="1542">
          <cell r="A1542">
            <v>2018</v>
          </cell>
          <cell r="D1542" t="str">
            <v>DIRECTION CENTRALE DE LA CHAÎNE ARRYADIA</v>
          </cell>
          <cell r="V1542">
            <v>70000</v>
          </cell>
          <cell r="W1542" t="str">
            <v>Fonctionnement</v>
          </cell>
        </row>
        <row r="1543">
          <cell r="A1543">
            <v>2018</v>
          </cell>
          <cell r="D1543" t="str">
            <v>DIRECTION CENTRALE DE LA CHAÎNE ARRYADIA</v>
          </cell>
          <cell r="V1543">
            <v>700000</v>
          </cell>
          <cell r="W1543" t="str">
            <v>Fonctionnement</v>
          </cell>
        </row>
        <row r="1544">
          <cell r="A1544">
            <v>2018</v>
          </cell>
          <cell r="D1544" t="str">
            <v>DIRECTION CENTRALE DE LA CHAÎNE ARRYADIA</v>
          </cell>
          <cell r="V1544">
            <v>171360</v>
          </cell>
          <cell r="W1544" t="str">
            <v>Fonctionnement</v>
          </cell>
        </row>
        <row r="1545">
          <cell r="A1545">
            <v>2018</v>
          </cell>
          <cell r="D1545" t="str">
            <v>DIRECTION CENTRALE DE LA CHAÎNE ARRYADIA</v>
          </cell>
          <cell r="V1545">
            <v>360000</v>
          </cell>
          <cell r="W1545" t="str">
            <v>Fonctionnement</v>
          </cell>
        </row>
        <row r="1546">
          <cell r="A1546">
            <v>2018</v>
          </cell>
          <cell r="D1546" t="str">
            <v>DIRECTION CENTRALE DE LA CHAÎNE ARRYADIA</v>
          </cell>
          <cell r="V1546">
            <v>240000</v>
          </cell>
          <cell r="W1546" t="str">
            <v>Fonctionnement</v>
          </cell>
        </row>
        <row r="1547">
          <cell r="A1547">
            <v>2018</v>
          </cell>
          <cell r="D1547" t="str">
            <v>DIRECTION CENTRALE DE LA CHAÎNE ARRYADIA</v>
          </cell>
          <cell r="V1547">
            <v>134999.20000000001</v>
          </cell>
          <cell r="W1547" t="str">
            <v>Fonctionnement</v>
          </cell>
        </row>
        <row r="1548">
          <cell r="A1548">
            <v>2018</v>
          </cell>
          <cell r="D1548" t="str">
            <v>DIRECTION CENTRALE DE LA CHAÎNE ARRYADIA</v>
          </cell>
          <cell r="V1548">
            <v>119642.22</v>
          </cell>
          <cell r="W1548" t="str">
            <v>Fonctionnement</v>
          </cell>
        </row>
        <row r="1549">
          <cell r="A1549">
            <v>2018</v>
          </cell>
          <cell r="D1549" t="str">
            <v>DIRECTION CENTRALE DE LA CHAÎNE ARRYADIA</v>
          </cell>
          <cell r="V1549">
            <v>848337.5</v>
          </cell>
          <cell r="W1549" t="str">
            <v>Fonctionnement</v>
          </cell>
        </row>
        <row r="1550">
          <cell r="A1550">
            <v>2018</v>
          </cell>
          <cell r="D1550" t="str">
            <v>DIRECTION CENTRALE DE LA CHAÎNE ARRYADIA</v>
          </cell>
          <cell r="V1550">
            <v>1400000</v>
          </cell>
          <cell r="W1550" t="str">
            <v>Fonctionnement</v>
          </cell>
        </row>
        <row r="1551">
          <cell r="A1551">
            <v>2018</v>
          </cell>
          <cell r="D1551" t="str">
            <v>DIRECTION CENTRALE DE LA CHAÎNE ARRYADIA</v>
          </cell>
          <cell r="V1551">
            <v>1800000</v>
          </cell>
          <cell r="W1551" t="str">
            <v>Fonctionnement</v>
          </cell>
        </row>
        <row r="1552">
          <cell r="A1552">
            <v>2018</v>
          </cell>
          <cell r="D1552" t="str">
            <v>DIRECTION CENTRALE DE LA CHAÎNE ARRYADIA</v>
          </cell>
          <cell r="V1552">
            <v>1504000</v>
          </cell>
          <cell r="W1552" t="str">
            <v>Fonctionnement</v>
          </cell>
        </row>
        <row r="1553">
          <cell r="A1553">
            <v>2018</v>
          </cell>
          <cell r="D1553" t="str">
            <v>DIRECTION CENTRALE DE LA CHAÎNE ARRYADIA</v>
          </cell>
          <cell r="V1553">
            <v>926100</v>
          </cell>
          <cell r="W1553" t="str">
            <v>Fonctionnement</v>
          </cell>
        </row>
        <row r="1554">
          <cell r="A1554">
            <v>2018</v>
          </cell>
          <cell r="D1554" t="str">
            <v>DIRECTION CENTRALE DE LA CHAÎNE ARRYADIA</v>
          </cell>
          <cell r="V1554">
            <v>105000000</v>
          </cell>
          <cell r="W1554" t="str">
            <v>Fonctionnement</v>
          </cell>
        </row>
        <row r="1555">
          <cell r="A1555">
            <v>2018</v>
          </cell>
          <cell r="D1555" t="str">
            <v>DIRECTION CENTRALE DE LA CHAÎNE ARRYADIA</v>
          </cell>
          <cell r="V1555">
            <v>75000</v>
          </cell>
          <cell r="W1555" t="str">
            <v>Fonctionnement</v>
          </cell>
        </row>
        <row r="1556">
          <cell r="A1556">
            <v>2018</v>
          </cell>
          <cell r="D1556" t="str">
            <v>DIRECTION CENTRALE DE LA CHAÎNE ARRYADIA</v>
          </cell>
          <cell r="V1556">
            <v>994831.19</v>
          </cell>
          <cell r="W1556" t="str">
            <v>Fonctionnement</v>
          </cell>
        </row>
        <row r="1557">
          <cell r="A1557">
            <v>2018</v>
          </cell>
          <cell r="D1557" t="str">
            <v>DIRECTION CENTRALE DE LA CHAÎNE ARRYADIA</v>
          </cell>
          <cell r="V1557">
            <v>10027000</v>
          </cell>
          <cell r="W1557" t="str">
            <v>Fonctionnement</v>
          </cell>
        </row>
        <row r="1558">
          <cell r="A1558">
            <v>2018</v>
          </cell>
          <cell r="D1558" t="str">
            <v>DIRECTION CENTRALE DE LA CHAÎNE ARRYADIA</v>
          </cell>
          <cell r="V1558">
            <v>2111886</v>
          </cell>
          <cell r="W1558" t="str">
            <v>Fonctionnement</v>
          </cell>
        </row>
        <row r="1559">
          <cell r="A1559">
            <v>2016</v>
          </cell>
          <cell r="D1559" t="str">
            <v>DIRECTION CENTRALE DE LA CHAÎNE ARRYADIA</v>
          </cell>
          <cell r="V1559">
            <v>869370.6</v>
          </cell>
          <cell r="W1559" t="str">
            <v>Fonctionnement</v>
          </cell>
        </row>
        <row r="1560">
          <cell r="A1560">
            <v>2017</v>
          </cell>
          <cell r="D1560" t="str">
            <v>DIRECTION CENTRALE DE LA CHAÎNE ARRYADIA</v>
          </cell>
          <cell r="V1560">
            <v>912806.44</v>
          </cell>
          <cell r="W1560" t="str">
            <v>Fonctionnement</v>
          </cell>
        </row>
        <row r="1561">
          <cell r="A1561">
            <v>2018</v>
          </cell>
          <cell r="D1561" t="str">
            <v>DIRECTION CENTRALE DE LA CHAÎNE ARRYADIA</v>
          </cell>
          <cell r="V1561">
            <v>1072745.73</v>
          </cell>
          <cell r="W1561" t="str">
            <v>Fonctionnement</v>
          </cell>
        </row>
        <row r="1562">
          <cell r="A1562">
            <v>2019</v>
          </cell>
          <cell r="D1562" t="str">
            <v>DIRECTION CENTRALE DE LA CHAÎNE ARRYADIA</v>
          </cell>
          <cell r="V1562">
            <v>977615.8</v>
          </cell>
          <cell r="W1562" t="str">
            <v>Fonctionnement</v>
          </cell>
        </row>
        <row r="1563">
          <cell r="A1563">
            <v>2020</v>
          </cell>
          <cell r="D1563" t="str">
            <v>DIRECTION CENTRALE DE LA CHAÎNE ARRYADIA</v>
          </cell>
          <cell r="V1563">
            <v>958446.76</v>
          </cell>
          <cell r="W1563" t="str">
            <v>Fonctionnement</v>
          </cell>
        </row>
        <row r="1564">
          <cell r="A1564">
            <v>2018</v>
          </cell>
          <cell r="D1564" t="str">
            <v>DIRECTION DES CHAÎNES CORANIQUES TV RADIO</v>
          </cell>
          <cell r="V1564">
            <v>60000</v>
          </cell>
          <cell r="W1564" t="str">
            <v>Fonctionnement</v>
          </cell>
        </row>
        <row r="1565">
          <cell r="A1565">
            <v>2018</v>
          </cell>
          <cell r="D1565" t="str">
            <v>DIRECTION DES CHAÎNES CORANIQUES TV RADIO</v>
          </cell>
          <cell r="V1565">
            <v>60000</v>
          </cell>
          <cell r="W1565" t="str">
            <v>Fonctionnement</v>
          </cell>
        </row>
        <row r="1566">
          <cell r="A1566">
            <v>2018</v>
          </cell>
          <cell r="D1566" t="str">
            <v>DIRECTION DES CHAÎNES CORANIQUES TV RADIO</v>
          </cell>
          <cell r="V1566">
            <v>170000</v>
          </cell>
          <cell r="W1566" t="str">
            <v>Fonctionnement</v>
          </cell>
        </row>
        <row r="1567">
          <cell r="A1567">
            <v>2018</v>
          </cell>
          <cell r="D1567" t="str">
            <v>DIRECTION DES CHAÎNES CORANIQUES TV RADIO</v>
          </cell>
          <cell r="V1567">
            <v>70000</v>
          </cell>
          <cell r="W1567" t="str">
            <v>Fonctionnement</v>
          </cell>
        </row>
        <row r="1568">
          <cell r="A1568">
            <v>2018</v>
          </cell>
          <cell r="D1568" t="str">
            <v>DIRECTION DES CHAÎNES CORANIQUES TV RADIO</v>
          </cell>
          <cell r="V1568">
            <v>36000</v>
          </cell>
          <cell r="W1568" t="str">
            <v>Fonctionnement</v>
          </cell>
        </row>
        <row r="1569">
          <cell r="A1569">
            <v>2018</v>
          </cell>
          <cell r="D1569" t="str">
            <v>DIRECTION DES CHAÎNES CORANIQUES TV RADIO</v>
          </cell>
          <cell r="V1569">
            <v>102960</v>
          </cell>
          <cell r="W1569" t="str">
            <v>Fonctionnement</v>
          </cell>
        </row>
        <row r="1570">
          <cell r="A1570">
            <v>2018</v>
          </cell>
          <cell r="D1570" t="str">
            <v>DIRECTION DES CHAÎNES CORANIQUES TV RADIO</v>
          </cell>
          <cell r="V1570">
            <v>108000</v>
          </cell>
          <cell r="W1570" t="str">
            <v>Fonctionnement</v>
          </cell>
        </row>
        <row r="1571">
          <cell r="A1571">
            <v>2018</v>
          </cell>
          <cell r="D1571" t="str">
            <v>DIRECTION DES CHAÎNES CORANIQUES TV RADIO</v>
          </cell>
          <cell r="V1571">
            <v>60000</v>
          </cell>
          <cell r="W1571" t="str">
            <v>Fonctionnement</v>
          </cell>
        </row>
        <row r="1572">
          <cell r="A1572">
            <v>2018</v>
          </cell>
          <cell r="D1572" t="str">
            <v>DIRECTION DES CHAÎNES CORANIQUES TV RADIO</v>
          </cell>
          <cell r="V1572">
            <v>123000</v>
          </cell>
          <cell r="W1572" t="str">
            <v>Fonctionnement</v>
          </cell>
        </row>
        <row r="1573">
          <cell r="A1573">
            <v>2018</v>
          </cell>
          <cell r="D1573" t="str">
            <v>DIRECTION DES CHAÎNES CORANIQUES TV RADIO</v>
          </cell>
          <cell r="V1573">
            <v>135000</v>
          </cell>
          <cell r="W1573" t="str">
            <v>Fonctionnement</v>
          </cell>
        </row>
        <row r="1574">
          <cell r="A1574">
            <v>2018</v>
          </cell>
          <cell r="D1574" t="str">
            <v>DIRECTION DES CHAÎNES CORANIQUES TV RADIO</v>
          </cell>
          <cell r="V1574">
            <v>290000</v>
          </cell>
          <cell r="W1574" t="str">
            <v>Fonctionnement</v>
          </cell>
        </row>
        <row r="1575">
          <cell r="A1575">
            <v>2018</v>
          </cell>
          <cell r="D1575" t="str">
            <v>DIRECTION DES CHAÎNES CORANIQUES TV RADIO</v>
          </cell>
          <cell r="V1575">
            <v>54000</v>
          </cell>
          <cell r="W1575" t="str">
            <v>Fonctionnement</v>
          </cell>
        </row>
        <row r="1576">
          <cell r="A1576">
            <v>2018</v>
          </cell>
          <cell r="D1576" t="str">
            <v>DIRECTION DES CHAÎNES CORANIQUES TV RADIO</v>
          </cell>
          <cell r="V1576">
            <v>40000</v>
          </cell>
          <cell r="W1576" t="str">
            <v>Fonctionnement</v>
          </cell>
        </row>
        <row r="1577">
          <cell r="A1577">
            <v>2018</v>
          </cell>
          <cell r="D1577" t="str">
            <v>DIRECTION DES CHAÎNES CORANIQUES TV RADIO</v>
          </cell>
          <cell r="V1577">
            <v>120000</v>
          </cell>
          <cell r="W1577" t="str">
            <v>Fonctionnement</v>
          </cell>
        </row>
        <row r="1578">
          <cell r="A1578">
            <v>2018</v>
          </cell>
          <cell r="D1578" t="str">
            <v>DIRECTION DES CHAÎNES CORANIQUES TV RADIO</v>
          </cell>
          <cell r="V1578">
            <v>78000</v>
          </cell>
          <cell r="W1578" t="str">
            <v>Fonctionnement</v>
          </cell>
        </row>
        <row r="1579">
          <cell r="A1579">
            <v>2018</v>
          </cell>
          <cell r="D1579" t="str">
            <v>DIRECTION DES CHAÎNES CORANIQUES TV RADIO</v>
          </cell>
          <cell r="V1579">
            <v>220000</v>
          </cell>
          <cell r="W1579" t="str">
            <v>Fonctionnement</v>
          </cell>
        </row>
        <row r="1580">
          <cell r="A1580">
            <v>2018</v>
          </cell>
          <cell r="D1580" t="str">
            <v>DIRECTION DES CHAÎNES CORANIQUES TV RADIO</v>
          </cell>
          <cell r="V1580">
            <v>51600</v>
          </cell>
          <cell r="W1580" t="str">
            <v>Fonctionnement</v>
          </cell>
        </row>
        <row r="1581">
          <cell r="A1581">
            <v>2018</v>
          </cell>
          <cell r="D1581" t="str">
            <v>DIRECTION DES CHAÎNES CORANIQUES TV RADIO</v>
          </cell>
          <cell r="V1581">
            <v>289800</v>
          </cell>
          <cell r="W1581" t="str">
            <v>Fonctionnement</v>
          </cell>
        </row>
        <row r="1582">
          <cell r="A1582">
            <v>2018</v>
          </cell>
          <cell r="D1582" t="str">
            <v>DIRECTION JURIDIQUE</v>
          </cell>
          <cell r="V1582">
            <v>276000</v>
          </cell>
          <cell r="W1582" t="str">
            <v>Fonctionnement</v>
          </cell>
        </row>
        <row r="1583">
          <cell r="A1583">
            <v>2018</v>
          </cell>
          <cell r="D1583" t="str">
            <v>DIRECTION JURIDIQUE</v>
          </cell>
          <cell r="V1583">
            <v>54450</v>
          </cell>
          <cell r="W1583" t="str">
            <v>Fonctionnement</v>
          </cell>
        </row>
        <row r="1584">
          <cell r="A1584">
            <v>2018</v>
          </cell>
          <cell r="D1584" t="str">
            <v>DIRECTION DU PATRIMOINE  ET DES MOYENS GENERAUX</v>
          </cell>
          <cell r="V1584">
            <v>77142.84</v>
          </cell>
          <cell r="W1584" t="str">
            <v>Fonctionnement</v>
          </cell>
        </row>
        <row r="1585">
          <cell r="A1585">
            <v>2018</v>
          </cell>
          <cell r="D1585" t="str">
            <v>DIRECTION DU PATRIMOINE  ET DES MOYENS GENERAUX</v>
          </cell>
          <cell r="V1585">
            <v>102857.16</v>
          </cell>
          <cell r="W1585" t="str">
            <v>Fonctionnement</v>
          </cell>
        </row>
        <row r="1586">
          <cell r="A1586">
            <v>2018</v>
          </cell>
          <cell r="D1586" t="str">
            <v>DIRECTION DU PATRIMOINE  ET DES MOYENS GENERAUX</v>
          </cell>
          <cell r="V1586">
            <v>137142.84</v>
          </cell>
          <cell r="W1586" t="str">
            <v>Fonctionnement</v>
          </cell>
        </row>
        <row r="1587">
          <cell r="A1587">
            <v>2018</v>
          </cell>
          <cell r="D1587" t="str">
            <v>DIRECTION DU PATRIMOINE  ET DES MOYENS GENERAUX</v>
          </cell>
          <cell r="V1587">
            <v>1085898.9119999998</v>
          </cell>
          <cell r="W1587" t="str">
            <v>Fonctionnement</v>
          </cell>
        </row>
        <row r="1588">
          <cell r="A1588">
            <v>2018</v>
          </cell>
          <cell r="D1588" t="str">
            <v>DIRECTION DU PATRIMOINE  ET DES MOYENS GENERAUX</v>
          </cell>
          <cell r="V1588">
            <v>1207700.4600000002</v>
          </cell>
          <cell r="W1588" t="str">
            <v>Fonctionnement</v>
          </cell>
        </row>
        <row r="1589">
          <cell r="A1589">
            <v>2018</v>
          </cell>
          <cell r="D1589" t="str">
            <v>DIRECTION DU PATRIMOINE  ET DES MOYENS GENERAUX</v>
          </cell>
          <cell r="V1589">
            <v>687700.03199999977</v>
          </cell>
          <cell r="W1589" t="str">
            <v>Fonctionnement</v>
          </cell>
        </row>
        <row r="1590">
          <cell r="A1590">
            <v>2018</v>
          </cell>
          <cell r="D1590" t="str">
            <v>DIRECTION DU PATRIMOINE  ET DES MOYENS GENERAUX</v>
          </cell>
          <cell r="V1590">
            <v>329856</v>
          </cell>
          <cell r="W1590" t="str">
            <v>Fonctionnement</v>
          </cell>
        </row>
        <row r="1591">
          <cell r="A1591">
            <v>2016</v>
          </cell>
          <cell r="D1591" t="str">
            <v>DIRECTION DU PATRIMOINE  ET DES MOYENS GENERAUX</v>
          </cell>
          <cell r="V1591">
            <v>0</v>
          </cell>
          <cell r="W1591" t="str">
            <v>Fonctionnement</v>
          </cell>
        </row>
        <row r="1592">
          <cell r="A1592">
            <v>2017</v>
          </cell>
          <cell r="D1592" t="str">
            <v>DIRECTION DU PATRIMOINE  ET DES MOYENS GENERAUX</v>
          </cell>
          <cell r="V1592">
            <v>3475272.7499999981</v>
          </cell>
          <cell r="W1592" t="str">
            <v>Fonctionnement</v>
          </cell>
        </row>
        <row r="1593">
          <cell r="A1593">
            <v>2018</v>
          </cell>
          <cell r="D1593" t="str">
            <v>DIRECTION DU PATRIMOINE  ET DES MOYENS GENERAUX</v>
          </cell>
          <cell r="V1593">
            <v>3146129.1700000004</v>
          </cell>
          <cell r="W1593" t="str">
            <v>Fonctionnement</v>
          </cell>
        </row>
        <row r="1594">
          <cell r="A1594">
            <v>2019</v>
          </cell>
          <cell r="D1594" t="str">
            <v>DIRECTION DU PATRIMOINE  ET DES MOYENS GENERAUX</v>
          </cell>
          <cell r="V1594">
            <v>3069004.6499999994</v>
          </cell>
          <cell r="W1594" t="str">
            <v>Fonctionnement</v>
          </cell>
        </row>
        <row r="1595">
          <cell r="A1595">
            <v>2020</v>
          </cell>
          <cell r="D1595" t="str">
            <v>DIRECTION DU PATRIMOINE  ET DES MOYENS GENERAUX</v>
          </cell>
          <cell r="V1595">
            <v>635517.33000000007</v>
          </cell>
          <cell r="W1595" t="str">
            <v>Fonctionnement</v>
          </cell>
        </row>
        <row r="1596">
          <cell r="A1596">
            <v>2018</v>
          </cell>
          <cell r="D1596" t="str">
            <v>DIRECTION DU PATRIMOINE  ET DES MOYENS GENERAUX</v>
          </cell>
          <cell r="V1596">
            <v>246857.03999999998</v>
          </cell>
          <cell r="W1596" t="str">
            <v>Fonctionnement</v>
          </cell>
        </row>
        <row r="1597">
          <cell r="A1597">
            <v>2018</v>
          </cell>
          <cell r="D1597" t="str">
            <v>DIRECTION DE LA TELEDIFFUSION</v>
          </cell>
          <cell r="V1597">
            <v>1129524</v>
          </cell>
          <cell r="W1597" t="str">
            <v>Fonctionnement</v>
          </cell>
        </row>
        <row r="1598">
          <cell r="A1598">
            <v>2018</v>
          </cell>
          <cell r="D1598" t="str">
            <v>DIRECTION DE LA TELEDIFFUSION</v>
          </cell>
          <cell r="V1598">
            <v>656094.92000000004</v>
          </cell>
          <cell r="W1598" t="str">
            <v>Fonctionnement</v>
          </cell>
        </row>
        <row r="1599">
          <cell r="A1599">
            <v>2018</v>
          </cell>
          <cell r="D1599" t="str">
            <v>DIRECTION DE LA TELEDIFFUSION</v>
          </cell>
          <cell r="V1599">
            <v>476418.85200000001</v>
          </cell>
          <cell r="W1599" t="str">
            <v>Fonctionnement</v>
          </cell>
        </row>
        <row r="1600">
          <cell r="A1600">
            <v>2018</v>
          </cell>
          <cell r="D1600" t="str">
            <v>DIRECTION DE LA TELEDIFFUSION</v>
          </cell>
          <cell r="V1600">
            <v>171428.52</v>
          </cell>
          <cell r="W1600" t="str">
            <v>Fonctionnement</v>
          </cell>
        </row>
        <row r="1601">
          <cell r="A1601">
            <v>2018</v>
          </cell>
          <cell r="D1601" t="str">
            <v>DIRECTION DE LA TELEDIFFUSION</v>
          </cell>
          <cell r="V1601">
            <v>514362</v>
          </cell>
          <cell r="W1601" t="str">
            <v>Investissement</v>
          </cell>
        </row>
        <row r="1602">
          <cell r="A1602">
            <v>2016</v>
          </cell>
          <cell r="D1602" t="str">
            <v>DIRECTION DE LA TELEDIFFUSION</v>
          </cell>
          <cell r="V1602">
            <v>25384696.449999999</v>
          </cell>
          <cell r="W1602" t="str">
            <v>Fonctionnement</v>
          </cell>
        </row>
        <row r="1603">
          <cell r="A1603">
            <v>2017</v>
          </cell>
          <cell r="D1603" t="str">
            <v>DIRECTION DE LA TELEDIFFUSION</v>
          </cell>
          <cell r="V1603">
            <v>27521943.199999999</v>
          </cell>
          <cell r="W1603" t="str">
            <v>Fonctionnement</v>
          </cell>
        </row>
        <row r="1604">
          <cell r="A1604">
            <v>2018</v>
          </cell>
          <cell r="D1604" t="str">
            <v>DIRECTION DE LA TELEDIFFUSION</v>
          </cell>
          <cell r="V1604">
            <v>21398472.263999999</v>
          </cell>
          <cell r="W1604" t="str">
            <v>Fonctionnement</v>
          </cell>
        </row>
        <row r="1605">
          <cell r="A1605">
            <v>2019</v>
          </cell>
          <cell r="D1605" t="str">
            <v>DIRECTION DE LA TELEDIFFUSION</v>
          </cell>
          <cell r="V1605">
            <v>14142839.579999998</v>
          </cell>
          <cell r="W1605" t="str">
            <v>Fonctionnement</v>
          </cell>
        </row>
        <row r="1606">
          <cell r="A1606">
            <v>2020</v>
          </cell>
          <cell r="D1606" t="str">
            <v>DIRECTION DE LA TELEDIFFUSION</v>
          </cell>
          <cell r="V1606">
            <v>11241431.279999997</v>
          </cell>
          <cell r="W1606" t="str">
            <v>Fonctionnement</v>
          </cell>
        </row>
        <row r="1607">
          <cell r="A1607">
            <v>2018</v>
          </cell>
          <cell r="D1607" t="str">
            <v>DIRECTION DE LA TELEDIFFUSION</v>
          </cell>
          <cell r="V1607">
            <v>2823.68</v>
          </cell>
          <cell r="W1607" t="str">
            <v>Fonctionnement</v>
          </cell>
        </row>
        <row r="1608">
          <cell r="A1608">
            <v>2018</v>
          </cell>
          <cell r="D1608" t="str">
            <v>DIRECTION DE LA TELEDIFFUSION</v>
          </cell>
          <cell r="V1608">
            <v>2823.68</v>
          </cell>
          <cell r="W1608" t="str">
            <v>Fonctionnement</v>
          </cell>
        </row>
        <row r="1609">
          <cell r="A1609">
            <v>2018</v>
          </cell>
          <cell r="D1609" t="str">
            <v>DIRECTION DE LA TELEDIFFUSION</v>
          </cell>
          <cell r="V1609">
            <v>2380.88</v>
          </cell>
          <cell r="W1609" t="str">
            <v>Fonctionnement</v>
          </cell>
        </row>
        <row r="1610">
          <cell r="A1610">
            <v>2018</v>
          </cell>
          <cell r="D1610" t="str">
            <v>DIRECTION DE LA TELEDIFFUSION</v>
          </cell>
          <cell r="V1610">
            <v>974.88</v>
          </cell>
          <cell r="W1610" t="str">
            <v>Fonctionnement</v>
          </cell>
        </row>
        <row r="1611">
          <cell r="A1611">
            <v>2018</v>
          </cell>
          <cell r="D1611" t="str">
            <v>DIRECTION DE LA TELEDIFFUSION</v>
          </cell>
          <cell r="V1611">
            <v>144813.6</v>
          </cell>
          <cell r="W1611" t="str">
            <v>Investissement</v>
          </cell>
        </row>
        <row r="1612">
          <cell r="A1612">
            <v>2018</v>
          </cell>
          <cell r="D1612" t="str">
            <v>DIRECTION DE LA TELEDIFFUSION</v>
          </cell>
          <cell r="V1612">
            <v>342242.4</v>
          </cell>
          <cell r="W1612" t="str">
            <v>Investissement</v>
          </cell>
        </row>
        <row r="1613">
          <cell r="A1613">
            <v>2018</v>
          </cell>
          <cell r="D1613" t="str">
            <v>DIRECTION DE LA TELEDIFFUSION</v>
          </cell>
          <cell r="V1613">
            <v>204026.4</v>
          </cell>
          <cell r="W1613" t="str">
            <v>Investissement</v>
          </cell>
        </row>
        <row r="1614">
          <cell r="A1614">
            <v>2018</v>
          </cell>
          <cell r="D1614" t="str">
            <v>DIRECTION DE LA TELEDIFFUSION</v>
          </cell>
          <cell r="V1614">
            <v>1296982.8</v>
          </cell>
          <cell r="W1614" t="str">
            <v>Investissement</v>
          </cell>
        </row>
        <row r="1615">
          <cell r="A1615">
            <v>2018</v>
          </cell>
          <cell r="D1615" t="str">
            <v>DIRECTION DE LA TELEDIFFUSION</v>
          </cell>
          <cell r="V1615">
            <v>319170</v>
          </cell>
          <cell r="W1615" t="str">
            <v>Investissement</v>
          </cell>
        </row>
        <row r="1616">
          <cell r="A1616">
            <v>2018</v>
          </cell>
          <cell r="D1616" t="str">
            <v>DIRECTION DE LA TELEDIFFUSION</v>
          </cell>
          <cell r="V1616">
            <v>59044.84</v>
          </cell>
          <cell r="W1616" t="str">
            <v>Investissement</v>
          </cell>
        </row>
        <row r="1617">
          <cell r="A1617">
            <v>2016</v>
          </cell>
          <cell r="D1617" t="str">
            <v>DIRECTION DE LA TELEDIFFUSION</v>
          </cell>
          <cell r="V1617">
            <v>2601600</v>
          </cell>
          <cell r="W1617" t="str">
            <v>Fonctionnement</v>
          </cell>
        </row>
        <row r="1618">
          <cell r="A1618">
            <v>2017</v>
          </cell>
          <cell r="D1618" t="str">
            <v>DIRECTION DE LA TELEDIFFUSION</v>
          </cell>
          <cell r="V1618">
            <v>2601600</v>
          </cell>
          <cell r="W1618" t="str">
            <v>Fonctionnement</v>
          </cell>
        </row>
        <row r="1619">
          <cell r="A1619">
            <v>2018</v>
          </cell>
          <cell r="D1619" t="str">
            <v>DIRECTION DE LA TELEDIFFUSION</v>
          </cell>
          <cell r="V1619">
            <v>1755864</v>
          </cell>
          <cell r="W1619" t="str">
            <v>Fonctionnement</v>
          </cell>
        </row>
        <row r="1620">
          <cell r="A1620">
            <v>2019</v>
          </cell>
          <cell r="D1620" t="str">
            <v>DIRECTION DE LA TELEDIFFUSION</v>
          </cell>
          <cell r="V1620">
            <v>1755864</v>
          </cell>
          <cell r="W1620" t="str">
            <v>Fonctionnement</v>
          </cell>
        </row>
        <row r="1621">
          <cell r="A1621">
            <v>2020</v>
          </cell>
          <cell r="D1621" t="str">
            <v>DIRECTION DE LA TELEDIFFUSION</v>
          </cell>
          <cell r="V1621">
            <v>1755864</v>
          </cell>
          <cell r="W1621" t="str">
            <v>Fonctionnement</v>
          </cell>
        </row>
        <row r="1622">
          <cell r="A1622">
            <v>2018</v>
          </cell>
          <cell r="D1622" t="str">
            <v>DIRECTION TECHNIQUE</v>
          </cell>
          <cell r="V1622">
            <v>84000</v>
          </cell>
          <cell r="W1622" t="str">
            <v>Fonctionnement</v>
          </cell>
        </row>
        <row r="1623">
          <cell r="A1623">
            <v>2018</v>
          </cell>
          <cell r="D1623" t="str">
            <v>DIRECTION TECHNIQUE</v>
          </cell>
          <cell r="V1623">
            <v>84000</v>
          </cell>
          <cell r="W1623" t="str">
            <v>Fonctionnement</v>
          </cell>
        </row>
        <row r="1624">
          <cell r="A1624">
            <v>2018</v>
          </cell>
          <cell r="D1624" t="str">
            <v>DIRECTION TECHNIQUE</v>
          </cell>
          <cell r="V1624">
            <v>84000</v>
          </cell>
          <cell r="W1624" t="str">
            <v>Fonctionnement</v>
          </cell>
        </row>
        <row r="1625">
          <cell r="A1625">
            <v>2018</v>
          </cell>
          <cell r="D1625" t="str">
            <v>DIRECTION CHARGEE DES RELATIONS INTERNATIONALES</v>
          </cell>
          <cell r="V1625">
            <v>576000</v>
          </cell>
          <cell r="W1625" t="str">
            <v>Fonctionnement</v>
          </cell>
        </row>
        <row r="1626">
          <cell r="A1626">
            <v>2018</v>
          </cell>
          <cell r="D1626" t="str">
            <v>DIRECTION DES RESSOURCES HUMAINES</v>
          </cell>
          <cell r="V1626">
            <v>767771.4</v>
          </cell>
          <cell r="W1626" t="str">
            <v>Fonctionnement</v>
          </cell>
        </row>
        <row r="1627">
          <cell r="A1627">
            <v>2018</v>
          </cell>
          <cell r="D1627" t="str">
            <v>DIRECTION CHARGEE DES RELATIONS INTERNATIONALES</v>
          </cell>
          <cell r="V1627">
            <v>2457453.64</v>
          </cell>
          <cell r="W1627" t="str">
            <v>Fonctionnement</v>
          </cell>
        </row>
        <row r="1628">
          <cell r="A1628">
            <v>2018</v>
          </cell>
          <cell r="D1628" t="str">
            <v>DIRECTION CHARGEE DES RELATIONS INTERNATIONALES</v>
          </cell>
          <cell r="V1628">
            <v>1094798</v>
          </cell>
          <cell r="W1628" t="str">
            <v>Fonctionnement</v>
          </cell>
        </row>
        <row r="1629">
          <cell r="A1629">
            <v>2018</v>
          </cell>
          <cell r="D1629" t="str">
            <v>DIRECTION CHARGEE DES RELATIONS INTERNATIONALES</v>
          </cell>
          <cell r="V1629">
            <v>12170.05</v>
          </cell>
          <cell r="W1629" t="str">
            <v>Fonctionnement</v>
          </cell>
        </row>
        <row r="1630">
          <cell r="A1630">
            <v>2018</v>
          </cell>
          <cell r="D1630" t="str">
            <v>DIRECTION DE L’INFORMATION RADIO</v>
          </cell>
          <cell r="V1630">
            <v>96000</v>
          </cell>
          <cell r="W1630" t="str">
            <v>Fonctionnement</v>
          </cell>
        </row>
        <row r="1631">
          <cell r="A1631">
            <v>2018</v>
          </cell>
          <cell r="D1631" t="str">
            <v>DIRECTION DE L’INFORMATION RADIO</v>
          </cell>
          <cell r="V1631">
            <v>120000</v>
          </cell>
          <cell r="W1631" t="str">
            <v>Fonctionnement</v>
          </cell>
        </row>
        <row r="1632">
          <cell r="A1632">
            <v>2018</v>
          </cell>
          <cell r="D1632" t="str">
            <v>DIRECTION DE L’INFORMATION RADIO</v>
          </cell>
          <cell r="V1632">
            <v>132000</v>
          </cell>
          <cell r="W1632" t="str">
            <v>Fonctionnement</v>
          </cell>
        </row>
        <row r="1633">
          <cell r="A1633">
            <v>2018</v>
          </cell>
          <cell r="D1633" t="str">
            <v>DIRECTION DE L’INFORMATION RADIO</v>
          </cell>
          <cell r="V1633">
            <v>156000</v>
          </cell>
          <cell r="W1633" t="str">
            <v>Fonctionnement</v>
          </cell>
        </row>
        <row r="1634">
          <cell r="A1634">
            <v>2018</v>
          </cell>
          <cell r="D1634" t="str">
            <v>DIRECTION DE L’INFORMATION TV</v>
          </cell>
          <cell r="V1634">
            <v>2369460.3199999998</v>
          </cell>
          <cell r="W1634" t="str">
            <v>Fonctionnement</v>
          </cell>
        </row>
        <row r="1635">
          <cell r="A1635">
            <v>2018</v>
          </cell>
          <cell r="D1635" t="str">
            <v>DIRECTION DE L’INFORMATION TV</v>
          </cell>
          <cell r="V1635">
            <v>2065246.76</v>
          </cell>
          <cell r="W1635" t="str">
            <v>Fonctionnement</v>
          </cell>
        </row>
        <row r="1636">
          <cell r="A1636">
            <v>2018</v>
          </cell>
          <cell r="D1636" t="str">
            <v>DIRECTION DE L’INFORMATION TV</v>
          </cell>
          <cell r="V1636">
            <v>148800</v>
          </cell>
          <cell r="W1636" t="str">
            <v>Fonctionnement</v>
          </cell>
        </row>
        <row r="1637">
          <cell r="A1637">
            <v>2018</v>
          </cell>
          <cell r="D1637" t="str">
            <v>DIRECTION DE L’INFORMATION TV</v>
          </cell>
          <cell r="V1637">
            <v>924000</v>
          </cell>
          <cell r="W1637" t="str">
            <v>Fonctionnement</v>
          </cell>
        </row>
        <row r="1638">
          <cell r="A1638">
            <v>2018</v>
          </cell>
          <cell r="D1638" t="str">
            <v>DIRECTION DE L’INFORMATION TV</v>
          </cell>
          <cell r="V1638">
            <v>96000</v>
          </cell>
          <cell r="W1638" t="str">
            <v>Fonctionnement</v>
          </cell>
        </row>
        <row r="1639">
          <cell r="A1639">
            <v>2018</v>
          </cell>
          <cell r="D1639" t="str">
            <v>DIRECTION DE L’INFORMATION TV</v>
          </cell>
          <cell r="V1639">
            <v>214800</v>
          </cell>
          <cell r="W1639" t="str">
            <v>Fonctionnement</v>
          </cell>
        </row>
        <row r="1640">
          <cell r="A1640">
            <v>2018</v>
          </cell>
          <cell r="D1640" t="str">
            <v>DIRECTION DE L’INFORMATION TV</v>
          </cell>
          <cell r="V1640">
            <v>96000</v>
          </cell>
          <cell r="W1640" t="str">
            <v>Fonctionnement</v>
          </cell>
        </row>
        <row r="1641">
          <cell r="A1641">
            <v>2018</v>
          </cell>
          <cell r="D1641" t="str">
            <v>DIRECTION DE L’INFORMATION TV</v>
          </cell>
          <cell r="V1641">
            <v>214751.31</v>
          </cell>
          <cell r="W1641" t="str">
            <v>Fonctionnement</v>
          </cell>
        </row>
        <row r="1642">
          <cell r="A1642">
            <v>2018</v>
          </cell>
          <cell r="D1642" t="str">
            <v>DIRECTION DE L’INFORMATION TV</v>
          </cell>
          <cell r="V1642">
            <v>148800</v>
          </cell>
          <cell r="W1642" t="str">
            <v>Fonctionnement</v>
          </cell>
        </row>
        <row r="1643">
          <cell r="A1643">
            <v>2018</v>
          </cell>
          <cell r="D1643" t="str">
            <v>DIRECTION DE L’INFORMATION TV</v>
          </cell>
          <cell r="V1643">
            <v>210000</v>
          </cell>
          <cell r="W1643" t="str">
            <v>Fonctionnement</v>
          </cell>
        </row>
        <row r="1644">
          <cell r="A1644">
            <v>2018</v>
          </cell>
          <cell r="D1644" t="str">
            <v>DIRECTION DE L’INFORMATION TV</v>
          </cell>
          <cell r="V1644">
            <v>44519.360000000001</v>
          </cell>
          <cell r="W1644" t="str">
            <v>Fonctionnement</v>
          </cell>
        </row>
        <row r="1645">
          <cell r="A1645">
            <v>2018</v>
          </cell>
          <cell r="D1645" t="str">
            <v>DIRECTION DE L’INFORMATION TV</v>
          </cell>
          <cell r="V1645">
            <v>72000</v>
          </cell>
          <cell r="W1645" t="str">
            <v>Fonctionnement</v>
          </cell>
        </row>
        <row r="1646">
          <cell r="A1646">
            <v>2018</v>
          </cell>
          <cell r="D1646" t="str">
            <v>DIRECTION DE L’INFORMATION TV</v>
          </cell>
          <cell r="V1646">
            <v>1903198.44</v>
          </cell>
          <cell r="W1646" t="str">
            <v>Fonctionnement</v>
          </cell>
        </row>
        <row r="1647">
          <cell r="A1647">
            <v>2018</v>
          </cell>
          <cell r="D1647" t="str">
            <v>DIRECTION DE L’INFORMATION TV</v>
          </cell>
          <cell r="V1647">
            <v>557419.24799999991</v>
          </cell>
          <cell r="W1647" t="str">
            <v>Fonctionnement</v>
          </cell>
        </row>
        <row r="1648">
          <cell r="A1648">
            <v>2018</v>
          </cell>
          <cell r="D1648" t="str">
            <v xml:space="preserve">DIRECTION CENTRALE DE LA CHAINE TV LAAYOUNE </v>
          </cell>
          <cell r="V1648">
            <v>280000</v>
          </cell>
          <cell r="W1648" t="str">
            <v>Fonctionnement</v>
          </cell>
        </row>
        <row r="1649">
          <cell r="A1649">
            <v>2018</v>
          </cell>
          <cell r="D1649" t="str">
            <v xml:space="preserve">DIRECTION CENTRALE DE LA CHAINE TV LAAYOUNE </v>
          </cell>
          <cell r="V1649">
            <v>148571.28</v>
          </cell>
          <cell r="W1649" t="str">
            <v>Fonctionnement</v>
          </cell>
        </row>
        <row r="1650">
          <cell r="A1650">
            <v>2018</v>
          </cell>
          <cell r="D1650" t="str">
            <v xml:space="preserve">DIRECTION CENTRALE DE LA CHAINE TV LAAYOUNE </v>
          </cell>
          <cell r="V1650">
            <v>257142.9</v>
          </cell>
          <cell r="W1650" t="str">
            <v>Fonctionnement</v>
          </cell>
        </row>
        <row r="1651">
          <cell r="A1651">
            <v>2018</v>
          </cell>
          <cell r="D1651" t="str">
            <v xml:space="preserve">DIRECTION CENTRALE DE LA CHAINE TV LAAYOUNE </v>
          </cell>
          <cell r="V1651">
            <v>205714.94</v>
          </cell>
          <cell r="W1651" t="str">
            <v>Fonctionnement</v>
          </cell>
        </row>
        <row r="1652">
          <cell r="A1652">
            <v>2018</v>
          </cell>
          <cell r="D1652" t="str">
            <v>DIRECTION MARKETING ET PROGRAMATION TV</v>
          </cell>
          <cell r="V1652">
            <v>480000</v>
          </cell>
          <cell r="W1652" t="str">
            <v>Fonctionnement</v>
          </cell>
        </row>
        <row r="1653">
          <cell r="A1653">
            <v>2018</v>
          </cell>
          <cell r="D1653" t="str">
            <v>DIRECTION MARKETING ET PROGRAMATION TV</v>
          </cell>
          <cell r="V1653">
            <v>126000</v>
          </cell>
          <cell r="W1653" t="str">
            <v>Fonctionnement</v>
          </cell>
        </row>
        <row r="1654">
          <cell r="A1654">
            <v>2018</v>
          </cell>
          <cell r="D1654" t="str">
            <v>DIRECTION DE LA PRODUCTION ET DE LA PROGRAMMATION RADIO</v>
          </cell>
          <cell r="V1654">
            <v>120000</v>
          </cell>
          <cell r="W1654" t="str">
            <v>Fonctionnement</v>
          </cell>
        </row>
        <row r="1655">
          <cell r="A1655">
            <v>2018</v>
          </cell>
          <cell r="D1655" t="str">
            <v>DIRECTION DES CHAÎNES CORANIQUES TV RADIO</v>
          </cell>
          <cell r="V1655">
            <v>60000</v>
          </cell>
          <cell r="W1655" t="str">
            <v>Fonctionnement</v>
          </cell>
        </row>
        <row r="1656">
          <cell r="A1656">
            <v>2018</v>
          </cell>
          <cell r="D1656" t="str">
            <v>DIRECTION DES CHAÎNES CORANIQUES TV RADIO</v>
          </cell>
          <cell r="V1656">
            <v>60000</v>
          </cell>
          <cell r="W1656" t="str">
            <v>Fonctionnement</v>
          </cell>
        </row>
        <row r="1657">
          <cell r="A1657">
            <v>2018</v>
          </cell>
          <cell r="D1657" t="str">
            <v>DIRECTION DES CHAÎNES CORANIQUES TV RADIO</v>
          </cell>
          <cell r="V1657">
            <v>72000</v>
          </cell>
          <cell r="W1657" t="str">
            <v>Fonctionnement</v>
          </cell>
        </row>
        <row r="1658">
          <cell r="A1658">
            <v>2018</v>
          </cell>
          <cell r="D1658" t="str">
            <v>DIRECTION DES CHAÎNES CORANIQUES TV RADIO</v>
          </cell>
          <cell r="V1658">
            <v>60000</v>
          </cell>
          <cell r="W1658" t="str">
            <v>Fonctionnement</v>
          </cell>
        </row>
        <row r="1659">
          <cell r="A1659">
            <v>2018</v>
          </cell>
          <cell r="D1659" t="str">
            <v>DIRECTION DES CHAÎNES CORANIQUES TV RADIO</v>
          </cell>
          <cell r="V1659">
            <v>60000</v>
          </cell>
          <cell r="W1659" t="str">
            <v>Fonctionnement</v>
          </cell>
        </row>
        <row r="1660">
          <cell r="A1660">
            <v>2018</v>
          </cell>
          <cell r="D1660" t="str">
            <v>DIRECTION DES CHAÎNES CORANIQUES TV RADIO</v>
          </cell>
          <cell r="V1660">
            <v>60000</v>
          </cell>
          <cell r="W1660" t="str">
            <v>Fonctionnement</v>
          </cell>
        </row>
        <row r="1661">
          <cell r="A1661">
            <v>2018</v>
          </cell>
          <cell r="D1661" t="str">
            <v>DIRECTION DES CHAÎNES CORANIQUES TV RADIO</v>
          </cell>
          <cell r="V1661">
            <v>121700</v>
          </cell>
          <cell r="W1661" t="str">
            <v>Fonctionnement</v>
          </cell>
        </row>
        <row r="1662">
          <cell r="A1662">
            <v>2018</v>
          </cell>
          <cell r="D1662" t="str">
            <v>DIRECTION DES CHAÎNES CORANIQUES TV RADIO</v>
          </cell>
          <cell r="V1662">
            <v>121700</v>
          </cell>
          <cell r="W1662" t="str">
            <v>Fonctionnement</v>
          </cell>
        </row>
        <row r="1663">
          <cell r="A1663">
            <v>2018</v>
          </cell>
          <cell r="D1663" t="str">
            <v>DIRECTION DES CHAÎNES CORANIQUES TV RADIO</v>
          </cell>
          <cell r="V1663">
            <v>10000</v>
          </cell>
          <cell r="W1663" t="str">
            <v>Fonctionnement</v>
          </cell>
        </row>
        <row r="1664">
          <cell r="A1664">
            <v>2018</v>
          </cell>
          <cell r="D1664" t="str">
            <v>DIRECTION DES CHAÎNES CORANIQUES TV RADIO</v>
          </cell>
          <cell r="V1664">
            <v>16000</v>
          </cell>
          <cell r="W1664" t="str">
            <v>Fonctionnement</v>
          </cell>
        </row>
        <row r="1665">
          <cell r="A1665">
            <v>2018</v>
          </cell>
          <cell r="D1665" t="str">
            <v>DIRECTION DES CHAÎNES CORANIQUES TV RADIO</v>
          </cell>
          <cell r="V1665">
            <v>36000</v>
          </cell>
          <cell r="W1665" t="str">
            <v>Fonctionnement</v>
          </cell>
        </row>
        <row r="1666">
          <cell r="A1666">
            <v>2018</v>
          </cell>
          <cell r="D1666" t="str">
            <v>DIRECTION DES CHAÎNES CORANIQUES TV RADIO</v>
          </cell>
          <cell r="V1666">
            <v>200000</v>
          </cell>
          <cell r="W1666" t="str">
            <v>Fonctionnement</v>
          </cell>
        </row>
        <row r="1667">
          <cell r="A1667">
            <v>2018</v>
          </cell>
          <cell r="D1667" t="str">
            <v>DIRECTION DES CHAÎNES CORANIQUES TV RADIO</v>
          </cell>
          <cell r="V1667">
            <v>71600</v>
          </cell>
          <cell r="W1667" t="str">
            <v>Fonctionnement</v>
          </cell>
        </row>
        <row r="1668">
          <cell r="A1668">
            <v>2018</v>
          </cell>
          <cell r="D1668" t="str">
            <v>DIRECTION DES CHAÎNES CORANIQUES TV RADIO</v>
          </cell>
          <cell r="V1668">
            <v>36400</v>
          </cell>
          <cell r="W1668" t="str">
            <v>Fonctionnement</v>
          </cell>
        </row>
        <row r="1669">
          <cell r="A1669">
            <v>2018</v>
          </cell>
          <cell r="D1669" t="str">
            <v>DIRECTION DES CHAÎNES CORANIQUES TV RADIO</v>
          </cell>
          <cell r="V1669">
            <v>60000</v>
          </cell>
          <cell r="W1669" t="str">
            <v>Fonctionnement</v>
          </cell>
        </row>
        <row r="1670">
          <cell r="A1670">
            <v>2018</v>
          </cell>
          <cell r="D1670" t="str">
            <v>DIRECTION DES CHAÎNES CORANIQUES TV RADIO</v>
          </cell>
          <cell r="V1670">
            <v>60000</v>
          </cell>
          <cell r="W1670" t="str">
            <v>Fonctionnement</v>
          </cell>
        </row>
        <row r="1671">
          <cell r="A1671">
            <v>2018</v>
          </cell>
          <cell r="D1671" t="str">
            <v>DIRECTION DES CHAÎNES CORANIQUES TV RADIO</v>
          </cell>
          <cell r="V1671">
            <v>36400</v>
          </cell>
          <cell r="W1671" t="str">
            <v>Fonctionnement</v>
          </cell>
        </row>
        <row r="1672">
          <cell r="A1672">
            <v>2018</v>
          </cell>
          <cell r="D1672" t="str">
            <v>DIRECTION DES CHAÎNES CORANIQUES TV RADIO</v>
          </cell>
          <cell r="V1672">
            <v>36400</v>
          </cell>
          <cell r="W1672" t="str">
            <v>Fonctionnement</v>
          </cell>
        </row>
        <row r="1673">
          <cell r="A1673">
            <v>2018</v>
          </cell>
          <cell r="D1673" t="str">
            <v>DIRECTION DES CHAÎNES CORANIQUES TV RADIO</v>
          </cell>
          <cell r="V1673">
            <v>60000</v>
          </cell>
          <cell r="W1673" t="str">
            <v>Fonctionnement</v>
          </cell>
        </row>
        <row r="1674">
          <cell r="A1674">
            <v>2018</v>
          </cell>
          <cell r="D1674" t="str">
            <v>DIRECTION DES CHAÎNES CORANIQUES TV RADIO</v>
          </cell>
          <cell r="V1674">
            <v>40000</v>
          </cell>
          <cell r="W1674" t="str">
            <v>Fonctionnement</v>
          </cell>
        </row>
        <row r="1675">
          <cell r="A1675">
            <v>2018</v>
          </cell>
          <cell r="D1675" t="str">
            <v>DIRECTION DES CHAÎNES CORANIQUES TV RADIO</v>
          </cell>
          <cell r="V1675">
            <v>19200</v>
          </cell>
          <cell r="W1675" t="str">
            <v>Fonctionnement</v>
          </cell>
        </row>
        <row r="1676">
          <cell r="A1676">
            <v>2018</v>
          </cell>
          <cell r="D1676" t="str">
            <v>DIRECTION DES CHAÎNES CORANIQUES TV RADIO</v>
          </cell>
          <cell r="V1676">
            <v>170000</v>
          </cell>
          <cell r="W1676" t="str">
            <v>Fonctionnement</v>
          </cell>
        </row>
        <row r="1677">
          <cell r="A1677">
            <v>2018</v>
          </cell>
          <cell r="D1677" t="str">
            <v>DIRECTION DES CHAÎNES CORANIQUES TV RADIO</v>
          </cell>
          <cell r="V1677">
            <v>177540</v>
          </cell>
          <cell r="W1677" t="str">
            <v>Fonctionnement</v>
          </cell>
        </row>
        <row r="1678">
          <cell r="A1678">
            <v>2018</v>
          </cell>
          <cell r="D1678" t="str">
            <v>DIRECTION DES CHAÎNES CORANIQUES TV RADIO</v>
          </cell>
          <cell r="V1678">
            <v>139800</v>
          </cell>
          <cell r="W1678" t="str">
            <v>Fonctionnement</v>
          </cell>
        </row>
        <row r="1679">
          <cell r="A1679">
            <v>2018</v>
          </cell>
          <cell r="D1679" t="str">
            <v>DIRECTION DES CHAÎNES CORANIQUES TV RADIO</v>
          </cell>
          <cell r="V1679">
            <v>80000</v>
          </cell>
          <cell r="W1679" t="str">
            <v>Fonctionnement</v>
          </cell>
        </row>
        <row r="1680">
          <cell r="A1680">
            <v>2018</v>
          </cell>
          <cell r="D1680" t="str">
            <v>DIRECTION DES CHAÎNES CORANIQUES TV RADIO</v>
          </cell>
          <cell r="V1680">
            <v>90000</v>
          </cell>
          <cell r="W1680" t="str">
            <v>Fonctionnement</v>
          </cell>
        </row>
        <row r="1681">
          <cell r="A1681">
            <v>2018</v>
          </cell>
          <cell r="D1681" t="str">
            <v>DIRECTION DES CHAÎNES CORANIQUES TV RADIO</v>
          </cell>
          <cell r="V1681">
            <v>154500</v>
          </cell>
          <cell r="W1681" t="str">
            <v>Fonctionnement</v>
          </cell>
        </row>
        <row r="1682">
          <cell r="A1682">
            <v>2018</v>
          </cell>
          <cell r="D1682" t="str">
            <v>DIRECTION DES CHAÎNES CORANIQUES TV RADIO</v>
          </cell>
          <cell r="V1682">
            <v>96000</v>
          </cell>
          <cell r="W1682" t="str">
            <v>Fonctionnement</v>
          </cell>
        </row>
        <row r="1683">
          <cell r="A1683">
            <v>2018</v>
          </cell>
          <cell r="D1683" t="str">
            <v>DIRECTION DE LA PRODUCTION ET DE LA PROGRAMMATION RADIO</v>
          </cell>
          <cell r="V1683">
            <v>72000</v>
          </cell>
          <cell r="W1683" t="str">
            <v>Fonctionnement</v>
          </cell>
        </row>
        <row r="1684">
          <cell r="A1684">
            <v>2018</v>
          </cell>
          <cell r="D1684" t="str">
            <v>DIRECTION DE LA PRODUCTION ET DE LA PROGRAMMATION RADIO</v>
          </cell>
          <cell r="V1684">
            <v>72000</v>
          </cell>
          <cell r="W1684" t="str">
            <v>Fonctionnement</v>
          </cell>
        </row>
        <row r="1685">
          <cell r="A1685">
            <v>2018</v>
          </cell>
          <cell r="D1685" t="str">
            <v>DIRECTION DE LA PRODUCTION ET DE LA PROGRAMMATION RADIO</v>
          </cell>
          <cell r="V1685">
            <v>120000</v>
          </cell>
          <cell r="W1685" t="str">
            <v>Fonctionnement</v>
          </cell>
        </row>
        <row r="1686">
          <cell r="A1686">
            <v>2018</v>
          </cell>
          <cell r="D1686" t="str">
            <v>DIRECTION DE LA PRODUCTION ET DE LA PROGRAMMATION RADIO</v>
          </cell>
          <cell r="V1686">
            <v>156000</v>
          </cell>
          <cell r="W1686" t="str">
            <v>Fonctionnement</v>
          </cell>
        </row>
        <row r="1687">
          <cell r="A1687">
            <v>2018</v>
          </cell>
          <cell r="D1687" t="str">
            <v>DIRECTION DE LA PRODUCTION ET DE LA PROGRAMMATION RADIO</v>
          </cell>
          <cell r="V1687">
            <v>130000</v>
          </cell>
          <cell r="W1687" t="str">
            <v>Fonctionnement</v>
          </cell>
        </row>
        <row r="1688">
          <cell r="A1688">
            <v>2018</v>
          </cell>
          <cell r="D1688" t="str">
            <v>DIRECTION DE LA PRODUCTION ET DE LA PROGRAMMATION RADIO</v>
          </cell>
          <cell r="V1688">
            <v>180000</v>
          </cell>
          <cell r="W1688" t="str">
            <v>Fonctionnement</v>
          </cell>
        </row>
        <row r="1689">
          <cell r="A1689">
            <v>2018</v>
          </cell>
          <cell r="D1689" t="str">
            <v>DIRECTION DE LA PRODUCTION ET DE LA PROGRAMMATION RADIO</v>
          </cell>
          <cell r="V1689">
            <v>180000</v>
          </cell>
          <cell r="W1689" t="str">
            <v>Fonctionnement</v>
          </cell>
        </row>
        <row r="1690">
          <cell r="A1690">
            <v>2018</v>
          </cell>
          <cell r="D1690" t="str">
            <v>DIRECTION DE LA PRODUCTION ET DE LA PROGRAMMATION RADIO</v>
          </cell>
          <cell r="V1690">
            <v>120000</v>
          </cell>
          <cell r="W1690" t="str">
            <v>Fonctionnement</v>
          </cell>
        </row>
        <row r="1691">
          <cell r="A1691">
            <v>2018</v>
          </cell>
          <cell r="D1691" t="str">
            <v>DIRECTION DE LA PRODUCTION ET DE LA PROGRAMMATION RADIO</v>
          </cell>
          <cell r="V1691">
            <v>216000</v>
          </cell>
          <cell r="W1691" t="str">
            <v>Fonctionnement</v>
          </cell>
        </row>
        <row r="1692">
          <cell r="A1692">
            <v>2018</v>
          </cell>
          <cell r="D1692" t="str">
            <v>DIRECTION DE LA PRODUCTION ET DE LA PROGRAMMATION RADIO</v>
          </cell>
          <cell r="V1692">
            <v>120000</v>
          </cell>
          <cell r="W1692" t="str">
            <v>Fonctionnement</v>
          </cell>
        </row>
        <row r="1693">
          <cell r="A1693">
            <v>2018</v>
          </cell>
          <cell r="D1693" t="str">
            <v>DIRECTION DE LA PRODUCTION ET DE LA PROGRAMMATION RADIO</v>
          </cell>
          <cell r="V1693">
            <v>240000</v>
          </cell>
          <cell r="W1693" t="str">
            <v>Fonctionnement</v>
          </cell>
        </row>
        <row r="1694">
          <cell r="A1694">
            <v>2018</v>
          </cell>
          <cell r="D1694" t="str">
            <v>DIRECTION DE LA PRODUCTION ET DE LA PROGRAMMATION RADIO</v>
          </cell>
          <cell r="V1694">
            <v>130000</v>
          </cell>
          <cell r="W1694" t="str">
            <v>Fonctionnement</v>
          </cell>
        </row>
        <row r="1695">
          <cell r="A1695">
            <v>2018</v>
          </cell>
          <cell r="D1695" t="str">
            <v>DIRECTION DE LA PRODUCTION ET DE LA PROGRAMMATION RADIO</v>
          </cell>
          <cell r="V1695">
            <v>120000</v>
          </cell>
          <cell r="W1695" t="str">
            <v>Fonctionnement</v>
          </cell>
        </row>
        <row r="1696">
          <cell r="A1696">
            <v>2018</v>
          </cell>
          <cell r="D1696" t="str">
            <v>DIRECTION DE LA PRODUCTION ET DE LA PROGRAMMATION RADIO</v>
          </cell>
          <cell r="V1696">
            <v>120000</v>
          </cell>
          <cell r="W1696" t="str">
            <v>Fonctionnement</v>
          </cell>
        </row>
        <row r="1697">
          <cell r="A1697">
            <v>2018</v>
          </cell>
          <cell r="D1697" t="str">
            <v>DIRECTION DE LA PRODUCTION ET DE LA PROGRAMMATION RADIO</v>
          </cell>
          <cell r="V1697">
            <v>96000</v>
          </cell>
          <cell r="W1697" t="str">
            <v>Fonctionnement</v>
          </cell>
        </row>
        <row r="1698">
          <cell r="A1698">
            <v>2018</v>
          </cell>
          <cell r="D1698" t="str">
            <v>DIRECTION DE LA PRODUCTION ET DE LA PROGRAMMATION RADIO</v>
          </cell>
          <cell r="V1698">
            <v>96000</v>
          </cell>
          <cell r="W1698" t="str">
            <v>Fonctionnement</v>
          </cell>
        </row>
        <row r="1699">
          <cell r="A1699">
            <v>2018</v>
          </cell>
          <cell r="D1699" t="str">
            <v>DIRECTION DE LA PRODUCTION ET DE LA PROGRAMMATION RADIO</v>
          </cell>
          <cell r="V1699">
            <v>96000</v>
          </cell>
          <cell r="W1699" t="str">
            <v>Fonctionnement</v>
          </cell>
        </row>
        <row r="1700">
          <cell r="A1700">
            <v>2018</v>
          </cell>
          <cell r="D1700" t="str">
            <v>DIRECTION DE LA PRODUCTION ET DE LA PROGRAMMATION RADIO</v>
          </cell>
          <cell r="V1700">
            <v>96000</v>
          </cell>
          <cell r="W1700" t="str">
            <v>Fonctionnement</v>
          </cell>
        </row>
        <row r="1701">
          <cell r="A1701">
            <v>2018</v>
          </cell>
          <cell r="D1701" t="str">
            <v>DIRECTION DE LA PRODUCTION ET DE LA PROGRAMMATION RADIO</v>
          </cell>
          <cell r="V1701">
            <v>60000</v>
          </cell>
          <cell r="W1701" t="str">
            <v>Fonctionnement</v>
          </cell>
        </row>
        <row r="1702">
          <cell r="A1702">
            <v>2018</v>
          </cell>
          <cell r="D1702" t="str">
            <v>DIRECTION DE LA PRODUCTION ET DE LA PROGRAMMATION RADIO</v>
          </cell>
          <cell r="V1702">
            <v>96000</v>
          </cell>
          <cell r="W1702" t="str">
            <v>Fonctionnement</v>
          </cell>
        </row>
        <row r="1703">
          <cell r="A1703">
            <v>2018</v>
          </cell>
          <cell r="D1703" t="str">
            <v>DIRECTION DE LA PRODUCTION ET DE LA PROGRAMMATION RADIO</v>
          </cell>
          <cell r="V1703">
            <v>96000</v>
          </cell>
          <cell r="W1703" t="str">
            <v>Fonctionnement</v>
          </cell>
        </row>
        <row r="1704">
          <cell r="A1704">
            <v>2018</v>
          </cell>
          <cell r="D1704" t="str">
            <v>DIRECTION DE LA PRODUCTION ET DE LA PROGRAMMATION RADIO</v>
          </cell>
          <cell r="V1704">
            <v>96000</v>
          </cell>
          <cell r="W1704" t="str">
            <v>Fonctionnement</v>
          </cell>
        </row>
        <row r="1705">
          <cell r="A1705">
            <v>2018</v>
          </cell>
          <cell r="D1705" t="str">
            <v>DIRECTION DE LA PRODUCTION ET DE LA PROGRAMMATION RADIO</v>
          </cell>
          <cell r="V1705">
            <v>54000</v>
          </cell>
          <cell r="W1705" t="str">
            <v>Fonctionnement</v>
          </cell>
        </row>
        <row r="1706">
          <cell r="A1706">
            <v>2018</v>
          </cell>
          <cell r="D1706" t="str">
            <v>DIRECTION DE LA PRODUCTION ET DE LA PROGRAMMATION RADIO</v>
          </cell>
          <cell r="V1706">
            <v>54000</v>
          </cell>
          <cell r="W1706" t="str">
            <v>Fonctionnement</v>
          </cell>
        </row>
        <row r="1707">
          <cell r="A1707">
            <v>2018</v>
          </cell>
          <cell r="D1707" t="str">
            <v>DIRECTION DE LA PRODUCTION ET DE LA PROGRAMMATION RADIO</v>
          </cell>
          <cell r="V1707">
            <v>60000</v>
          </cell>
          <cell r="W1707" t="str">
            <v>Fonctionnement</v>
          </cell>
        </row>
        <row r="1708">
          <cell r="A1708">
            <v>2018</v>
          </cell>
          <cell r="D1708" t="str">
            <v>DIRECTION DE LA PRODUCTION ET DE LA PROGRAMMATION RADIO</v>
          </cell>
          <cell r="V1708">
            <v>60000</v>
          </cell>
          <cell r="W1708" t="str">
            <v>Fonctionnement</v>
          </cell>
        </row>
        <row r="1709">
          <cell r="A1709">
            <v>2018</v>
          </cell>
          <cell r="D1709" t="str">
            <v>DIRECTION DE LA PRODUCTION ET DE LA PROGRAMMATION RADIO</v>
          </cell>
          <cell r="V1709">
            <v>180000</v>
          </cell>
          <cell r="W1709" t="str">
            <v>Fonctionnement</v>
          </cell>
        </row>
        <row r="1710">
          <cell r="A1710">
            <v>2018</v>
          </cell>
          <cell r="D1710" t="str">
            <v>DIRECTION DE LA PRODUCTION ET DE LA PROGRAMMATION RADIO</v>
          </cell>
          <cell r="V1710">
            <v>96000</v>
          </cell>
          <cell r="W1710" t="str">
            <v>Fonctionnement</v>
          </cell>
        </row>
        <row r="1711">
          <cell r="A1711">
            <v>2018</v>
          </cell>
          <cell r="D1711" t="str">
            <v>DIRECTION DE LA PRODUCTION ET DE LA PROGRAMMATION RADIO</v>
          </cell>
          <cell r="V1711">
            <v>48000</v>
          </cell>
          <cell r="W1711" t="str">
            <v>Fonctionnement</v>
          </cell>
        </row>
        <row r="1712">
          <cell r="A1712">
            <v>2018</v>
          </cell>
          <cell r="D1712" t="str">
            <v>DIRECTION DE LA PRODUCTION ET DE LA PROGRAMMATION RADIO</v>
          </cell>
          <cell r="V1712">
            <v>60000</v>
          </cell>
          <cell r="W1712" t="str">
            <v>Fonctionnement</v>
          </cell>
        </row>
        <row r="1713">
          <cell r="A1713">
            <v>2018</v>
          </cell>
          <cell r="D1713" t="str">
            <v>DIRECTION DE LA PRODUCTION ET DE LA PROGRAMMATION RADIO</v>
          </cell>
          <cell r="V1713">
            <v>72000</v>
          </cell>
          <cell r="W1713" t="str">
            <v>Fonctionnement</v>
          </cell>
        </row>
        <row r="1714">
          <cell r="A1714">
            <v>2018</v>
          </cell>
          <cell r="D1714" t="str">
            <v>DIRECTION DE LA PRODUCTION ET DE LA PROGRAMMATION RADIO</v>
          </cell>
          <cell r="V1714">
            <v>72000</v>
          </cell>
          <cell r="W1714" t="str">
            <v>Fonctionnement</v>
          </cell>
        </row>
        <row r="1715">
          <cell r="A1715">
            <v>2018</v>
          </cell>
          <cell r="D1715" t="str">
            <v>DIRECTION DE LA PRODUCTION ET DE LA PROGRAMMATION RADIO</v>
          </cell>
          <cell r="V1715">
            <v>84000</v>
          </cell>
          <cell r="W1715" t="str">
            <v>Fonctionnement</v>
          </cell>
        </row>
        <row r="1716">
          <cell r="A1716">
            <v>2018</v>
          </cell>
          <cell r="D1716" t="str">
            <v>DIRECTION DE LA PRODUCTION ET DE LA PROGRAMMATION RADIO</v>
          </cell>
          <cell r="V1716">
            <v>82576</v>
          </cell>
          <cell r="W1716" t="str">
            <v>Fonctionnement</v>
          </cell>
        </row>
        <row r="1717">
          <cell r="A1717">
            <v>2018</v>
          </cell>
          <cell r="D1717" t="str">
            <v>DIRECTION DE LA PRODUCTION ET DE LA PROGRAMMATION RADIO</v>
          </cell>
          <cell r="V1717">
            <v>78084</v>
          </cell>
          <cell r="W1717" t="str">
            <v>Fonctionnement</v>
          </cell>
        </row>
        <row r="1718">
          <cell r="A1718">
            <v>2018</v>
          </cell>
          <cell r="D1718" t="str">
            <v>DIRECTION DE LA PRODUCTION ET DE LA PROGRAMMATION RADIO</v>
          </cell>
          <cell r="V1718">
            <v>96000</v>
          </cell>
          <cell r="W1718" t="str">
            <v>Fonctionnement</v>
          </cell>
        </row>
        <row r="1719">
          <cell r="A1719">
            <v>2018</v>
          </cell>
          <cell r="D1719" t="str">
            <v>DIRECTION DE LA PRODUCTION ET DE LA PROGRAMMATION RADIO</v>
          </cell>
          <cell r="V1719">
            <v>96000</v>
          </cell>
          <cell r="W1719" t="str">
            <v>Fonctionnement</v>
          </cell>
        </row>
        <row r="1720">
          <cell r="A1720">
            <v>2018</v>
          </cell>
          <cell r="D1720" t="str">
            <v>DIRECTION DE LA PRODUCTION ET DE LA PROGRAMMATION RADIO</v>
          </cell>
          <cell r="V1720">
            <v>96000</v>
          </cell>
          <cell r="W1720" t="str">
            <v>Fonctionnement</v>
          </cell>
        </row>
        <row r="1721">
          <cell r="A1721">
            <v>2018</v>
          </cell>
          <cell r="D1721" t="str">
            <v>DIRECTION DE LA PRODUCTION ET DE LA PROGRAMMATION RADIO</v>
          </cell>
          <cell r="V1721">
            <v>96000</v>
          </cell>
          <cell r="W1721" t="str">
            <v>Fonctionnement</v>
          </cell>
        </row>
        <row r="1722">
          <cell r="A1722">
            <v>2018</v>
          </cell>
          <cell r="D1722" t="str">
            <v>DIRECTION DE LA PRODUCTION ET DE LA PROGRAMMATION RADIO</v>
          </cell>
          <cell r="V1722">
            <v>48000</v>
          </cell>
          <cell r="W1722" t="str">
            <v>Fonctionnement</v>
          </cell>
        </row>
        <row r="1723">
          <cell r="A1723">
            <v>2018</v>
          </cell>
          <cell r="D1723" t="str">
            <v>DIRECTION DE LA PRODUCTION ET DE LA PROGRAMMATION RADIO</v>
          </cell>
          <cell r="V1723">
            <v>96000</v>
          </cell>
          <cell r="W1723" t="str">
            <v>Fonctionnement</v>
          </cell>
        </row>
        <row r="1724">
          <cell r="A1724">
            <v>2018</v>
          </cell>
          <cell r="D1724" t="str">
            <v>DIRECTION DE LA PRODUCTION ET DE LA PROGRAMMATION RADIO</v>
          </cell>
          <cell r="V1724">
            <v>96000</v>
          </cell>
          <cell r="W1724" t="str">
            <v>Fonctionnement</v>
          </cell>
        </row>
        <row r="1725">
          <cell r="A1725">
            <v>2018</v>
          </cell>
          <cell r="D1725" t="str">
            <v>DIRECTION DE LA PRODUCTION ET DE LA PROGRAMMATION RADIO</v>
          </cell>
          <cell r="V1725">
            <v>96000</v>
          </cell>
          <cell r="W1725" t="str">
            <v>Fonctionnement</v>
          </cell>
        </row>
        <row r="1726">
          <cell r="A1726">
            <v>2018</v>
          </cell>
          <cell r="D1726" t="str">
            <v>DIRECTION DE LA PRODUCTION ET DE LA PROGRAMMATION RADIO</v>
          </cell>
          <cell r="V1726">
            <v>96000</v>
          </cell>
          <cell r="W1726" t="str">
            <v>Fonctionnement</v>
          </cell>
        </row>
        <row r="1727">
          <cell r="A1727">
            <v>2018</v>
          </cell>
          <cell r="D1727" t="str">
            <v>DIRECTION DE LA PRODUCTION ET DE LA PROGRAMMATION RADIO</v>
          </cell>
          <cell r="V1727">
            <v>24000</v>
          </cell>
          <cell r="W1727" t="str">
            <v>Fonctionnement</v>
          </cell>
        </row>
        <row r="1728">
          <cell r="A1728">
            <v>2018</v>
          </cell>
          <cell r="D1728" t="str">
            <v>DIRECTION DE LA PRODUCTION ET DE LA PROGRAMMATION RADIO</v>
          </cell>
          <cell r="V1728">
            <v>96000</v>
          </cell>
          <cell r="W1728" t="str">
            <v>Fonctionnement</v>
          </cell>
        </row>
        <row r="1729">
          <cell r="A1729">
            <v>2018</v>
          </cell>
          <cell r="D1729" t="str">
            <v>DIRECTION DE LA PRODUCTION ET DE LA PROGRAMMATION RADIO</v>
          </cell>
          <cell r="V1729">
            <v>96000</v>
          </cell>
          <cell r="W1729" t="str">
            <v>Fonctionnement</v>
          </cell>
        </row>
        <row r="1730">
          <cell r="A1730">
            <v>2018</v>
          </cell>
          <cell r="D1730" t="str">
            <v>DIRECTION DE LA PRODUCTION ET DE LA PROGRAMMATION RADIO</v>
          </cell>
          <cell r="V1730">
            <v>130000</v>
          </cell>
          <cell r="W1730" t="str">
            <v>Fonctionnement</v>
          </cell>
        </row>
        <row r="1731">
          <cell r="A1731">
            <v>2018</v>
          </cell>
          <cell r="D1731" t="str">
            <v>DIRECTION DE LA PRODUCTION ET DE LA PROGRAMMATION RADIO</v>
          </cell>
          <cell r="V1731">
            <v>7142.85</v>
          </cell>
          <cell r="W1731" t="str">
            <v>Fonctionnement</v>
          </cell>
        </row>
        <row r="1732">
          <cell r="A1732">
            <v>2018</v>
          </cell>
          <cell r="D1732" t="str">
            <v>DIRECTION DE LA PRODUCTION ET DE LA PROGRAMMATION RADIO</v>
          </cell>
          <cell r="V1732">
            <v>28571.42</v>
          </cell>
          <cell r="W1732" t="str">
            <v>Fonctionnement</v>
          </cell>
        </row>
        <row r="1733">
          <cell r="A1733">
            <v>2018</v>
          </cell>
          <cell r="D1733" t="str">
            <v>DIRECTION DE LA PRODUCTION ET DE LA PROGRAMMATION RADIO</v>
          </cell>
          <cell r="V1733">
            <v>7142.85</v>
          </cell>
          <cell r="W1733" t="str">
            <v>Fonctionnement</v>
          </cell>
        </row>
        <row r="1734">
          <cell r="A1734">
            <v>2018</v>
          </cell>
          <cell r="D1734" t="str">
            <v>DIRECTION DE LA PRODUCTION ET DE LA PROGRAMMATION RADIO</v>
          </cell>
          <cell r="V1734">
            <v>28571.42</v>
          </cell>
          <cell r="W1734" t="str">
            <v>Fonctionnement</v>
          </cell>
        </row>
        <row r="1735">
          <cell r="A1735">
            <v>2018</v>
          </cell>
          <cell r="D1735" t="str">
            <v>DIRECTION DE LA PRODUCTION ET DE LA PROGRAMMATION RADIO</v>
          </cell>
          <cell r="V1735">
            <v>171428.52</v>
          </cell>
          <cell r="W1735" t="str">
            <v>Fonctionnement</v>
          </cell>
        </row>
        <row r="1736">
          <cell r="A1736">
            <v>2018</v>
          </cell>
          <cell r="D1736" t="str">
            <v>DIRECTION DE LA PRODUCTION ET DE LA PROGRAMMATION RADIO</v>
          </cell>
          <cell r="V1736">
            <v>8000</v>
          </cell>
          <cell r="W1736" t="str">
            <v>Fonctionnement</v>
          </cell>
        </row>
        <row r="1737">
          <cell r="A1737">
            <v>2018</v>
          </cell>
          <cell r="D1737" t="str">
            <v>DIRECTION DE LA PRODUCTION ET DE LA PROGRAMMATION RADIO</v>
          </cell>
          <cell r="V1737">
            <v>8000</v>
          </cell>
          <cell r="W1737" t="str">
            <v>Fonctionnement</v>
          </cell>
        </row>
        <row r="1738">
          <cell r="A1738">
            <v>2018</v>
          </cell>
          <cell r="D1738" t="str">
            <v>DIRECTION DE LA PRODUCTION ET DE LA PROGRAMMATION RADIO</v>
          </cell>
          <cell r="V1738">
            <v>8000</v>
          </cell>
          <cell r="W1738" t="str">
            <v>Fonctionnement</v>
          </cell>
        </row>
        <row r="1739">
          <cell r="A1739">
            <v>2018</v>
          </cell>
          <cell r="D1739" t="str">
            <v>DIRECTION DE LA PRODUCTION ET DE LA PROGRAMMATION RADIO</v>
          </cell>
          <cell r="V1739">
            <v>84000</v>
          </cell>
          <cell r="W1739" t="str">
            <v>Fonctionnement</v>
          </cell>
        </row>
        <row r="1740">
          <cell r="A1740">
            <v>2018</v>
          </cell>
          <cell r="D1740" t="str">
            <v>DIRECTION DE LA PRODUCTION ET DE LA PROGRAMMATION RADIO</v>
          </cell>
          <cell r="V1740">
            <v>28571.43</v>
          </cell>
          <cell r="W1740" t="str">
            <v>Fonctionnement</v>
          </cell>
        </row>
        <row r="1741">
          <cell r="A1741">
            <v>2018</v>
          </cell>
          <cell r="D1741" t="str">
            <v>DIRECTION DE LA PRODUCTION ET DE LA PROGRAMMATION RADIO</v>
          </cell>
          <cell r="V1741">
            <v>8000</v>
          </cell>
          <cell r="W1741" t="str">
            <v>Fonctionnement</v>
          </cell>
        </row>
        <row r="1742">
          <cell r="A1742">
            <v>2018</v>
          </cell>
          <cell r="D1742" t="str">
            <v>DIRECTION DE LA PRODUCTION ET DE LA PROGRAMMATION RADIO</v>
          </cell>
          <cell r="V1742">
            <v>7142.85</v>
          </cell>
          <cell r="W1742" t="str">
            <v>Fonctionnement</v>
          </cell>
        </row>
        <row r="1743">
          <cell r="A1743">
            <v>2018</v>
          </cell>
          <cell r="D1743" t="str">
            <v>DIRECTION DE LA PRODUCTION ET DE LA PROGRAMMATION RADIO</v>
          </cell>
          <cell r="V1743">
            <v>3571.42</v>
          </cell>
          <cell r="W1743" t="str">
            <v>Fonctionnement</v>
          </cell>
        </row>
        <row r="1744">
          <cell r="A1744">
            <v>2018</v>
          </cell>
          <cell r="D1744" t="str">
            <v>DIRECTION DE LA PRODUCTION ET DE LA PROGRAMMATION RADIO</v>
          </cell>
          <cell r="V1744">
            <v>28571.43</v>
          </cell>
          <cell r="W1744" t="str">
            <v>Fonctionnement</v>
          </cell>
        </row>
        <row r="1745">
          <cell r="A1745">
            <v>2018</v>
          </cell>
          <cell r="D1745" t="str">
            <v>DIRECTION DE LA PRODUCTION ET DE LA PROGRAMMATION RADIO</v>
          </cell>
          <cell r="V1745">
            <v>7142.85</v>
          </cell>
          <cell r="W1745" t="str">
            <v>Fonctionnement</v>
          </cell>
        </row>
        <row r="1746">
          <cell r="A1746">
            <v>2018</v>
          </cell>
          <cell r="D1746" t="str">
            <v>DIRECTION DE LA PRODUCTION ET DE LA PROGRAMMATION RADIO</v>
          </cell>
          <cell r="V1746">
            <v>8000</v>
          </cell>
          <cell r="W1746" t="str">
            <v>Fonctionnement</v>
          </cell>
        </row>
        <row r="1747">
          <cell r="A1747">
            <v>2018</v>
          </cell>
          <cell r="D1747" t="str">
            <v>DIRECTION DE LA PRODUCTION ET DE LA PROGRAMMATION RADIO</v>
          </cell>
          <cell r="V1747">
            <v>5000</v>
          </cell>
          <cell r="W1747" t="str">
            <v>Fonctionnement</v>
          </cell>
        </row>
        <row r="1748">
          <cell r="A1748">
            <v>2018</v>
          </cell>
          <cell r="D1748" t="str">
            <v>DIRECTION DE LA REGIE PUBLICITAIRE ET DES SOLUTIONS DIGITALES</v>
          </cell>
          <cell r="V1748">
            <v>45000</v>
          </cell>
          <cell r="W1748" t="str">
            <v>Fonctionnement</v>
          </cell>
        </row>
        <row r="1749">
          <cell r="A1749">
            <v>2018</v>
          </cell>
          <cell r="D1749" t="str">
            <v>DIRECTION CENTRALE DE LA CHAÎNE TAMAZIGHT</v>
          </cell>
          <cell r="V1749">
            <v>62400</v>
          </cell>
          <cell r="W1749" t="str">
            <v>Fonctionnement</v>
          </cell>
        </row>
        <row r="1750">
          <cell r="A1750">
            <v>2018</v>
          </cell>
          <cell r="D1750" t="str">
            <v>DIRECTION CENTRALE DE LA CHAÎNE TAMAZIGHT</v>
          </cell>
          <cell r="V1750">
            <v>144000</v>
          </cell>
          <cell r="W1750" t="str">
            <v>Fonctionnement</v>
          </cell>
        </row>
        <row r="1751">
          <cell r="A1751">
            <v>2018</v>
          </cell>
          <cell r="D1751" t="str">
            <v>DIRECTION CENTRALE DE LA CHAÎNE TAMAZIGHT</v>
          </cell>
          <cell r="V1751">
            <v>109200</v>
          </cell>
          <cell r="W1751" t="str">
            <v>Fonctionnement</v>
          </cell>
        </row>
        <row r="1752">
          <cell r="A1752">
            <v>2018</v>
          </cell>
          <cell r="D1752" t="str">
            <v>DIRECTION CENTRALE DE LA CHAÎNE TAMAZIGHT</v>
          </cell>
          <cell r="V1752">
            <v>84000</v>
          </cell>
          <cell r="W1752" t="str">
            <v>Fonctionnement</v>
          </cell>
        </row>
        <row r="1753">
          <cell r="A1753">
            <v>2018</v>
          </cell>
          <cell r="D1753" t="str">
            <v>DIRECTION CENTRALE DE LA CHAÎNE TAMAZIGHT</v>
          </cell>
          <cell r="V1753">
            <v>124800</v>
          </cell>
          <cell r="W1753" t="str">
            <v>Fonctionnement</v>
          </cell>
        </row>
        <row r="1754">
          <cell r="A1754">
            <v>2018</v>
          </cell>
          <cell r="D1754" t="str">
            <v>DIRECTION CENTRALE DE LA CHAÎNE TAMAZIGHT</v>
          </cell>
          <cell r="V1754">
            <v>84000</v>
          </cell>
          <cell r="W1754" t="str">
            <v>Fonctionnement</v>
          </cell>
        </row>
        <row r="1755">
          <cell r="A1755">
            <v>2018</v>
          </cell>
          <cell r="D1755" t="str">
            <v>DIRECTION CENTRALE DE LA CHAÎNE TAMAZIGHT</v>
          </cell>
          <cell r="V1755">
            <v>36000</v>
          </cell>
          <cell r="W1755" t="str">
            <v>Fonctionnement</v>
          </cell>
        </row>
        <row r="1756">
          <cell r="A1756">
            <v>2018</v>
          </cell>
          <cell r="D1756" t="str">
            <v>DIRECTION CENTRALE DE LA CHAÎNE TAMAZIGHT</v>
          </cell>
          <cell r="V1756">
            <v>84000</v>
          </cell>
          <cell r="W1756" t="str">
            <v>Fonctionnement</v>
          </cell>
        </row>
        <row r="1757">
          <cell r="A1757">
            <v>2018</v>
          </cell>
          <cell r="D1757" t="str">
            <v>DIRECTION CENTRALE DE LA CHAÎNE TAMAZIGHT</v>
          </cell>
          <cell r="V1757">
            <v>41600</v>
          </cell>
          <cell r="W1757" t="str">
            <v>Fonctionnement</v>
          </cell>
        </row>
        <row r="1758">
          <cell r="A1758">
            <v>2018</v>
          </cell>
          <cell r="D1758" t="str">
            <v>DIRECTION CENTRALE DE LA CHAÎNE TAMAZIGHT</v>
          </cell>
          <cell r="V1758">
            <v>96000</v>
          </cell>
          <cell r="W1758" t="str">
            <v>Fonctionnement</v>
          </cell>
        </row>
        <row r="1759">
          <cell r="A1759">
            <v>2018</v>
          </cell>
          <cell r="D1759" t="str">
            <v>DIRECTION CENTRALE DE LA CHAÎNE TAMAZIGHT</v>
          </cell>
          <cell r="V1759">
            <v>96000</v>
          </cell>
          <cell r="W1759" t="str">
            <v>Fonctionnement</v>
          </cell>
        </row>
        <row r="1760">
          <cell r="A1760">
            <v>2018</v>
          </cell>
          <cell r="D1760" t="str">
            <v>DIRECTION CENTRALE DE LA CHAÎNE TAMAZIGHT</v>
          </cell>
          <cell r="V1760">
            <v>96000</v>
          </cell>
          <cell r="W1760" t="str">
            <v>Fonctionnement</v>
          </cell>
        </row>
        <row r="1761">
          <cell r="A1761">
            <v>2018</v>
          </cell>
          <cell r="D1761" t="str">
            <v>DIRECTION CENTRALE DE LA CHAÎNE TAMAZIGHT</v>
          </cell>
          <cell r="V1761">
            <v>96000</v>
          </cell>
          <cell r="W1761" t="str">
            <v>Fonctionnement</v>
          </cell>
        </row>
        <row r="1762">
          <cell r="A1762">
            <v>2018</v>
          </cell>
          <cell r="D1762" t="str">
            <v>DIRECTION CENTRALE DE LA CHAÎNE TAMAZIGHT</v>
          </cell>
          <cell r="V1762">
            <v>96000</v>
          </cell>
          <cell r="W1762" t="str">
            <v>Fonctionnement</v>
          </cell>
        </row>
        <row r="1763">
          <cell r="A1763">
            <v>2018</v>
          </cell>
          <cell r="D1763" t="str">
            <v>DIRECTION CENTRALE DE LA CHAÎNE TAMAZIGHT</v>
          </cell>
          <cell r="V1763">
            <v>96000</v>
          </cell>
          <cell r="W1763" t="str">
            <v>Fonctionnement</v>
          </cell>
        </row>
        <row r="1764">
          <cell r="A1764">
            <v>2018</v>
          </cell>
          <cell r="D1764" t="str">
            <v>DIRECTION CENTRALE DE LA CHAÎNE TAMAZIGHT</v>
          </cell>
          <cell r="V1764">
            <v>96000</v>
          </cell>
          <cell r="W1764" t="str">
            <v>Fonctionnement</v>
          </cell>
        </row>
        <row r="1765">
          <cell r="A1765">
            <v>2018</v>
          </cell>
          <cell r="D1765" t="str">
            <v>DIRECTION CENTRALE DE LA CHAÎNE TAMAZIGHT</v>
          </cell>
          <cell r="V1765">
            <v>41600</v>
          </cell>
          <cell r="W1765" t="str">
            <v>Fonctionnement</v>
          </cell>
        </row>
        <row r="1766">
          <cell r="A1766">
            <v>2018</v>
          </cell>
          <cell r="D1766" t="str">
            <v>DIRECTION CENTRALE DE LA CHAÎNE TAMAZIGHT</v>
          </cell>
          <cell r="V1766">
            <v>96000</v>
          </cell>
          <cell r="W1766" t="str">
            <v>Fonctionnement</v>
          </cell>
        </row>
        <row r="1767">
          <cell r="A1767">
            <v>2018</v>
          </cell>
          <cell r="D1767" t="str">
            <v>DIRECTION CENTRALE DE LA CHAÎNE TAMAZIGHT</v>
          </cell>
          <cell r="V1767">
            <v>96000</v>
          </cell>
          <cell r="W1767" t="str">
            <v>Fonctionnement</v>
          </cell>
        </row>
        <row r="1768">
          <cell r="A1768">
            <v>2018</v>
          </cell>
          <cell r="D1768" t="str">
            <v>DIRECTION CENTRALE DE LA CHAÎNE TAMAZIGHT</v>
          </cell>
          <cell r="V1768">
            <v>96000</v>
          </cell>
          <cell r="W1768" t="str">
            <v>Fonctionnement</v>
          </cell>
        </row>
        <row r="1769">
          <cell r="A1769">
            <v>2018</v>
          </cell>
          <cell r="D1769" t="str">
            <v>DIRECTION CENTRALE DE LA CHAÎNE TAMAZIGHT</v>
          </cell>
          <cell r="V1769">
            <v>96000</v>
          </cell>
          <cell r="W1769" t="str">
            <v>Fonctionnement</v>
          </cell>
        </row>
        <row r="1770">
          <cell r="A1770">
            <v>2018</v>
          </cell>
          <cell r="D1770" t="str">
            <v>DIRECTION CENTRALE DE LA CHAÎNE TAMAZIGHT</v>
          </cell>
          <cell r="V1770">
            <v>96000</v>
          </cell>
          <cell r="W1770" t="str">
            <v>Fonctionnement</v>
          </cell>
        </row>
        <row r="1771">
          <cell r="A1771">
            <v>2018</v>
          </cell>
          <cell r="D1771" t="str">
            <v>DIRECTION CENTRALE DE LA CHAÎNE TAMAZIGHT</v>
          </cell>
          <cell r="V1771">
            <v>96000</v>
          </cell>
          <cell r="W1771" t="str">
            <v>Fonctionnement</v>
          </cell>
        </row>
        <row r="1772">
          <cell r="A1772">
            <v>2018</v>
          </cell>
          <cell r="D1772" t="str">
            <v>DIRECTION CENTRALE DE LA CHAÎNE TAMAZIGHT</v>
          </cell>
          <cell r="V1772">
            <v>96000</v>
          </cell>
          <cell r="W1772" t="str">
            <v>Fonctionnement</v>
          </cell>
        </row>
        <row r="1773">
          <cell r="A1773">
            <v>2018</v>
          </cell>
          <cell r="D1773" t="str">
            <v>DIRECTION CENTRALE DE LA CHAÎNE TAMAZIGHT</v>
          </cell>
          <cell r="V1773">
            <v>96000</v>
          </cell>
          <cell r="W1773" t="str">
            <v>Fonctionnement</v>
          </cell>
        </row>
        <row r="1774">
          <cell r="A1774">
            <v>2018</v>
          </cell>
          <cell r="D1774" t="str">
            <v>DIRECTION CENTRALE DE LA CHAÎNE TAMAZIGHT</v>
          </cell>
          <cell r="V1774">
            <v>96000</v>
          </cell>
          <cell r="W1774" t="str">
            <v>Fonctionnement</v>
          </cell>
        </row>
        <row r="1775">
          <cell r="A1775">
            <v>2018</v>
          </cell>
          <cell r="D1775" t="str">
            <v>DIRECTION CENTRALE DE LA CHAÎNE TAMAZIGHT</v>
          </cell>
          <cell r="V1775">
            <v>96000</v>
          </cell>
          <cell r="W1775" t="str">
            <v>Fonctionnement</v>
          </cell>
        </row>
        <row r="1776">
          <cell r="A1776">
            <v>2018</v>
          </cell>
          <cell r="D1776" t="str">
            <v>DIRECTION CENTRALE DE LA CHAÎNE TAMAZIGHT</v>
          </cell>
          <cell r="V1776">
            <v>132000</v>
          </cell>
          <cell r="W1776" t="str">
            <v>Fonctionnement</v>
          </cell>
        </row>
        <row r="1777">
          <cell r="A1777">
            <v>2018</v>
          </cell>
          <cell r="D1777" t="str">
            <v>DIRECTION CENTRALE DE LA CHAÎNE TAMAZIGHT</v>
          </cell>
          <cell r="V1777">
            <v>96000</v>
          </cell>
          <cell r="W1777" t="str">
            <v>Fonctionnement</v>
          </cell>
        </row>
        <row r="1778">
          <cell r="A1778">
            <v>2018</v>
          </cell>
          <cell r="D1778" t="str">
            <v>DIRECTION CENTRALE DE LA CHAÎNE TAMAZIGHT</v>
          </cell>
          <cell r="V1778">
            <v>83200</v>
          </cell>
          <cell r="W1778" t="str">
            <v>Fonctionnement</v>
          </cell>
        </row>
        <row r="1779">
          <cell r="A1779">
            <v>2018</v>
          </cell>
          <cell r="D1779" t="str">
            <v>DIRECTION CENTRALE DE LA CHAÎNE TAMAZIGHT</v>
          </cell>
          <cell r="V1779">
            <v>71400</v>
          </cell>
          <cell r="W1779" t="str">
            <v>Fonctionnement</v>
          </cell>
        </row>
        <row r="1780">
          <cell r="A1780">
            <v>2018</v>
          </cell>
          <cell r="D1780" t="str">
            <v>DIRECTION CENTRALE DE LA CHAÎNE TAMAZIGHT</v>
          </cell>
          <cell r="V1780">
            <v>28571.42</v>
          </cell>
          <cell r="W1780" t="str">
            <v>Fonctionnement</v>
          </cell>
        </row>
        <row r="1781">
          <cell r="A1781">
            <v>2018</v>
          </cell>
          <cell r="D1781" t="str">
            <v>DIRECTION CENTRALE DE LA CHAÎNE TAMAZIGHT</v>
          </cell>
          <cell r="V1781">
            <v>7142.85</v>
          </cell>
          <cell r="W1781" t="str">
            <v>Fonctionnement</v>
          </cell>
        </row>
        <row r="1782">
          <cell r="A1782">
            <v>2018</v>
          </cell>
          <cell r="D1782" t="str">
            <v>DIRECTION CENTRALE DE LA CHAÎNE TAMAZIGHT</v>
          </cell>
          <cell r="V1782">
            <v>7142.85</v>
          </cell>
          <cell r="W1782" t="str">
            <v>Fonctionnement</v>
          </cell>
        </row>
        <row r="1783">
          <cell r="A1783">
            <v>2018</v>
          </cell>
          <cell r="D1783" t="str">
            <v>DIRECTION CENTRALE DE LA CHAÎNE TAMAZIGHT</v>
          </cell>
          <cell r="V1783">
            <v>28571.42</v>
          </cell>
          <cell r="W1783" t="str">
            <v>Fonctionnement</v>
          </cell>
        </row>
        <row r="1784">
          <cell r="A1784">
            <v>2018</v>
          </cell>
          <cell r="D1784" t="str">
            <v>DIRECTION CENTRALE DE LA CHAÎNE TAMAZIGHT</v>
          </cell>
          <cell r="V1784">
            <v>7142.85</v>
          </cell>
          <cell r="W1784" t="str">
            <v>Fonctionnement</v>
          </cell>
        </row>
        <row r="1785">
          <cell r="A1785">
            <v>2018</v>
          </cell>
          <cell r="D1785" t="str">
            <v>DIRECTION CENTRALE DE LA CHAÎNE TAMAZIGHT</v>
          </cell>
          <cell r="V1785">
            <v>71400</v>
          </cell>
          <cell r="W1785" t="str">
            <v>Fonctionnement</v>
          </cell>
        </row>
        <row r="1786">
          <cell r="A1786">
            <v>2018</v>
          </cell>
          <cell r="D1786" t="str">
            <v>DIRECTION CENTRALE DE LA CHAÎNE TAMAZIGHT</v>
          </cell>
          <cell r="V1786">
            <v>71400</v>
          </cell>
          <cell r="W1786" t="str">
            <v>Fonctionnement</v>
          </cell>
        </row>
        <row r="1787">
          <cell r="A1787">
            <v>2018</v>
          </cell>
          <cell r="D1787" t="str">
            <v>DIRECTION CENTRALE DE LA CHAÎNE TAMAZIGHT</v>
          </cell>
          <cell r="V1787">
            <v>71400</v>
          </cell>
          <cell r="W1787" t="str">
            <v>Fonctionnement</v>
          </cell>
        </row>
        <row r="1788">
          <cell r="A1788">
            <v>2018</v>
          </cell>
          <cell r="D1788" t="str">
            <v>DIRECTION CENTRALE DE LA CHAÎNE TAMAZIGHT</v>
          </cell>
          <cell r="V1788">
            <v>14285.71</v>
          </cell>
          <cell r="W1788" t="str">
            <v>Fonctionnement</v>
          </cell>
        </row>
        <row r="1789">
          <cell r="A1789">
            <v>2018</v>
          </cell>
          <cell r="D1789" t="str">
            <v>DIRECTION CENTRALE DE LA CHAÎNE TAMAZIGHT</v>
          </cell>
          <cell r="V1789">
            <v>14285.71</v>
          </cell>
          <cell r="W1789" t="str">
            <v>Fonctionnement</v>
          </cell>
        </row>
        <row r="1790">
          <cell r="A1790">
            <v>2018</v>
          </cell>
          <cell r="D1790" t="str">
            <v>DIRECTION CENTRALE DE LA CHAÎNE TAMAZIGHT</v>
          </cell>
          <cell r="V1790">
            <v>14285.71</v>
          </cell>
          <cell r="W1790" t="str">
            <v>Fonctionnement</v>
          </cell>
        </row>
        <row r="1791">
          <cell r="A1791">
            <v>2018</v>
          </cell>
          <cell r="D1791" t="str">
            <v>DIRECTION CENTRALE DE LA CHAÎNE TAMAZIGHT</v>
          </cell>
          <cell r="V1791">
            <v>14285.71</v>
          </cell>
          <cell r="W1791" t="str">
            <v>Fonctionnement</v>
          </cell>
        </row>
        <row r="1792">
          <cell r="A1792">
            <v>2018</v>
          </cell>
          <cell r="D1792" t="str">
            <v>DIRECTION CENTRALE DE LA CHAÎNE TAMAZIGHT</v>
          </cell>
          <cell r="V1792">
            <v>84000</v>
          </cell>
          <cell r="W1792" t="str">
            <v>Fonctionnement</v>
          </cell>
        </row>
        <row r="1793">
          <cell r="A1793">
            <v>2018</v>
          </cell>
          <cell r="D1793" t="str">
            <v>DIRECTION CENTRALE DE LA CHAÎNE TAMAZIGHT</v>
          </cell>
          <cell r="V1793">
            <v>7142.85</v>
          </cell>
          <cell r="W1793" t="str">
            <v>Fonctionnement</v>
          </cell>
        </row>
        <row r="1794">
          <cell r="A1794">
            <v>2018</v>
          </cell>
          <cell r="D1794" t="str">
            <v>DIRECTION CENTRALE DE LA CHAÎNE TAMAZIGHT</v>
          </cell>
          <cell r="V1794">
            <v>71400</v>
          </cell>
          <cell r="W1794" t="str">
            <v>Fonctionnement</v>
          </cell>
        </row>
        <row r="1795">
          <cell r="A1795">
            <v>2018</v>
          </cell>
          <cell r="D1795" t="str">
            <v>DIRECTION CENTRALE DE LA CHAÎNE TAMAZIGHT</v>
          </cell>
          <cell r="V1795">
            <v>28571.42</v>
          </cell>
          <cell r="W1795" t="str">
            <v>Fonctionnement</v>
          </cell>
        </row>
        <row r="1796">
          <cell r="A1796">
            <v>2018</v>
          </cell>
          <cell r="D1796" t="str">
            <v>DIRECTION CENTRALE DE LA CHAÎNE TAMAZIGHT</v>
          </cell>
          <cell r="V1796">
            <v>7142.85</v>
          </cell>
          <cell r="W1796" t="str">
            <v>Fonctionnement</v>
          </cell>
        </row>
        <row r="1797">
          <cell r="A1797">
            <v>2018</v>
          </cell>
          <cell r="D1797" t="str">
            <v>DIRECTION CENTRALE DE LA CHAÎNE TAMAZIGHT</v>
          </cell>
          <cell r="V1797">
            <v>7142.85</v>
          </cell>
          <cell r="W1797" t="str">
            <v>Fonctionnement</v>
          </cell>
        </row>
        <row r="1798">
          <cell r="A1798">
            <v>2018</v>
          </cell>
          <cell r="D1798" t="str">
            <v>DIRECTION CENTRALE DE LA CHAÎNE TAMAZIGHT</v>
          </cell>
          <cell r="V1798">
            <v>96000</v>
          </cell>
          <cell r="W1798" t="str">
            <v>Fonctionnement</v>
          </cell>
        </row>
        <row r="1799">
          <cell r="A1799">
            <v>2018</v>
          </cell>
          <cell r="D1799" t="str">
            <v>DIRECTION CENTRALE DE LA CHAÎNE TAMAZIGHT</v>
          </cell>
          <cell r="V1799">
            <v>96000</v>
          </cell>
          <cell r="W1799" t="str">
            <v>Fonctionnement</v>
          </cell>
        </row>
        <row r="1800">
          <cell r="A1800">
            <v>2018</v>
          </cell>
          <cell r="D1800" t="str">
            <v>DIRECTION CENTRALE DE LA CHAÎNE TAMAZIGHT</v>
          </cell>
          <cell r="V1800">
            <v>28571.42</v>
          </cell>
          <cell r="W1800" t="str">
            <v>Fonctionnement</v>
          </cell>
        </row>
        <row r="1801">
          <cell r="A1801">
            <v>2018</v>
          </cell>
          <cell r="D1801" t="str">
            <v>DIRECTION CENTRALE DE LA CHAÎNE TAMAZIGHT</v>
          </cell>
          <cell r="V1801">
            <v>7142.85</v>
          </cell>
          <cell r="W1801" t="str">
            <v>Fonctionnement</v>
          </cell>
        </row>
        <row r="1802">
          <cell r="A1802">
            <v>2018</v>
          </cell>
          <cell r="D1802" t="str">
            <v>DIRECTION CENTRALE DE LA CHAÎNE TAMAZIGHT</v>
          </cell>
          <cell r="V1802">
            <v>7142.85</v>
          </cell>
          <cell r="W1802" t="str">
            <v>Fonctionnement</v>
          </cell>
        </row>
        <row r="1803">
          <cell r="A1803">
            <v>2018</v>
          </cell>
          <cell r="D1803" t="str">
            <v>DIRECTION CENTRALE DE LA CHAÎNE TAMAZIGHT</v>
          </cell>
          <cell r="V1803">
            <v>28571.42</v>
          </cell>
          <cell r="W1803" t="str">
            <v>Fonctionnement</v>
          </cell>
        </row>
        <row r="1804">
          <cell r="A1804">
            <v>2018</v>
          </cell>
          <cell r="D1804" t="str">
            <v>DIRECTION CENTRALE DE LA CHAÎNE TAMAZIGHT</v>
          </cell>
          <cell r="V1804">
            <v>7142.85</v>
          </cell>
          <cell r="W1804" t="str">
            <v>Fonctionnement</v>
          </cell>
        </row>
        <row r="1805">
          <cell r="A1805">
            <v>2018</v>
          </cell>
          <cell r="D1805" t="str">
            <v>DIRECTION CENTRALE DE LA CHAÎNE TAMAZIGHT</v>
          </cell>
          <cell r="V1805">
            <v>7142.85</v>
          </cell>
          <cell r="W1805" t="str">
            <v>Fonctionnement</v>
          </cell>
        </row>
        <row r="1806">
          <cell r="A1806">
            <v>2018</v>
          </cell>
          <cell r="D1806" t="str">
            <v>DIRECTION CENTRALE DE LA CHAÎNE TAMAZIGHT</v>
          </cell>
          <cell r="V1806">
            <v>28571.42</v>
          </cell>
          <cell r="W1806" t="str">
            <v>Fonctionnement</v>
          </cell>
        </row>
        <row r="1807">
          <cell r="A1807">
            <v>2018</v>
          </cell>
          <cell r="D1807" t="str">
            <v>DIRECTION CENTRALE DE LA CHAÎNE TAMAZIGHT</v>
          </cell>
          <cell r="V1807">
            <v>28571.42</v>
          </cell>
          <cell r="W1807" t="str">
            <v>Fonctionnement</v>
          </cell>
        </row>
        <row r="1808">
          <cell r="A1808">
            <v>2018</v>
          </cell>
          <cell r="D1808" t="str">
            <v>DIRECTION CENTRALE DE LA CHAÎNE TAMAZIGHT</v>
          </cell>
          <cell r="V1808">
            <v>7142.85</v>
          </cell>
          <cell r="W1808" t="str">
            <v>Fonctionnement</v>
          </cell>
        </row>
        <row r="1809">
          <cell r="A1809">
            <v>2018</v>
          </cell>
          <cell r="D1809" t="str">
            <v>DIRECTION CENTRALE DE LA CHAÎNE TAMAZIGHT</v>
          </cell>
          <cell r="V1809">
            <v>7142.85</v>
          </cell>
          <cell r="W1809" t="str">
            <v>Fonctionnement</v>
          </cell>
        </row>
        <row r="1810">
          <cell r="A1810">
            <v>2018</v>
          </cell>
          <cell r="D1810" t="str">
            <v>DIRECTION CENTRALE DE LA CHAÎNE TAMAZIGHT</v>
          </cell>
          <cell r="V1810">
            <v>7142.85</v>
          </cell>
          <cell r="W1810" t="str">
            <v>Fonctionnement</v>
          </cell>
        </row>
        <row r="1811">
          <cell r="A1811">
            <v>2018</v>
          </cell>
          <cell r="D1811" t="str">
            <v>DIRECTION CENTRALE DE LA CHAÎNE TAMAZIGHT</v>
          </cell>
          <cell r="V1811">
            <v>28571.42</v>
          </cell>
          <cell r="W1811" t="str">
            <v>Fonctionnement</v>
          </cell>
        </row>
        <row r="1812">
          <cell r="A1812">
            <v>2018</v>
          </cell>
          <cell r="D1812" t="str">
            <v>DIRECTION CENTRALE DE LA CHAÎNE TAMAZIGHT</v>
          </cell>
          <cell r="V1812">
            <v>7142.85</v>
          </cell>
          <cell r="W1812" t="str">
            <v>Fonctionnement</v>
          </cell>
        </row>
        <row r="1813">
          <cell r="A1813">
            <v>2018</v>
          </cell>
          <cell r="D1813" t="str">
            <v>DIRECTION CENTRALE DE LA CHAÎNE TAMAZIGHT</v>
          </cell>
          <cell r="V1813">
            <v>7142.85</v>
          </cell>
          <cell r="W1813" t="str">
            <v>Fonctionnement</v>
          </cell>
        </row>
        <row r="1814">
          <cell r="A1814">
            <v>2018</v>
          </cell>
          <cell r="D1814" t="str">
            <v>DIRECTION CENTRALE DE LA CHAÎNE TAMAZIGHT</v>
          </cell>
          <cell r="V1814">
            <v>28571.42</v>
          </cell>
          <cell r="W1814" t="str">
            <v>Fonctionnement</v>
          </cell>
        </row>
        <row r="1815">
          <cell r="A1815">
            <v>2018</v>
          </cell>
          <cell r="D1815" t="str">
            <v>DIRECTION CENTRALE DE LA CHAÎNE TAMAZIGHT</v>
          </cell>
          <cell r="V1815">
            <v>7142.85</v>
          </cell>
          <cell r="W1815" t="str">
            <v>Fonctionnement</v>
          </cell>
        </row>
        <row r="1816">
          <cell r="A1816">
            <v>2018</v>
          </cell>
          <cell r="D1816" t="str">
            <v>DIRECTION CENTRALE DE LA CHAÎNE TAMAZIGHT</v>
          </cell>
          <cell r="V1816">
            <v>7142.85</v>
          </cell>
          <cell r="W1816" t="str">
            <v>Fonctionnement</v>
          </cell>
        </row>
        <row r="1817">
          <cell r="A1817">
            <v>2018</v>
          </cell>
          <cell r="D1817" t="str">
            <v>DIRECTION CENTRALE DE LA CHAÎNE TAMAZIGHT</v>
          </cell>
          <cell r="V1817">
            <v>28571.42</v>
          </cell>
          <cell r="W1817" t="str">
            <v>Fonctionnement</v>
          </cell>
        </row>
        <row r="1818">
          <cell r="A1818">
            <v>2018</v>
          </cell>
          <cell r="D1818" t="str">
            <v>DIRECTION CENTRALE DE LA CHAÎNE TAMAZIGHT</v>
          </cell>
          <cell r="V1818">
            <v>7142.42</v>
          </cell>
          <cell r="W1818" t="str">
            <v>Fonctionnement</v>
          </cell>
        </row>
        <row r="1819">
          <cell r="A1819">
            <v>2018</v>
          </cell>
          <cell r="D1819" t="str">
            <v>DIRECTION CENTRALE DE LA CHAÎNE TAMAZIGHT</v>
          </cell>
          <cell r="V1819">
            <v>28571.42</v>
          </cell>
          <cell r="W1819" t="str">
            <v>Fonctionnement</v>
          </cell>
        </row>
        <row r="1820">
          <cell r="A1820">
            <v>2018</v>
          </cell>
          <cell r="D1820" t="str">
            <v>DIRECTION CENTRALE DE LA CHAÎNE TAMAZIGHT</v>
          </cell>
          <cell r="V1820">
            <v>14285.71</v>
          </cell>
          <cell r="W1820" t="str">
            <v>Fonctionnement</v>
          </cell>
        </row>
        <row r="1821">
          <cell r="A1821">
            <v>2018</v>
          </cell>
          <cell r="D1821" t="str">
            <v>DIRECTION CENTRALE DE LA CHAÎNE TAMAZIGHT</v>
          </cell>
          <cell r="V1821">
            <v>7142.85</v>
          </cell>
          <cell r="W1821" t="str">
            <v>Fonctionnement</v>
          </cell>
        </row>
        <row r="1822">
          <cell r="A1822">
            <v>2018</v>
          </cell>
          <cell r="D1822" t="str">
            <v>DIRECTION CENTRALE DE LA CHAÎNE TAMAZIGHT</v>
          </cell>
          <cell r="V1822">
            <v>7142.85</v>
          </cell>
          <cell r="W1822" t="str">
            <v>Fonctionnement</v>
          </cell>
        </row>
        <row r="1823">
          <cell r="A1823">
            <v>2018</v>
          </cell>
          <cell r="D1823" t="str">
            <v>DIRECTION CENTRALE DE LA CHAÎNE TAMAZIGHT</v>
          </cell>
          <cell r="V1823">
            <v>28571.42</v>
          </cell>
          <cell r="W1823" t="str">
            <v>Fonctionnement</v>
          </cell>
        </row>
        <row r="1824">
          <cell r="A1824">
            <v>2018</v>
          </cell>
          <cell r="D1824" t="str">
            <v>DIRECTION CENTRALE DE LA CHAÎNE TAMAZIGHT</v>
          </cell>
          <cell r="V1824">
            <v>7142.85</v>
          </cell>
          <cell r="W1824" t="str">
            <v>Fonctionnement</v>
          </cell>
        </row>
        <row r="1825">
          <cell r="A1825">
            <v>2018</v>
          </cell>
          <cell r="D1825" t="str">
            <v>DIRECTION CENTRALE DE LA CHAÎNE TAMAZIGHT</v>
          </cell>
          <cell r="V1825">
            <v>7142.85</v>
          </cell>
          <cell r="W1825" t="str">
            <v>Fonctionnement</v>
          </cell>
        </row>
        <row r="1826">
          <cell r="A1826">
            <v>2018</v>
          </cell>
          <cell r="D1826" t="str">
            <v>DIRECTION CENTRALE DE LA CHAÎNE TAMAZIGHT</v>
          </cell>
          <cell r="V1826">
            <v>28571.42</v>
          </cell>
          <cell r="W1826" t="str">
            <v>Fonctionnement</v>
          </cell>
        </row>
        <row r="1827">
          <cell r="A1827">
            <v>2018</v>
          </cell>
          <cell r="D1827" t="str">
            <v>DIRECTION CENTRALE DE LA CHAÎNE TAMAZIGHT</v>
          </cell>
          <cell r="V1827">
            <v>7142.85</v>
          </cell>
          <cell r="W1827" t="str">
            <v>Fonctionnement</v>
          </cell>
        </row>
        <row r="1828">
          <cell r="A1828">
            <v>2018</v>
          </cell>
          <cell r="D1828" t="str">
            <v>DIRECTION CENTRALE DE LA CHAÎNE TAMAZIGHT</v>
          </cell>
          <cell r="V1828">
            <v>7142.85</v>
          </cell>
          <cell r="W1828" t="str">
            <v>Fonctionnement</v>
          </cell>
        </row>
        <row r="1829">
          <cell r="A1829">
            <v>2018</v>
          </cell>
          <cell r="D1829" t="str">
            <v>DIRECTION CENTRALE DE LA CHAÎNE TAMAZIGHT</v>
          </cell>
          <cell r="V1829">
            <v>28571.42</v>
          </cell>
          <cell r="W1829" t="str">
            <v>Fonctionnement</v>
          </cell>
        </row>
        <row r="1830">
          <cell r="A1830">
            <v>2018</v>
          </cell>
          <cell r="D1830" t="str">
            <v>DIRECTION CENTRALE DE LA CHAÎNE TAMAZIGHT</v>
          </cell>
          <cell r="V1830">
            <v>7142.85</v>
          </cell>
          <cell r="W1830" t="str">
            <v>Fonctionnement</v>
          </cell>
        </row>
        <row r="1831">
          <cell r="A1831">
            <v>2018</v>
          </cell>
          <cell r="D1831" t="str">
            <v>DIRECTION CENTRALE DE LA CHAÎNE TAMAZIGHT</v>
          </cell>
          <cell r="V1831">
            <v>7142.85</v>
          </cell>
          <cell r="W1831" t="str">
            <v>Fonctionnement</v>
          </cell>
        </row>
        <row r="1832">
          <cell r="A1832">
            <v>2018</v>
          </cell>
          <cell r="D1832" t="str">
            <v>DIRECTION CENTRALE DE LA CHAÎNE TAMAZIGHT</v>
          </cell>
          <cell r="V1832">
            <v>28571.42</v>
          </cell>
          <cell r="W1832" t="str">
            <v>Fonctionnement</v>
          </cell>
        </row>
        <row r="1833">
          <cell r="A1833">
            <v>2018</v>
          </cell>
          <cell r="D1833" t="str">
            <v>DIRECTION CENTRALE DE LA CHAÎNE TAMAZIGHT</v>
          </cell>
          <cell r="V1833">
            <v>7142.85</v>
          </cell>
          <cell r="W1833" t="str">
            <v>Fonctionnement</v>
          </cell>
        </row>
        <row r="1834">
          <cell r="A1834">
            <v>2018</v>
          </cell>
          <cell r="D1834" t="str">
            <v>DIRECTION CENTRALE DE LA CHAÎNE TAMAZIGHT</v>
          </cell>
          <cell r="V1834">
            <v>7142.85</v>
          </cell>
          <cell r="W1834" t="str">
            <v>Fonctionnement</v>
          </cell>
        </row>
        <row r="1835">
          <cell r="A1835">
            <v>2018</v>
          </cell>
          <cell r="D1835" t="str">
            <v>DIRECTION CENTRALE DE LA CHAÎNE TAMAZIGHT</v>
          </cell>
          <cell r="V1835">
            <v>28571.42</v>
          </cell>
          <cell r="W1835" t="str">
            <v>Fonctionnement</v>
          </cell>
        </row>
        <row r="1836">
          <cell r="A1836">
            <v>2018</v>
          </cell>
          <cell r="D1836" t="str">
            <v>DIRECTION CENTRALE DE LA CHAÎNE TAMAZIGHT</v>
          </cell>
          <cell r="V1836">
            <v>7142.85</v>
          </cell>
          <cell r="W1836" t="str">
            <v>Fonctionnement</v>
          </cell>
        </row>
        <row r="1837">
          <cell r="A1837">
            <v>2018</v>
          </cell>
          <cell r="D1837" t="str">
            <v>DIRECTION CENTRALE DE LA CHAÎNE TAMAZIGHT</v>
          </cell>
          <cell r="V1837">
            <v>7142.85</v>
          </cell>
          <cell r="W1837" t="str">
            <v>Fonctionnement</v>
          </cell>
        </row>
        <row r="1838">
          <cell r="A1838">
            <v>2018</v>
          </cell>
          <cell r="D1838" t="str">
            <v>DIRECTION CENTRALE DE LA CHAÎNE TAMAZIGHT</v>
          </cell>
          <cell r="V1838">
            <v>7142.85</v>
          </cell>
          <cell r="W1838" t="str">
            <v>Fonctionnement</v>
          </cell>
        </row>
        <row r="1839">
          <cell r="A1839">
            <v>2018</v>
          </cell>
          <cell r="D1839" t="str">
            <v>DIRECTION CENTRALE DE LA CHAÎNE TAMAZIGHT</v>
          </cell>
          <cell r="V1839">
            <v>28571.43</v>
          </cell>
          <cell r="W1839" t="str">
            <v>Fonctionnement</v>
          </cell>
        </row>
        <row r="1840">
          <cell r="A1840">
            <v>2018</v>
          </cell>
          <cell r="D1840" t="str">
            <v>DIRECTION CENTRALE DE LA CHAÎNE TAMAZIGHT</v>
          </cell>
          <cell r="V1840">
            <v>7142.85</v>
          </cell>
          <cell r="W1840" t="str">
            <v>Fonctionnement</v>
          </cell>
        </row>
        <row r="1841">
          <cell r="A1841">
            <v>2018</v>
          </cell>
          <cell r="D1841" t="str">
            <v>DIRECTION CENTRALE DE LA CHAÎNE TAMAZIGHT</v>
          </cell>
          <cell r="V1841">
            <v>7142.85</v>
          </cell>
          <cell r="W1841" t="str">
            <v>Fonctionnement</v>
          </cell>
        </row>
        <row r="1842">
          <cell r="A1842">
            <v>2018</v>
          </cell>
          <cell r="D1842" t="str">
            <v>DIRECTION CENTRALE DE LA CHAÎNE TAMAZIGHT</v>
          </cell>
          <cell r="V1842">
            <v>28571.85</v>
          </cell>
          <cell r="W1842" t="str">
            <v>Fonctionnement</v>
          </cell>
        </row>
        <row r="1843">
          <cell r="A1843">
            <v>2018</v>
          </cell>
          <cell r="D1843" t="str">
            <v>DIRECTION CENTRALE DE LA CHAÎNE TAMAZIGHT</v>
          </cell>
          <cell r="V1843">
            <v>7142.85</v>
          </cell>
          <cell r="W1843" t="str">
            <v>Fonctionnement</v>
          </cell>
        </row>
        <row r="1844">
          <cell r="A1844">
            <v>2018</v>
          </cell>
          <cell r="D1844" t="str">
            <v>DIRECTION CENTRALE DE LA CHAÎNE TAMAZIGHT</v>
          </cell>
          <cell r="V1844">
            <v>7142.85</v>
          </cell>
          <cell r="W1844" t="str">
            <v>Fonctionnement</v>
          </cell>
        </row>
        <row r="1845">
          <cell r="A1845">
            <v>2018</v>
          </cell>
          <cell r="D1845" t="str">
            <v>DIRECTION CENTRALE DE LA CHAÎNE TAMAZIGHT</v>
          </cell>
          <cell r="V1845">
            <v>28571.43</v>
          </cell>
          <cell r="W1845" t="str">
            <v>Fonctionnement</v>
          </cell>
        </row>
        <row r="1846">
          <cell r="A1846">
            <v>2018</v>
          </cell>
          <cell r="D1846" t="str">
            <v>DIRECTION CENTRALE DE LA CHAÎNE TAMAZIGHT</v>
          </cell>
          <cell r="V1846">
            <v>7142.85</v>
          </cell>
          <cell r="W1846" t="str">
            <v>Fonctionnement</v>
          </cell>
        </row>
        <row r="1847">
          <cell r="A1847">
            <v>2018</v>
          </cell>
          <cell r="D1847" t="str">
            <v>DIRECTION CENTRALE DE LA CHAÎNE TAMAZIGHT</v>
          </cell>
          <cell r="V1847">
            <v>28571.42</v>
          </cell>
          <cell r="W1847" t="str">
            <v>Fonctionnement</v>
          </cell>
        </row>
        <row r="1848">
          <cell r="A1848">
            <v>2018</v>
          </cell>
          <cell r="D1848" t="str">
            <v>DIRECTION CENTRALE DE LA CHAÎNE TAMAZIGHT</v>
          </cell>
          <cell r="V1848">
            <v>7142.85</v>
          </cell>
          <cell r="W1848" t="str">
            <v>Fonctionnement</v>
          </cell>
        </row>
        <row r="1849">
          <cell r="A1849">
            <v>2018</v>
          </cell>
          <cell r="D1849" t="str">
            <v>DIRECTION CENTRALE DE LA CHAÎNE TAMAZIGHT</v>
          </cell>
          <cell r="V1849">
            <v>28571.43</v>
          </cell>
          <cell r="W1849" t="str">
            <v>Fonctionnement</v>
          </cell>
        </row>
        <row r="1850">
          <cell r="A1850">
            <v>2018</v>
          </cell>
          <cell r="D1850" t="str">
            <v>DIRECTION CENTRALE DE LA CHAÎNE TAMAZIGHT</v>
          </cell>
          <cell r="V1850">
            <v>7142.85</v>
          </cell>
          <cell r="W1850" t="str">
            <v>Fonctionnement</v>
          </cell>
        </row>
        <row r="1851">
          <cell r="A1851">
            <v>2018</v>
          </cell>
          <cell r="D1851" t="str">
            <v>DIRECTION CENTRALE DE LA CHAÎNE TAMAZIGHT</v>
          </cell>
          <cell r="V1851">
            <v>7142.85</v>
          </cell>
          <cell r="W1851" t="str">
            <v>Fonctionnement</v>
          </cell>
        </row>
        <row r="1852">
          <cell r="A1852">
            <v>2018</v>
          </cell>
          <cell r="D1852" t="str">
            <v>DIRECTION CENTRALE DE LA CHAÎNE TAMAZIGHT</v>
          </cell>
          <cell r="V1852">
            <v>28571.42</v>
          </cell>
          <cell r="W1852" t="str">
            <v>Fonctionnement</v>
          </cell>
        </row>
        <row r="1853">
          <cell r="A1853">
            <v>2018</v>
          </cell>
          <cell r="D1853" t="str">
            <v>DIRECTION CENTRALE DE LA CHAÎNE TAMAZIGHT</v>
          </cell>
          <cell r="V1853">
            <v>7142.85</v>
          </cell>
          <cell r="W1853" t="str">
            <v>Fonctionnement</v>
          </cell>
        </row>
        <row r="1854">
          <cell r="A1854">
            <v>2018</v>
          </cell>
          <cell r="D1854" t="str">
            <v>DIRECTION CENTRALE DE LA CHAÎNE TAMAZIGHT</v>
          </cell>
          <cell r="V1854">
            <v>7142.85</v>
          </cell>
          <cell r="W1854" t="str">
            <v>Fonctionnement</v>
          </cell>
        </row>
        <row r="1855">
          <cell r="A1855">
            <v>2018</v>
          </cell>
          <cell r="D1855" t="str">
            <v>DIRECTION CENTRALE DE LA CHAÎNE TAMAZIGHT</v>
          </cell>
          <cell r="V1855">
            <v>28571.42</v>
          </cell>
          <cell r="W1855" t="str">
            <v>Fonctionnement</v>
          </cell>
        </row>
        <row r="1856">
          <cell r="A1856">
            <v>2018</v>
          </cell>
          <cell r="D1856" t="str">
            <v>DIRECTION CENTRALE DE LA CHAÎNE TAMAZIGHT</v>
          </cell>
          <cell r="V1856">
            <v>7142.85</v>
          </cell>
          <cell r="W1856" t="str">
            <v>Fonctionnement</v>
          </cell>
        </row>
        <row r="1857">
          <cell r="A1857">
            <v>2018</v>
          </cell>
          <cell r="D1857" t="str">
            <v>DIRECTION CENTRALE DE LA CHAÎNE TAMAZIGHT</v>
          </cell>
          <cell r="V1857">
            <v>7142.85</v>
          </cell>
          <cell r="W1857" t="str">
            <v>Fonctionnement</v>
          </cell>
        </row>
        <row r="1858">
          <cell r="A1858">
            <v>2018</v>
          </cell>
          <cell r="D1858" t="str">
            <v>DIRECTION CENTRALE DE LA CHAÎNE TAMAZIGHT</v>
          </cell>
          <cell r="V1858">
            <v>7142.85</v>
          </cell>
          <cell r="W1858" t="str">
            <v>Fonctionnement</v>
          </cell>
        </row>
        <row r="1859">
          <cell r="A1859">
            <v>2018</v>
          </cell>
          <cell r="D1859" t="str">
            <v>DIRECTION CENTRALE DE LA CHAÎNE TAMAZIGHT</v>
          </cell>
          <cell r="V1859">
            <v>7142.42</v>
          </cell>
          <cell r="W1859" t="str">
            <v>Fonctionnement</v>
          </cell>
        </row>
        <row r="1860">
          <cell r="A1860">
            <v>2018</v>
          </cell>
          <cell r="D1860" t="str">
            <v>DIRECTION CENTRALE DE LA CHAÎNE TAMAZIGHT</v>
          </cell>
          <cell r="V1860">
            <v>28571.42</v>
          </cell>
          <cell r="W1860" t="str">
            <v>Fonctionnement</v>
          </cell>
        </row>
        <row r="1861">
          <cell r="A1861">
            <v>2018</v>
          </cell>
          <cell r="D1861" t="str">
            <v>DIRECTION CENTRALE DE LA CHAÎNE TAMAZIGHT</v>
          </cell>
          <cell r="V1861">
            <v>7142.85</v>
          </cell>
          <cell r="W1861" t="str">
            <v>Fonctionnement</v>
          </cell>
        </row>
        <row r="1862">
          <cell r="A1862">
            <v>2018</v>
          </cell>
          <cell r="D1862" t="str">
            <v>DIRECTION CENTRALE DE LA CHAÎNE TAMAZIGHT</v>
          </cell>
          <cell r="V1862">
            <v>7142.85</v>
          </cell>
          <cell r="W1862" t="str">
            <v>Fonctionnement</v>
          </cell>
        </row>
        <row r="1863">
          <cell r="A1863">
            <v>2018</v>
          </cell>
          <cell r="D1863" t="str">
            <v>DIRECTION CENTRALE DE LA CHAÎNE TAMAZIGHT</v>
          </cell>
          <cell r="V1863">
            <v>28571.42</v>
          </cell>
          <cell r="W1863" t="str">
            <v>Fonctionnement</v>
          </cell>
        </row>
        <row r="1864">
          <cell r="A1864">
            <v>2018</v>
          </cell>
          <cell r="D1864" t="str">
            <v>DIRECTION CENTRALE DE LA CHAÎNE TAMAZIGHT</v>
          </cell>
          <cell r="V1864">
            <v>28571.42</v>
          </cell>
          <cell r="W1864" t="str">
            <v>Fonctionnement</v>
          </cell>
        </row>
        <row r="1865">
          <cell r="A1865">
            <v>2018</v>
          </cell>
          <cell r="D1865" t="str">
            <v>DIRECTION CENTRALE DE LA CHAÎNE TAMAZIGHT</v>
          </cell>
          <cell r="V1865">
            <v>7142.85</v>
          </cell>
          <cell r="W1865" t="str">
            <v>Fonctionnement</v>
          </cell>
        </row>
        <row r="1866">
          <cell r="A1866">
            <v>2018</v>
          </cell>
          <cell r="D1866" t="str">
            <v>DIRECTION CENTRALE DE LA CHAÎNE TAMAZIGHT</v>
          </cell>
          <cell r="V1866">
            <v>7142.85</v>
          </cell>
          <cell r="W1866" t="str">
            <v>Fonctionnement</v>
          </cell>
        </row>
        <row r="1867">
          <cell r="A1867">
            <v>2018</v>
          </cell>
          <cell r="D1867" t="str">
            <v>DIRECTION CENTRALE DE LA CHAÎNE TAMAZIGHT</v>
          </cell>
          <cell r="V1867">
            <v>7142.85</v>
          </cell>
          <cell r="W1867" t="str">
            <v>Fonctionnement</v>
          </cell>
        </row>
        <row r="1868">
          <cell r="A1868">
            <v>2018</v>
          </cell>
          <cell r="D1868" t="str">
            <v>DIRECTION CENTRALE DE LA CHAÎNE TAMAZIGHT</v>
          </cell>
          <cell r="V1868">
            <v>7142.85</v>
          </cell>
          <cell r="W1868" t="str">
            <v>Fonctionnement</v>
          </cell>
        </row>
        <row r="1869">
          <cell r="A1869">
            <v>2018</v>
          </cell>
          <cell r="D1869" t="str">
            <v>DIRECTION CENTRALE DE LA CHAÎNE TAMAZIGHT</v>
          </cell>
          <cell r="V1869">
            <v>7142.85</v>
          </cell>
          <cell r="W1869" t="str">
            <v>Fonctionnement</v>
          </cell>
        </row>
        <row r="1870">
          <cell r="A1870">
            <v>2018</v>
          </cell>
          <cell r="D1870" t="str">
            <v>DIRECTION CENTRALE DE LA CHAÎNE TAMAZIGHT</v>
          </cell>
          <cell r="V1870">
            <v>28571.42</v>
          </cell>
          <cell r="W1870" t="str">
            <v>Fonctionnement</v>
          </cell>
        </row>
        <row r="1871">
          <cell r="A1871">
            <v>2018</v>
          </cell>
          <cell r="D1871" t="str">
            <v>DIRECTION CENTRALE DE LA CHAÎNE TAMAZIGHT</v>
          </cell>
          <cell r="V1871">
            <v>28571.42</v>
          </cell>
          <cell r="W1871" t="str">
            <v>Fonctionnement</v>
          </cell>
        </row>
        <row r="1872">
          <cell r="A1872">
            <v>2018</v>
          </cell>
          <cell r="D1872" t="str">
            <v>DIRECTION CENTRALE DE LA CHAÎNE TAMAZIGHT</v>
          </cell>
          <cell r="V1872">
            <v>7142.85</v>
          </cell>
          <cell r="W1872" t="str">
            <v>Fonctionnement</v>
          </cell>
        </row>
        <row r="1873">
          <cell r="A1873">
            <v>2018</v>
          </cell>
          <cell r="D1873" t="str">
            <v>DIRECTION CENTRALE DE LA CHAÎNE TAMAZIGHT</v>
          </cell>
          <cell r="V1873">
            <v>7142.85</v>
          </cell>
          <cell r="W1873" t="str">
            <v>Fonctionnement</v>
          </cell>
        </row>
        <row r="1874">
          <cell r="A1874">
            <v>2018</v>
          </cell>
          <cell r="D1874" t="str">
            <v>DIRECTION CENTRALE DE LA CHAÎNE TAMAZIGHT</v>
          </cell>
          <cell r="V1874">
            <v>28571.42</v>
          </cell>
          <cell r="W1874" t="str">
            <v>Fonctionnement</v>
          </cell>
        </row>
        <row r="1875">
          <cell r="A1875">
            <v>2018</v>
          </cell>
          <cell r="D1875" t="str">
            <v>DIRECTION CENTRALE DE LA CHAÎNE TAMAZIGHT</v>
          </cell>
          <cell r="V1875">
            <v>96000</v>
          </cell>
          <cell r="W1875" t="str">
            <v>Fonctionnement</v>
          </cell>
        </row>
        <row r="1876">
          <cell r="A1876">
            <v>2018</v>
          </cell>
          <cell r="D1876" t="str">
            <v>DIRECTION CENTRALE DE LA CHAÎNE TAMAZIGHT</v>
          </cell>
          <cell r="V1876">
            <v>96000</v>
          </cell>
          <cell r="W1876" t="str">
            <v>Fonctionnement</v>
          </cell>
        </row>
        <row r="1877">
          <cell r="A1877">
            <v>2018</v>
          </cell>
          <cell r="D1877" t="str">
            <v>DIRECTION CENTRALE DE LA CHAÎNE TAMAZIGHT</v>
          </cell>
          <cell r="V1877">
            <v>78000</v>
          </cell>
          <cell r="W1877" t="str">
            <v>Fonctionnement</v>
          </cell>
        </row>
        <row r="1878">
          <cell r="A1878">
            <v>2018</v>
          </cell>
          <cell r="D1878" t="str">
            <v>DIRECTION CENTRALE DE LA CHAÎNE TAMAZIGHT</v>
          </cell>
          <cell r="V1878">
            <v>84000</v>
          </cell>
          <cell r="W1878" t="str">
            <v>Fonctionnement</v>
          </cell>
        </row>
        <row r="1879">
          <cell r="A1879">
            <v>2018</v>
          </cell>
          <cell r="D1879" t="str">
            <v>DIRECTION CENTRALE DE LA CHAÎNE TAMAZIGHT</v>
          </cell>
          <cell r="V1879">
            <v>109200</v>
          </cell>
          <cell r="W1879" t="str">
            <v>Fonctionnement</v>
          </cell>
        </row>
        <row r="1880">
          <cell r="A1880">
            <v>2018</v>
          </cell>
          <cell r="D1880" t="str">
            <v>DIRECTION CENTRALE DE LA CHAÎNE TAMAZIGHT</v>
          </cell>
          <cell r="V1880">
            <v>96000</v>
          </cell>
          <cell r="W1880" t="str">
            <v>Fonctionnement</v>
          </cell>
        </row>
        <row r="1881">
          <cell r="A1881">
            <v>2018</v>
          </cell>
          <cell r="D1881" t="str">
            <v>DIRECTION CENTRALE DE LA CHAÎNE TAMAZIGHT</v>
          </cell>
          <cell r="V1881">
            <v>72000</v>
          </cell>
          <cell r="W1881" t="str">
            <v>Fonctionnement</v>
          </cell>
        </row>
        <row r="1882">
          <cell r="A1882">
            <v>2018</v>
          </cell>
          <cell r="D1882" t="str">
            <v>DIRECTION CENTRALE DE LA CHAÎNE TAMAZIGHT</v>
          </cell>
          <cell r="V1882">
            <v>72000</v>
          </cell>
          <cell r="W1882" t="str">
            <v>Fonctionnement</v>
          </cell>
        </row>
        <row r="1883">
          <cell r="A1883">
            <v>2018</v>
          </cell>
          <cell r="D1883" t="str">
            <v>DIRECTION CENTRALE DE LA CHAÎNE TAMAZIGHT</v>
          </cell>
          <cell r="V1883">
            <v>117000</v>
          </cell>
          <cell r="W1883" t="str">
            <v>Fonctionnement</v>
          </cell>
        </row>
        <row r="1884">
          <cell r="A1884">
            <v>2018</v>
          </cell>
          <cell r="D1884" t="str">
            <v>DIRECTION CENTRALE DE LA CHAÎNE TAMAZIGHT</v>
          </cell>
          <cell r="V1884">
            <v>84000</v>
          </cell>
          <cell r="W1884" t="str">
            <v>Fonctionnement</v>
          </cell>
        </row>
        <row r="1885">
          <cell r="A1885">
            <v>2018</v>
          </cell>
          <cell r="D1885" t="str">
            <v>DIRECTION CENTRALE DE LA CHAÎNE TAMAZIGHT</v>
          </cell>
          <cell r="V1885">
            <v>109200</v>
          </cell>
          <cell r="W1885" t="str">
            <v>Fonctionnement</v>
          </cell>
        </row>
        <row r="1886">
          <cell r="A1886">
            <v>2018</v>
          </cell>
          <cell r="D1886" t="str">
            <v>DIRECTION CENTRALE DE LA CHAÎNE TAMAZIGHT</v>
          </cell>
          <cell r="V1886">
            <v>72000</v>
          </cell>
          <cell r="W1886" t="str">
            <v>Fonctionnement</v>
          </cell>
        </row>
        <row r="1887">
          <cell r="A1887">
            <v>2018</v>
          </cell>
          <cell r="D1887" t="str">
            <v>DIRECTION CENTRALE DE LA CHAÎNE TAMAZIGHT</v>
          </cell>
          <cell r="V1887">
            <v>124800</v>
          </cell>
          <cell r="W1887" t="str">
            <v>Fonctionnement</v>
          </cell>
        </row>
        <row r="1888">
          <cell r="A1888">
            <v>2018</v>
          </cell>
          <cell r="D1888" t="str">
            <v>DIRECTION CENTRALE DE LA CHAÎNE TAMAZIGHT</v>
          </cell>
          <cell r="V1888">
            <v>78000</v>
          </cell>
          <cell r="W1888" t="str">
            <v>Fonctionnement</v>
          </cell>
        </row>
        <row r="1889">
          <cell r="A1889">
            <v>2018</v>
          </cell>
          <cell r="D1889" t="str">
            <v>DIRECTION CENTRALE DE LA CHAÎNE TAMAZIGHT</v>
          </cell>
          <cell r="V1889">
            <v>109200</v>
          </cell>
          <cell r="W1889" t="str">
            <v>Fonctionnement</v>
          </cell>
        </row>
        <row r="1890">
          <cell r="A1890">
            <v>2018</v>
          </cell>
          <cell r="D1890" t="str">
            <v>DIRECTION CENTRALE DE LA CHAÎNE TAMAZIGHT</v>
          </cell>
          <cell r="V1890">
            <v>108000</v>
          </cell>
          <cell r="W1890" t="str">
            <v>Fonctionnement</v>
          </cell>
        </row>
        <row r="1891">
          <cell r="A1891">
            <v>2018</v>
          </cell>
          <cell r="D1891" t="str">
            <v>DIRECTION CENTRALE DE LA CHAÎNE TAMAZIGHT</v>
          </cell>
          <cell r="V1891">
            <v>96000</v>
          </cell>
          <cell r="W1891" t="str">
            <v>Fonctionnement</v>
          </cell>
        </row>
        <row r="1892">
          <cell r="A1892">
            <v>2018</v>
          </cell>
          <cell r="D1892" t="str">
            <v>DIRECTION CENTRALE DE LA CHAÎNE TAMAZIGHT</v>
          </cell>
          <cell r="V1892">
            <v>85800</v>
          </cell>
          <cell r="W1892" t="str">
            <v>Fonctionnement</v>
          </cell>
        </row>
        <row r="1893">
          <cell r="A1893">
            <v>2018</v>
          </cell>
          <cell r="D1893" t="str">
            <v>DIRECTION CENTRALE DE LA CHAÎNE TAMAZIGHT</v>
          </cell>
          <cell r="V1893">
            <v>90000</v>
          </cell>
          <cell r="W1893" t="str">
            <v>Fonctionnement</v>
          </cell>
        </row>
        <row r="1894">
          <cell r="A1894">
            <v>2018</v>
          </cell>
          <cell r="D1894" t="str">
            <v>DIRECTION CENTRALE DE LA CHAÎNE TAMAZIGHT</v>
          </cell>
          <cell r="V1894">
            <v>84000</v>
          </cell>
          <cell r="W1894" t="str">
            <v>Fonctionnement</v>
          </cell>
        </row>
        <row r="1895">
          <cell r="A1895">
            <v>2018</v>
          </cell>
          <cell r="D1895" t="str">
            <v>DIRECTION CENTRALE DE LA CHAÎNE TAMAZIGHT</v>
          </cell>
          <cell r="V1895">
            <v>84000</v>
          </cell>
          <cell r="W1895" t="str">
            <v>Fonctionnement</v>
          </cell>
        </row>
        <row r="1896">
          <cell r="A1896">
            <v>2018</v>
          </cell>
          <cell r="D1896" t="str">
            <v>DIRECTION CENTRALE DE LA CHAÎNE TAMAZIGHT</v>
          </cell>
          <cell r="V1896">
            <v>171428.52</v>
          </cell>
          <cell r="W1896" t="str">
            <v>Fonctionnement</v>
          </cell>
        </row>
        <row r="1897">
          <cell r="A1897">
            <v>2018</v>
          </cell>
          <cell r="D1897" t="str">
            <v>DIRECTION CENTRALE DE LA CHAÎNE TAMAZIGHT</v>
          </cell>
          <cell r="V1897">
            <v>180000</v>
          </cell>
          <cell r="W1897" t="str">
            <v>Fonctionnement</v>
          </cell>
        </row>
        <row r="1898">
          <cell r="A1898">
            <v>2018</v>
          </cell>
          <cell r="D1898" t="str">
            <v>DIRECTION CENTRALE DE LA CHAÎNE TAMAZIGHT</v>
          </cell>
          <cell r="V1898">
            <v>216000</v>
          </cell>
          <cell r="W1898" t="str">
            <v>Fonctionnement</v>
          </cell>
        </row>
        <row r="1899">
          <cell r="A1899">
            <v>2018</v>
          </cell>
          <cell r="D1899" t="str">
            <v>DIRECTION CENTRALE DE LA CHAÎNE TAMAZIGHT</v>
          </cell>
          <cell r="V1899">
            <v>316800</v>
          </cell>
          <cell r="W1899" t="str">
            <v>Fonctionnement</v>
          </cell>
        </row>
        <row r="1900">
          <cell r="A1900">
            <v>2018</v>
          </cell>
          <cell r="D1900" t="str">
            <v>DIRECTION CENTRALE DE LA CHAÎNE TAMAZIGHT</v>
          </cell>
          <cell r="V1900">
            <v>384000</v>
          </cell>
          <cell r="W1900" t="str">
            <v>Fonctionnement</v>
          </cell>
        </row>
        <row r="1901">
          <cell r="A1901">
            <v>2018</v>
          </cell>
          <cell r="D1901" t="str">
            <v>DIRECTION CENTRALE DE LA CHAÎNE TAMAZIGHT</v>
          </cell>
          <cell r="V1901">
            <v>140000</v>
          </cell>
          <cell r="W1901" t="str">
            <v>Fonctionnement</v>
          </cell>
        </row>
        <row r="1902">
          <cell r="A1902">
            <v>2018</v>
          </cell>
          <cell r="D1902" t="str">
            <v>DIRECTION CENTRALE DE LA CHAÎNE TAMAZIGHT</v>
          </cell>
          <cell r="V1902">
            <v>140000</v>
          </cell>
          <cell r="W1902" t="str">
            <v>Fonctionnement</v>
          </cell>
        </row>
        <row r="1903">
          <cell r="A1903">
            <v>2018</v>
          </cell>
          <cell r="D1903" t="str">
            <v>DIRECTION CENTRALE DE LA CHAÎNE TAMAZIGHT</v>
          </cell>
          <cell r="V1903">
            <v>140000</v>
          </cell>
          <cell r="W1903" t="str">
            <v>Fonctionnement</v>
          </cell>
        </row>
        <row r="1904">
          <cell r="A1904">
            <v>2018</v>
          </cell>
          <cell r="D1904" t="str">
            <v>DIRECTION CENTRALE DE LA CHAÎNE TAMAZIGHT</v>
          </cell>
          <cell r="V1904">
            <v>140000</v>
          </cell>
          <cell r="W1904" t="str">
            <v>Fonctionnement</v>
          </cell>
        </row>
        <row r="1905">
          <cell r="A1905">
            <v>2018</v>
          </cell>
          <cell r="D1905" t="str">
            <v>DIRECTION CENTRALE DE LA CHAÎNE TAMAZIGHT</v>
          </cell>
          <cell r="V1905">
            <v>140000</v>
          </cell>
          <cell r="W1905" t="str">
            <v>Fonctionnement</v>
          </cell>
        </row>
        <row r="1906">
          <cell r="A1906">
            <v>2018</v>
          </cell>
          <cell r="D1906" t="str">
            <v>DIRECTION CENTRALE DE LA CHAÎNE TAMAZIGHT</v>
          </cell>
          <cell r="V1906">
            <v>140000</v>
          </cell>
          <cell r="W1906" t="str">
            <v>Fonctionnement</v>
          </cell>
        </row>
        <row r="1907">
          <cell r="A1907">
            <v>2018</v>
          </cell>
          <cell r="D1907" t="str">
            <v>DIRECTION CENTRALE DE LA CHAÎNE TAMAZIGHT</v>
          </cell>
          <cell r="V1907">
            <v>140000</v>
          </cell>
          <cell r="W1907" t="str">
            <v>Fonctionnement</v>
          </cell>
        </row>
        <row r="1908">
          <cell r="A1908">
            <v>2018</v>
          </cell>
          <cell r="D1908" t="str">
            <v>DIRECTION CENTRALE DE LA CHAÎNE TAMAZIGHT</v>
          </cell>
          <cell r="V1908">
            <v>140000</v>
          </cell>
          <cell r="W1908" t="str">
            <v>Fonctionnement</v>
          </cell>
        </row>
        <row r="1909">
          <cell r="A1909">
            <v>2018</v>
          </cell>
          <cell r="D1909" t="str">
            <v>DIRECTION CENTRALE DE LA CHAÎNE TAMAZIGHT</v>
          </cell>
          <cell r="V1909">
            <v>100000</v>
          </cell>
          <cell r="W1909" t="str">
            <v>Fonctionnement</v>
          </cell>
        </row>
        <row r="1910">
          <cell r="A1910">
            <v>2018</v>
          </cell>
          <cell r="D1910" t="str">
            <v>DIRECTION CENTRALE DE LA CHAÎNE TAMAZIGHT</v>
          </cell>
          <cell r="V1910">
            <v>140000</v>
          </cell>
          <cell r="W1910" t="str">
            <v>Fonctionnement</v>
          </cell>
        </row>
        <row r="1911">
          <cell r="A1911">
            <v>2019</v>
          </cell>
          <cell r="D1911" t="str">
            <v>DIRECTION CENTRALE DE LA PRODUCTION ET DE L'ANTENNE</v>
          </cell>
          <cell r="V1911">
            <v>2567314.94</v>
          </cell>
          <cell r="W1911" t="str">
            <v>Fonctionnement</v>
          </cell>
        </row>
        <row r="1912">
          <cell r="A1912">
            <v>2019</v>
          </cell>
          <cell r="D1912" t="str">
            <v>DIRECTION CENTRALE DE LA PRODUCTION ET DE L'ANTENNE</v>
          </cell>
          <cell r="V1912">
            <v>204000</v>
          </cell>
          <cell r="W1912" t="str">
            <v>Fonctionnement</v>
          </cell>
        </row>
        <row r="1913">
          <cell r="A1913">
            <v>2019</v>
          </cell>
          <cell r="D1913" t="str">
            <v>DIRECTION CENTRALE DE LA PRODUCTION ET DE L'ANTENNE</v>
          </cell>
          <cell r="V1913">
            <v>238000</v>
          </cell>
          <cell r="W1913" t="str">
            <v>Fonctionnement</v>
          </cell>
        </row>
        <row r="1914">
          <cell r="A1914">
            <v>2019</v>
          </cell>
          <cell r="D1914" t="str">
            <v>DIRECTION CENTRALE DE LA PRODUCTION ET DE L'ANTENNE</v>
          </cell>
          <cell r="V1914">
            <v>170000</v>
          </cell>
          <cell r="W1914" t="str">
            <v>Fonctionnement</v>
          </cell>
        </row>
        <row r="1915">
          <cell r="A1915">
            <v>2019</v>
          </cell>
          <cell r="D1915" t="str">
            <v>DIRECTION CENTRALE DE LA PRODUCTION ET DE L'ANTENNE</v>
          </cell>
          <cell r="V1915">
            <v>154000</v>
          </cell>
          <cell r="W1915" t="str">
            <v>Fonctionnement</v>
          </cell>
        </row>
        <row r="1916">
          <cell r="A1916">
            <v>2019</v>
          </cell>
          <cell r="D1916" t="str">
            <v>DIRECTION CENTRALE DE LA PRODUCTION ET DE L'ANTENNE</v>
          </cell>
          <cell r="V1916">
            <v>1123200</v>
          </cell>
          <cell r="W1916" t="str">
            <v>Fonctionnement</v>
          </cell>
        </row>
        <row r="1917">
          <cell r="A1917">
            <v>2019</v>
          </cell>
          <cell r="D1917" t="str">
            <v>DIRECTION CENTRALE DE LA PRODUCTION ET DE L'ANTENNE</v>
          </cell>
          <cell r="V1917">
            <v>890736</v>
          </cell>
          <cell r="W1917" t="str">
            <v>Fonctionnement</v>
          </cell>
        </row>
        <row r="1918">
          <cell r="A1918">
            <v>2019</v>
          </cell>
          <cell r="D1918" t="str">
            <v>DIRECTION CENTRALE DE LA PRODUCTION ET DE L'ANTENNE</v>
          </cell>
          <cell r="V1918">
            <v>869515.77599999995</v>
          </cell>
          <cell r="W1918" t="str">
            <v>Fonctionnement</v>
          </cell>
        </row>
        <row r="1919">
          <cell r="A1919">
            <v>2019</v>
          </cell>
          <cell r="D1919" t="str">
            <v>DIRECTION CENTRALE DE LA PRODUCTION ET DE L'ANTENNE</v>
          </cell>
          <cell r="V1919">
            <v>240000</v>
          </cell>
          <cell r="W1919" t="str">
            <v>Fonctionnement</v>
          </cell>
        </row>
        <row r="1920">
          <cell r="A1920">
            <v>2019</v>
          </cell>
          <cell r="D1920" t="str">
            <v>DIRECTION CENTRALE DE LA PRODUCTION ET DE L'ANTENNE</v>
          </cell>
          <cell r="V1920">
            <v>192000</v>
          </cell>
          <cell r="W1920" t="str">
            <v>Fonctionnement</v>
          </cell>
        </row>
        <row r="1921">
          <cell r="A1921">
            <v>2019</v>
          </cell>
          <cell r="D1921" t="str">
            <v>DIRECTION CENTRALE DE LA PRODUCTION ET DE L'ANTENNE</v>
          </cell>
          <cell r="V1921">
            <v>68571.839999999997</v>
          </cell>
          <cell r="W1921" t="str">
            <v>Fonctionnement</v>
          </cell>
        </row>
        <row r="1922">
          <cell r="A1922">
            <v>2019</v>
          </cell>
          <cell r="D1922" t="str">
            <v>DIRECTION CENTRALE DE LA PRODUCTION ET DE L'ANTENNE</v>
          </cell>
          <cell r="V1922">
            <v>122400</v>
          </cell>
          <cell r="W1922" t="str">
            <v>Fonctionnement</v>
          </cell>
        </row>
        <row r="1923">
          <cell r="A1923">
            <v>2019</v>
          </cell>
          <cell r="D1923" t="str">
            <v>DIRECTION CENTRALE DE LA PRODUCTION ET DE L'ANTENNE</v>
          </cell>
          <cell r="V1923">
            <v>484000</v>
          </cell>
          <cell r="W1923" t="str">
            <v>Fonctionnement</v>
          </cell>
        </row>
        <row r="1924">
          <cell r="A1924">
            <v>2019</v>
          </cell>
          <cell r="D1924" t="str">
            <v>DIRECTION CENTRALE DE LA PRODUCTION ET DE L'ANTENNE</v>
          </cell>
          <cell r="V1924">
            <v>200000</v>
          </cell>
          <cell r="W1924" t="str">
            <v>Fonctionnement</v>
          </cell>
        </row>
        <row r="1925">
          <cell r="A1925">
            <v>2019</v>
          </cell>
          <cell r="D1925" t="str">
            <v>DIRECTION CENTRALE DE LA PRODUCTION ET DE L'ANTENNE</v>
          </cell>
          <cell r="V1925">
            <v>200000</v>
          </cell>
          <cell r="W1925" t="str">
            <v>Fonctionnement</v>
          </cell>
        </row>
        <row r="1926">
          <cell r="A1926">
            <v>2019</v>
          </cell>
          <cell r="D1926" t="str">
            <v>DIRECTION CENTRALE DE LA PRODUCTION ET DE L'ANTENNE</v>
          </cell>
          <cell r="V1926">
            <v>200000</v>
          </cell>
          <cell r="W1926" t="str">
            <v>Fonctionnement</v>
          </cell>
        </row>
        <row r="1927">
          <cell r="A1927">
            <v>2019</v>
          </cell>
          <cell r="D1927" t="str">
            <v>DIRECTION CENTRALE DE LA PRODUCTION ET DE L'ANTENNE</v>
          </cell>
          <cell r="V1927">
            <v>300000</v>
          </cell>
          <cell r="W1927" t="str">
            <v>Fonctionnement</v>
          </cell>
        </row>
        <row r="1928">
          <cell r="A1928">
            <v>2019</v>
          </cell>
          <cell r="D1928" t="str">
            <v>DIRECTION CENTRALE DE LA PRODUCTION ET DE L'ANTENNE</v>
          </cell>
          <cell r="V1928">
            <v>180000</v>
          </cell>
          <cell r="W1928" t="str">
            <v>Fonctionnement</v>
          </cell>
        </row>
        <row r="1929">
          <cell r="A1929">
            <v>2019</v>
          </cell>
          <cell r="D1929" t="str">
            <v>DIRECTION CENTRALE DE LA PRODUCTION ET DE L'ANTENNE</v>
          </cell>
          <cell r="V1929">
            <v>200000</v>
          </cell>
          <cell r="W1929" t="str">
            <v>Fonctionnement</v>
          </cell>
        </row>
        <row r="1930">
          <cell r="A1930">
            <v>2019</v>
          </cell>
          <cell r="D1930" t="str">
            <v>DIRECTION CENTRALE DE LA PRODUCTION ET DE L'ANTENNE</v>
          </cell>
          <cell r="V1930">
            <v>200000</v>
          </cell>
          <cell r="W1930" t="str">
            <v>Fonctionnement</v>
          </cell>
        </row>
        <row r="1931">
          <cell r="A1931">
            <v>2019</v>
          </cell>
          <cell r="D1931" t="str">
            <v>DIRECTION CENTRALE DE LA PRODUCTION ET DE L'ANTENNE</v>
          </cell>
          <cell r="V1931">
            <v>20000</v>
          </cell>
          <cell r="W1931" t="str">
            <v>Fonctionnement</v>
          </cell>
        </row>
        <row r="1932">
          <cell r="A1932">
            <v>2019</v>
          </cell>
          <cell r="D1932" t="str">
            <v>DIRECTION CENTRALE DE LA PRODUCTION ET DE L'ANTENNE</v>
          </cell>
          <cell r="V1932">
            <v>15000</v>
          </cell>
          <cell r="W1932" t="str">
            <v>Fonctionnement</v>
          </cell>
        </row>
        <row r="1933">
          <cell r="A1933">
            <v>2019</v>
          </cell>
          <cell r="D1933" t="str">
            <v>DIRECTION CENTRALE DE LA PRODUCTION ET DE L'ANTENNE</v>
          </cell>
          <cell r="V1933">
            <v>15000</v>
          </cell>
          <cell r="W1933" t="str">
            <v>Fonctionnement</v>
          </cell>
        </row>
        <row r="1934">
          <cell r="A1934">
            <v>2019</v>
          </cell>
          <cell r="D1934" t="str">
            <v>DIRECTION CENTRALE DE LA PRODUCTION ET DE L'ANTENNE</v>
          </cell>
          <cell r="V1934">
            <v>15000</v>
          </cell>
          <cell r="W1934" t="str">
            <v>Fonctionnement</v>
          </cell>
        </row>
        <row r="1935">
          <cell r="A1935">
            <v>2019</v>
          </cell>
          <cell r="D1935" t="str">
            <v>DIRECTION CENTRALE DE LA PRODUCTION ET DE L'ANTENNE</v>
          </cell>
          <cell r="V1935">
            <v>20000</v>
          </cell>
          <cell r="W1935" t="str">
            <v>Fonctionnement</v>
          </cell>
        </row>
        <row r="1936">
          <cell r="A1936">
            <v>2019</v>
          </cell>
          <cell r="D1936" t="str">
            <v>DIRECTION CENTRALE DE LA PRODUCTION ET DE L'ANTENNE</v>
          </cell>
          <cell r="V1936">
            <v>15000</v>
          </cell>
          <cell r="W1936" t="str">
            <v>Fonctionnement</v>
          </cell>
        </row>
        <row r="1937">
          <cell r="A1937">
            <v>2019</v>
          </cell>
          <cell r="D1937" t="str">
            <v>DIRECTION CENTRALE DE LA PRODUCTION ET DE L'ANTENNE</v>
          </cell>
          <cell r="V1937">
            <v>25000</v>
          </cell>
          <cell r="W1937" t="str">
            <v>Fonctionnement</v>
          </cell>
        </row>
        <row r="1938">
          <cell r="A1938">
            <v>2019</v>
          </cell>
          <cell r="D1938" t="str">
            <v>DIRECTION CENTRALE DE LA PRODUCTION ET DE L'ANTENNE</v>
          </cell>
          <cell r="V1938">
            <v>35000</v>
          </cell>
          <cell r="W1938" t="str">
            <v>Fonctionnement</v>
          </cell>
        </row>
        <row r="1939">
          <cell r="A1939">
            <v>2019</v>
          </cell>
          <cell r="D1939" t="str">
            <v>DIRECTION CENTRALE DE LA PRODUCTION ET DE L'ANTENNE</v>
          </cell>
          <cell r="V1939">
            <v>20000</v>
          </cell>
          <cell r="W1939" t="str">
            <v>Fonctionnement</v>
          </cell>
        </row>
        <row r="1940">
          <cell r="A1940">
            <v>2019</v>
          </cell>
          <cell r="D1940" t="str">
            <v>DIRECTION CENTRALE DE LA PRODUCTION ET DE L'ANTENNE</v>
          </cell>
          <cell r="V1940">
            <v>15000</v>
          </cell>
          <cell r="W1940" t="str">
            <v>Fonctionnement</v>
          </cell>
        </row>
        <row r="1941">
          <cell r="A1941">
            <v>2019</v>
          </cell>
          <cell r="D1941" t="str">
            <v>DIRECTION CENTRALE DE LA PRODUCTION ET DE L'ANTENNE</v>
          </cell>
          <cell r="V1941">
            <v>15000</v>
          </cell>
          <cell r="W1941" t="str">
            <v>Fonctionnement</v>
          </cell>
        </row>
        <row r="1942">
          <cell r="A1942">
            <v>2019</v>
          </cell>
          <cell r="D1942" t="str">
            <v>DIRECTION CENTRALE DE LA PRODUCTION ET DE L'ANTENNE</v>
          </cell>
          <cell r="V1942">
            <v>20000</v>
          </cell>
          <cell r="W1942" t="str">
            <v>Fonctionnement</v>
          </cell>
        </row>
        <row r="1943">
          <cell r="A1943">
            <v>2019</v>
          </cell>
          <cell r="D1943" t="str">
            <v>DIRECTION CENTRALE DE LA PRODUCTION ET DE L'ANTENNE</v>
          </cell>
          <cell r="V1943">
            <v>15000</v>
          </cell>
          <cell r="W1943" t="str">
            <v>Fonctionnement</v>
          </cell>
        </row>
        <row r="1944">
          <cell r="A1944">
            <v>2019</v>
          </cell>
          <cell r="D1944" t="str">
            <v>DIRECTION CENTRALE DE LA PRODUCTION ET DE L'ANTENNE</v>
          </cell>
          <cell r="V1944">
            <v>10000</v>
          </cell>
          <cell r="W1944" t="str">
            <v>Fonctionnement</v>
          </cell>
        </row>
        <row r="1945">
          <cell r="A1945">
            <v>2019</v>
          </cell>
          <cell r="D1945" t="str">
            <v>DIRECTION CENTRALE DE LA PRODUCTION ET DE L'ANTENNE</v>
          </cell>
          <cell r="V1945">
            <v>20000</v>
          </cell>
          <cell r="W1945" t="str">
            <v>Fonctionnement</v>
          </cell>
        </row>
        <row r="1946">
          <cell r="A1946">
            <v>2019</v>
          </cell>
          <cell r="D1946" t="str">
            <v>DIRECTION CENTRALE DE LA PRODUCTION ET DE L'ANTENNE</v>
          </cell>
          <cell r="V1946">
            <v>20000</v>
          </cell>
          <cell r="W1946" t="str">
            <v>Fonctionnement</v>
          </cell>
        </row>
        <row r="1947">
          <cell r="A1947">
            <v>2019</v>
          </cell>
          <cell r="D1947" t="str">
            <v>DIRECTION CENTRALE DE LA PRODUCTION ET DE L'ANTENNE</v>
          </cell>
          <cell r="V1947">
            <v>20000</v>
          </cell>
          <cell r="W1947" t="str">
            <v>Fonctionnement</v>
          </cell>
        </row>
        <row r="1948">
          <cell r="A1948">
            <v>2019</v>
          </cell>
          <cell r="D1948" t="str">
            <v>DIRECTION CENTRALE DE LA PRODUCTION ET DE L'ANTENNE</v>
          </cell>
          <cell r="V1948">
            <v>10000</v>
          </cell>
          <cell r="W1948" t="str">
            <v>Fonctionnement</v>
          </cell>
        </row>
        <row r="1949">
          <cell r="A1949">
            <v>2019</v>
          </cell>
          <cell r="D1949" t="str">
            <v>DIRECTION CENTRALE DE LA PRODUCTION ET DE L'ANTENNE</v>
          </cell>
          <cell r="V1949">
            <v>20000</v>
          </cell>
          <cell r="W1949" t="str">
            <v>Fonctionnement</v>
          </cell>
        </row>
        <row r="1950">
          <cell r="A1950">
            <v>2019</v>
          </cell>
          <cell r="D1950" t="str">
            <v>DIRECTION CENTRALE DE LA PRODUCTION ET DE L'ANTENNE</v>
          </cell>
          <cell r="V1950">
            <v>5000</v>
          </cell>
          <cell r="W1950" t="str">
            <v>Fonctionnement</v>
          </cell>
        </row>
        <row r="1951">
          <cell r="A1951">
            <v>2019</v>
          </cell>
          <cell r="D1951" t="str">
            <v>DIRECTION CENTRALE DE LA PRODUCTION ET DE L'ANTENNE</v>
          </cell>
          <cell r="V1951">
            <v>20000</v>
          </cell>
          <cell r="W1951" t="str">
            <v>Fonctionnement</v>
          </cell>
        </row>
        <row r="1952">
          <cell r="A1952">
            <v>2019</v>
          </cell>
          <cell r="D1952" t="str">
            <v>DIRECTION CENTRALE DE LA PRODUCTION ET DE L'ANTENNE</v>
          </cell>
          <cell r="V1952">
            <v>15000</v>
          </cell>
          <cell r="W1952" t="str">
            <v>Fonctionnement</v>
          </cell>
        </row>
        <row r="1953">
          <cell r="A1953">
            <v>2019</v>
          </cell>
          <cell r="D1953" t="str">
            <v>DIRECTION CENTRALE DE LA PRODUCTION ET DE L'ANTENNE</v>
          </cell>
          <cell r="V1953">
            <v>20000</v>
          </cell>
          <cell r="W1953" t="str">
            <v>Fonctionnement</v>
          </cell>
        </row>
        <row r="1954">
          <cell r="A1954">
            <v>2019</v>
          </cell>
          <cell r="D1954" t="str">
            <v>DIRECTION CENTRALE DE LA PRODUCTION ET DE L'ANTENNE</v>
          </cell>
          <cell r="V1954">
            <v>35000</v>
          </cell>
          <cell r="W1954" t="str">
            <v>Fonctionnement</v>
          </cell>
        </row>
        <row r="1955">
          <cell r="A1955">
            <v>2019</v>
          </cell>
          <cell r="D1955" t="str">
            <v>DIRECTION CENTRALE DE LA PRODUCTION ET DE L'ANTENNE</v>
          </cell>
          <cell r="V1955">
            <v>15000</v>
          </cell>
          <cell r="W1955" t="str">
            <v>Fonctionnement</v>
          </cell>
        </row>
        <row r="1956">
          <cell r="A1956">
            <v>2019</v>
          </cell>
          <cell r="D1956" t="str">
            <v>DIRECTION CENTRALE DE LA PRODUCTION ET DE L'ANTENNE</v>
          </cell>
          <cell r="V1956">
            <v>15000</v>
          </cell>
          <cell r="W1956" t="str">
            <v>Fonctionnement</v>
          </cell>
        </row>
        <row r="1957">
          <cell r="A1957">
            <v>2019</v>
          </cell>
          <cell r="D1957" t="str">
            <v>DIRECTION CENTRALE DE LA PRODUCTION ET DE L'ANTENNE</v>
          </cell>
          <cell r="V1957">
            <v>15000</v>
          </cell>
          <cell r="W1957" t="str">
            <v>Fonctionnement</v>
          </cell>
        </row>
        <row r="1958">
          <cell r="A1958">
            <v>2019</v>
          </cell>
          <cell r="D1958" t="str">
            <v>DIRECTION CENTRALE DE LA PRODUCTION ET DE L'ANTENNE</v>
          </cell>
          <cell r="V1958">
            <v>15000</v>
          </cell>
          <cell r="W1958" t="str">
            <v>Fonctionnement</v>
          </cell>
        </row>
        <row r="1959">
          <cell r="A1959">
            <v>2019</v>
          </cell>
          <cell r="D1959" t="str">
            <v>DIRECTION CENTRALE DE LA PRODUCTION ET DE L'ANTENNE</v>
          </cell>
          <cell r="V1959">
            <v>10000</v>
          </cell>
          <cell r="W1959" t="str">
            <v>Fonctionnement</v>
          </cell>
        </row>
        <row r="1960">
          <cell r="A1960">
            <v>2019</v>
          </cell>
          <cell r="D1960" t="str">
            <v>DIRECTION CENTRALE DE LA PRODUCTION ET DE L'ANTENNE</v>
          </cell>
          <cell r="V1960">
            <v>15000</v>
          </cell>
          <cell r="W1960" t="str">
            <v>Fonctionnement</v>
          </cell>
        </row>
        <row r="1961">
          <cell r="A1961">
            <v>2019</v>
          </cell>
          <cell r="D1961" t="str">
            <v>DIRECTION CENTRALE DE LA PRODUCTION ET DE L'ANTENNE</v>
          </cell>
          <cell r="V1961">
            <v>20000</v>
          </cell>
          <cell r="W1961" t="str">
            <v>Fonctionnement</v>
          </cell>
        </row>
        <row r="1962">
          <cell r="A1962">
            <v>2019</v>
          </cell>
          <cell r="D1962" t="str">
            <v>DIRECTION CENTRALE DE LA PRODUCTION ET DE L'ANTENNE</v>
          </cell>
          <cell r="V1962">
            <v>20000</v>
          </cell>
          <cell r="W1962" t="str">
            <v>Fonctionnement</v>
          </cell>
        </row>
        <row r="1963">
          <cell r="A1963">
            <v>2019</v>
          </cell>
          <cell r="D1963" t="str">
            <v>DIRECTION CENTRALE DE LA PRODUCTION ET DE L'ANTENNE</v>
          </cell>
          <cell r="V1963">
            <v>30000</v>
          </cell>
          <cell r="W1963" t="str">
            <v>Fonctionnement</v>
          </cell>
        </row>
        <row r="1964">
          <cell r="A1964">
            <v>2019</v>
          </cell>
          <cell r="D1964" t="str">
            <v>DIRECTION CENTRALE DE LA PRODUCTION ET DE L'ANTENNE</v>
          </cell>
          <cell r="V1964">
            <v>35000</v>
          </cell>
          <cell r="W1964" t="str">
            <v>Fonctionnement</v>
          </cell>
        </row>
        <row r="1965">
          <cell r="A1965">
            <v>2019</v>
          </cell>
          <cell r="D1965" t="str">
            <v>DIRECTION CENTRALE DE LA PRODUCTION ET DE L'ANTENNE</v>
          </cell>
          <cell r="V1965">
            <v>15000</v>
          </cell>
          <cell r="W1965" t="str">
            <v>Fonctionnement</v>
          </cell>
        </row>
        <row r="1966">
          <cell r="A1966">
            <v>2019</v>
          </cell>
          <cell r="D1966" t="str">
            <v>DIRECTION CENTRALE DE LA PRODUCTION ET DE L'ANTENNE</v>
          </cell>
          <cell r="V1966">
            <v>15000</v>
          </cell>
          <cell r="W1966" t="str">
            <v>Fonctionnement</v>
          </cell>
        </row>
        <row r="1967">
          <cell r="A1967">
            <v>2019</v>
          </cell>
          <cell r="D1967" t="str">
            <v>DIRECTION CENTRALE DE LA PRODUCTION ET DE L'ANTENNE</v>
          </cell>
          <cell r="V1967">
            <v>15000</v>
          </cell>
          <cell r="W1967" t="str">
            <v>Fonctionnement</v>
          </cell>
        </row>
        <row r="1968">
          <cell r="A1968">
            <v>2019</v>
          </cell>
          <cell r="D1968" t="str">
            <v>DIRECTION CENTRALE DE LA PRODUCTION ET DE L'ANTENNE</v>
          </cell>
          <cell r="V1968">
            <v>20000</v>
          </cell>
          <cell r="W1968" t="str">
            <v>Fonctionnement</v>
          </cell>
        </row>
        <row r="1969">
          <cell r="A1969">
            <v>2019</v>
          </cell>
          <cell r="D1969" t="str">
            <v>DIRECTION CENTRALE DE LA PRODUCTION ET DE L'ANTENNE</v>
          </cell>
          <cell r="V1969">
            <v>15000</v>
          </cell>
          <cell r="W1969" t="str">
            <v>Fonctionnement</v>
          </cell>
        </row>
        <row r="1970">
          <cell r="A1970">
            <v>2019</v>
          </cell>
          <cell r="D1970" t="str">
            <v>DIRECTION CENTRALE DE LA PRODUCTION ET DE L'ANTENNE</v>
          </cell>
          <cell r="V1970">
            <v>180000</v>
          </cell>
          <cell r="W1970" t="str">
            <v>Fonctionnement</v>
          </cell>
        </row>
        <row r="1971">
          <cell r="A1971">
            <v>2019</v>
          </cell>
          <cell r="D1971" t="str">
            <v>DIRECTION CENTRALE DE LA PRODUCTION ET DE L'ANTENNE</v>
          </cell>
          <cell r="V1971">
            <v>10000</v>
          </cell>
          <cell r="W1971" t="str">
            <v>Fonctionnement</v>
          </cell>
        </row>
        <row r="1972">
          <cell r="A1972">
            <v>2019</v>
          </cell>
          <cell r="D1972" t="str">
            <v>DIRECTION CENTRALE DE LA PRODUCTION ET DE L'ANTENNE</v>
          </cell>
          <cell r="V1972">
            <v>20000</v>
          </cell>
          <cell r="W1972" t="str">
            <v>Fonctionnement</v>
          </cell>
        </row>
        <row r="1973">
          <cell r="A1973">
            <v>2019</v>
          </cell>
          <cell r="D1973" t="str">
            <v>DIRECTION CENTRALE DE LA PRODUCTION ET DE L'ANTENNE</v>
          </cell>
          <cell r="V1973">
            <v>10000</v>
          </cell>
          <cell r="W1973" t="str">
            <v>Fonctionnement</v>
          </cell>
        </row>
        <row r="1974">
          <cell r="A1974">
            <v>2019</v>
          </cell>
          <cell r="D1974" t="str">
            <v>DIRECTION CENTRALE DE LA PRODUCTION ET DE L'ANTENNE</v>
          </cell>
          <cell r="V1974">
            <v>15000</v>
          </cell>
          <cell r="W1974" t="str">
            <v>Fonctionnement</v>
          </cell>
        </row>
        <row r="1975">
          <cell r="A1975">
            <v>2019</v>
          </cell>
          <cell r="D1975" t="str">
            <v>DIRECTION CENTRALE DE LA PRODUCTION ET DE L'ANTENNE</v>
          </cell>
          <cell r="V1975">
            <v>30000</v>
          </cell>
          <cell r="W1975" t="str">
            <v>Fonctionnement</v>
          </cell>
        </row>
        <row r="1976">
          <cell r="A1976">
            <v>2019</v>
          </cell>
          <cell r="D1976" t="str">
            <v>DIRECTION CENTRALE DE LA PRODUCTION ET DE L'ANTENNE</v>
          </cell>
          <cell r="V1976">
            <v>20000</v>
          </cell>
          <cell r="W1976" t="str">
            <v>Fonctionnement</v>
          </cell>
        </row>
        <row r="1977">
          <cell r="A1977">
            <v>2019</v>
          </cell>
          <cell r="D1977" t="str">
            <v>DIRECTION CENTRALE DE LA PRODUCTION ET DE L'ANTENNE</v>
          </cell>
          <cell r="V1977">
            <v>20000</v>
          </cell>
          <cell r="W1977" t="str">
            <v>Fonctionnement</v>
          </cell>
        </row>
        <row r="1978">
          <cell r="A1978">
            <v>2019</v>
          </cell>
          <cell r="D1978" t="str">
            <v>DIRECTION CENTRALE DE LA PRODUCTION ET DE L'ANTENNE</v>
          </cell>
          <cell r="V1978">
            <v>15000</v>
          </cell>
          <cell r="W1978" t="str">
            <v>Fonctionnement</v>
          </cell>
        </row>
        <row r="1979">
          <cell r="A1979">
            <v>2019</v>
          </cell>
          <cell r="D1979" t="str">
            <v>DIRECTION CENTRALE DE LA PRODUCTION ET DE L'ANTENNE</v>
          </cell>
          <cell r="V1979">
            <v>15000</v>
          </cell>
          <cell r="W1979" t="str">
            <v>Fonctionnement</v>
          </cell>
        </row>
        <row r="1980">
          <cell r="A1980">
            <v>2019</v>
          </cell>
          <cell r="D1980" t="str">
            <v>DIRECTION CENTRALE DE LA PRODUCTION ET DE L'ANTENNE</v>
          </cell>
          <cell r="V1980">
            <v>20000</v>
          </cell>
          <cell r="W1980" t="str">
            <v>Fonctionnement</v>
          </cell>
        </row>
        <row r="1981">
          <cell r="A1981">
            <v>2019</v>
          </cell>
          <cell r="D1981" t="str">
            <v>DIRECTION CENTRALE DE LA PRODUCTION ET DE L'ANTENNE</v>
          </cell>
          <cell r="V1981">
            <v>15000</v>
          </cell>
          <cell r="W1981" t="str">
            <v>Fonctionnement</v>
          </cell>
        </row>
        <row r="1982">
          <cell r="A1982">
            <v>2019</v>
          </cell>
          <cell r="D1982" t="str">
            <v>DIRECTION CENTRALE DE LA PRODUCTION ET DE L'ANTENNE</v>
          </cell>
          <cell r="V1982">
            <v>15000</v>
          </cell>
          <cell r="W1982" t="str">
            <v>Fonctionnement</v>
          </cell>
        </row>
        <row r="1983">
          <cell r="A1983">
            <v>2019</v>
          </cell>
          <cell r="D1983" t="str">
            <v>DIRECTION CENTRALE DE LA PRODUCTION ET DE L'ANTENNE</v>
          </cell>
          <cell r="V1983">
            <v>20000</v>
          </cell>
          <cell r="W1983" t="str">
            <v>Fonctionnement</v>
          </cell>
        </row>
        <row r="1984">
          <cell r="A1984">
            <v>2019</v>
          </cell>
          <cell r="D1984" t="str">
            <v>DIRECTION CENTRALE DE LA PRODUCTION ET DE L'ANTENNE</v>
          </cell>
          <cell r="V1984">
            <v>20000</v>
          </cell>
          <cell r="W1984" t="str">
            <v>Fonctionnement</v>
          </cell>
        </row>
        <row r="1985">
          <cell r="A1985">
            <v>2019</v>
          </cell>
          <cell r="D1985" t="str">
            <v>DIRECTION CENTRALE DE LA PRODUCTION ET DE L'ANTENNE</v>
          </cell>
          <cell r="V1985">
            <v>15000</v>
          </cell>
          <cell r="W1985" t="str">
            <v>Fonctionnement</v>
          </cell>
        </row>
        <row r="1986">
          <cell r="A1986">
            <v>2019</v>
          </cell>
          <cell r="D1986" t="str">
            <v>DIRECTION CENTRALE DE LA PRODUCTION ET DE L'ANTENNE</v>
          </cell>
          <cell r="V1986">
            <v>20000</v>
          </cell>
          <cell r="W1986" t="str">
            <v>Fonctionnement</v>
          </cell>
        </row>
        <row r="1987">
          <cell r="A1987">
            <v>2019</v>
          </cell>
          <cell r="D1987" t="str">
            <v>DIRECTION CENTRALE DE LA PRODUCTION ET DE L'ANTENNE</v>
          </cell>
          <cell r="V1987">
            <v>15000</v>
          </cell>
          <cell r="W1987" t="str">
            <v>Fonctionnement</v>
          </cell>
        </row>
        <row r="1988">
          <cell r="A1988">
            <v>2019</v>
          </cell>
          <cell r="D1988" t="str">
            <v>DIRECTION CENTRALE DE LA PRODUCTION ET DE L'ANTENNE</v>
          </cell>
          <cell r="V1988">
            <v>30000</v>
          </cell>
          <cell r="W1988" t="str">
            <v>Fonctionnement</v>
          </cell>
        </row>
        <row r="1989">
          <cell r="A1989">
            <v>2019</v>
          </cell>
          <cell r="D1989" t="str">
            <v>DIRECTION CENTRALE DE LA PRODUCTION ET DE L'ANTENNE</v>
          </cell>
          <cell r="V1989">
            <v>15000</v>
          </cell>
          <cell r="W1989" t="str">
            <v>Fonctionnement</v>
          </cell>
        </row>
        <row r="1990">
          <cell r="A1990">
            <v>2019</v>
          </cell>
          <cell r="D1990" t="str">
            <v>DIRECTION CENTRALE DE LA PRODUCTION ET DE L'ANTENNE</v>
          </cell>
          <cell r="V1990">
            <v>25000</v>
          </cell>
          <cell r="W1990" t="str">
            <v>Fonctionnement</v>
          </cell>
        </row>
        <row r="1991">
          <cell r="A1991">
            <v>2019</v>
          </cell>
          <cell r="D1991" t="str">
            <v>DIRECTION CENTRALE DE LA PRODUCTION ET DE L'ANTENNE</v>
          </cell>
          <cell r="V1991">
            <v>15000</v>
          </cell>
          <cell r="W1991" t="str">
            <v>Fonctionnement</v>
          </cell>
        </row>
        <row r="1992">
          <cell r="A1992">
            <v>2019</v>
          </cell>
          <cell r="D1992" t="str">
            <v>DIRECTION CENTRALE DE LA PRODUCTION ET DE L'ANTENNE</v>
          </cell>
          <cell r="V1992">
            <v>15000</v>
          </cell>
          <cell r="W1992" t="str">
            <v>Fonctionnement</v>
          </cell>
        </row>
        <row r="1993">
          <cell r="A1993">
            <v>2019</v>
          </cell>
          <cell r="D1993" t="str">
            <v>DIRECTION CENTRALE DE LA PRODUCTION ET DE L'ANTENNE</v>
          </cell>
          <cell r="V1993">
            <v>15000</v>
          </cell>
          <cell r="W1993" t="str">
            <v>Fonctionnement</v>
          </cell>
        </row>
        <row r="1994">
          <cell r="A1994">
            <v>2019</v>
          </cell>
          <cell r="D1994" t="str">
            <v>DIRECTION CENTRALE DE LA PRODUCTION ET DE L'ANTENNE</v>
          </cell>
          <cell r="V1994">
            <v>20000</v>
          </cell>
          <cell r="W1994" t="str">
            <v>Fonctionnement</v>
          </cell>
        </row>
        <row r="1995">
          <cell r="A1995">
            <v>2019</v>
          </cell>
          <cell r="D1995" t="str">
            <v>DIRECTION CENTRALE DE LA PRODUCTION ET DE L'ANTENNE</v>
          </cell>
          <cell r="V1995">
            <v>20000</v>
          </cell>
          <cell r="W1995" t="str">
            <v>Fonctionnement</v>
          </cell>
        </row>
        <row r="1996">
          <cell r="A1996">
            <v>2019</v>
          </cell>
          <cell r="D1996" t="str">
            <v>DIRECTION CENTRALE DE LA PRODUCTION ET DE L'ANTENNE</v>
          </cell>
          <cell r="V1996">
            <v>25000</v>
          </cell>
          <cell r="W1996" t="str">
            <v>Fonctionnement</v>
          </cell>
        </row>
        <row r="1997">
          <cell r="A1997">
            <v>2019</v>
          </cell>
          <cell r="D1997" t="str">
            <v>DIRECTION CENTRALE DE LA PRODUCTION ET DE L'ANTENNE</v>
          </cell>
          <cell r="V1997">
            <v>15000</v>
          </cell>
          <cell r="W1997" t="str">
            <v>Fonctionnement</v>
          </cell>
        </row>
        <row r="1998">
          <cell r="A1998">
            <v>2019</v>
          </cell>
          <cell r="D1998" t="str">
            <v>DIRECTION CENTRALE DE LA PRODUCTION ET DE L'ANTENNE</v>
          </cell>
          <cell r="V1998">
            <v>15000</v>
          </cell>
          <cell r="W1998" t="str">
            <v>Fonctionnement</v>
          </cell>
        </row>
        <row r="1999">
          <cell r="A1999">
            <v>2019</v>
          </cell>
          <cell r="D1999" t="str">
            <v>DIRECTION CENTRALE DE LA PRODUCTION ET DE L'ANTENNE</v>
          </cell>
          <cell r="V1999">
            <v>15000</v>
          </cell>
          <cell r="W1999" t="str">
            <v>Fonctionnement</v>
          </cell>
        </row>
        <row r="2000">
          <cell r="A2000">
            <v>2019</v>
          </cell>
          <cell r="D2000" t="str">
            <v>DIRECTION CENTRALE DE LA PRODUCTION ET DE L'ANTENNE</v>
          </cell>
          <cell r="V2000">
            <v>240000</v>
          </cell>
          <cell r="W2000" t="str">
            <v>Fonctionnement</v>
          </cell>
        </row>
        <row r="2001">
          <cell r="A2001">
            <v>2019</v>
          </cell>
          <cell r="D2001" t="str">
            <v>DIRECTION CENTRALE DE LA PRODUCTION ET DE L'ANTENNE</v>
          </cell>
          <cell r="V2001">
            <v>120000</v>
          </cell>
          <cell r="W2001" t="str">
            <v>Fonctionnement</v>
          </cell>
        </row>
        <row r="2002">
          <cell r="A2002">
            <v>2019</v>
          </cell>
          <cell r="D2002" t="str">
            <v>DIRECTION CENTRALE DE LA PRODUCTION ET DE L'ANTENNE</v>
          </cell>
          <cell r="V2002">
            <v>1313280</v>
          </cell>
          <cell r="W2002" t="str">
            <v>Fonctionnement</v>
          </cell>
        </row>
        <row r="2003">
          <cell r="A2003">
            <v>2019</v>
          </cell>
          <cell r="D2003" t="str">
            <v>DIRECTION CENTRALE DE LA PRODUCTION ET DE L'ANTENNE</v>
          </cell>
          <cell r="V2003">
            <v>758400</v>
          </cell>
          <cell r="W2003" t="str">
            <v>Fonctionnement</v>
          </cell>
        </row>
        <row r="2004">
          <cell r="A2004">
            <v>2019</v>
          </cell>
          <cell r="D2004" t="str">
            <v>DIRECTION CENTRALE DE LA PRODUCTION ET DE L'ANTENNE</v>
          </cell>
          <cell r="V2004">
            <v>20000</v>
          </cell>
          <cell r="W2004" t="str">
            <v>Fonctionnement</v>
          </cell>
        </row>
        <row r="2005">
          <cell r="A2005">
            <v>2019</v>
          </cell>
          <cell r="D2005" t="str">
            <v>DIRECTION CENTRALE DE LA PRODUCTION ET DE L'ANTENNE</v>
          </cell>
          <cell r="V2005">
            <v>20000</v>
          </cell>
          <cell r="W2005" t="str">
            <v>Fonctionnement</v>
          </cell>
        </row>
        <row r="2006">
          <cell r="A2006">
            <v>2019</v>
          </cell>
          <cell r="D2006" t="str">
            <v>DIRECTION CENTRALE DE LA PRODUCTION ET DE L'ANTENNE</v>
          </cell>
          <cell r="V2006">
            <v>30000</v>
          </cell>
          <cell r="W2006" t="str">
            <v>Fonctionnement</v>
          </cell>
        </row>
        <row r="2007">
          <cell r="A2007">
            <v>2019</v>
          </cell>
          <cell r="D2007" t="str">
            <v>DIRECTION CENTRALE DE LA PRODUCTION ET DE L'ANTENNE</v>
          </cell>
          <cell r="V2007">
            <v>30000</v>
          </cell>
          <cell r="W2007" t="str">
            <v>Fonctionnement</v>
          </cell>
        </row>
        <row r="2008">
          <cell r="A2008">
            <v>2019</v>
          </cell>
          <cell r="D2008" t="str">
            <v>DIRECTION CENTRALE DE LA PRODUCTION ET DE L'ANTENNE</v>
          </cell>
          <cell r="V2008">
            <v>15000</v>
          </cell>
          <cell r="W2008" t="str">
            <v>Fonctionnement</v>
          </cell>
        </row>
        <row r="2009">
          <cell r="A2009">
            <v>2019</v>
          </cell>
          <cell r="D2009" t="str">
            <v>DIRECTION CENTRALE DE LA PRODUCTION ET DE L'ANTENNE</v>
          </cell>
          <cell r="V2009">
            <v>20000</v>
          </cell>
          <cell r="W2009" t="str">
            <v>Fonctionnement</v>
          </cell>
        </row>
        <row r="2010">
          <cell r="A2010">
            <v>2019</v>
          </cell>
          <cell r="D2010" t="str">
            <v>DIRECTION CENTRALE DE LA PRODUCTION ET DE L'ANTENNE</v>
          </cell>
          <cell r="V2010">
            <v>15000</v>
          </cell>
          <cell r="W2010" t="str">
            <v>Fonctionnement</v>
          </cell>
        </row>
        <row r="2011">
          <cell r="A2011">
            <v>2019</v>
          </cell>
          <cell r="D2011" t="str">
            <v>DIRECTION CENTRALE DE LA PRODUCTION ET DE L'ANTENNE</v>
          </cell>
          <cell r="V2011">
            <v>25000</v>
          </cell>
          <cell r="W2011" t="str">
            <v>Fonctionnement</v>
          </cell>
        </row>
        <row r="2012">
          <cell r="A2012">
            <v>2019</v>
          </cell>
          <cell r="D2012" t="str">
            <v>DIRECTION CENTRALE DE LA PRODUCTION ET DE L'ANTENNE</v>
          </cell>
          <cell r="V2012">
            <v>15000</v>
          </cell>
          <cell r="W2012" t="str">
            <v>Fonctionnement</v>
          </cell>
        </row>
        <row r="2013">
          <cell r="A2013">
            <v>2019</v>
          </cell>
          <cell r="D2013" t="str">
            <v>DIRECTION CENTRALE DE LA PRODUCTION ET DE L'ANTENNE</v>
          </cell>
          <cell r="V2013">
            <v>10000</v>
          </cell>
          <cell r="W2013" t="str">
            <v>Fonctionnement</v>
          </cell>
        </row>
        <row r="2014">
          <cell r="A2014">
            <v>2019</v>
          </cell>
          <cell r="D2014" t="str">
            <v>DIRECTION CENTRALE DE LA PRODUCTION ET DE L'ANTENNE</v>
          </cell>
          <cell r="V2014">
            <v>15000</v>
          </cell>
          <cell r="W2014" t="str">
            <v>Fonctionnement</v>
          </cell>
        </row>
        <row r="2015">
          <cell r="A2015">
            <v>2019</v>
          </cell>
          <cell r="D2015" t="str">
            <v>DIRECTION CENTRALE DE LA PRODUCTION ET DE L'ANTENNE</v>
          </cell>
          <cell r="V2015">
            <v>15000</v>
          </cell>
          <cell r="W2015" t="str">
            <v>Fonctionnement</v>
          </cell>
        </row>
        <row r="2016">
          <cell r="A2016">
            <v>2019</v>
          </cell>
          <cell r="D2016" t="str">
            <v>DIRECTION CENTRALE DE LA PRODUCTION ET DE L'ANTENNE</v>
          </cell>
          <cell r="V2016">
            <v>15000</v>
          </cell>
          <cell r="W2016" t="str">
            <v>Fonctionnement</v>
          </cell>
        </row>
        <row r="2017">
          <cell r="A2017">
            <v>2019</v>
          </cell>
          <cell r="D2017" t="str">
            <v>DIRECTION CENTRALE DE LA PRODUCTION ET DE L'ANTENNE</v>
          </cell>
          <cell r="V2017">
            <v>20000</v>
          </cell>
          <cell r="W2017" t="str">
            <v>Fonctionnement</v>
          </cell>
        </row>
        <row r="2018">
          <cell r="A2018">
            <v>2019</v>
          </cell>
          <cell r="D2018" t="str">
            <v>DIRECTION CENTRALE DE LA PRODUCTION ET DE L'ANTENNE</v>
          </cell>
          <cell r="V2018">
            <v>10000</v>
          </cell>
          <cell r="W2018" t="str">
            <v>Fonctionnement</v>
          </cell>
        </row>
        <row r="2019">
          <cell r="A2019">
            <v>2019</v>
          </cell>
          <cell r="D2019" t="str">
            <v>DIRECTION CENTRALE DE LA PRODUCTION ET DE L'ANTENNE</v>
          </cell>
          <cell r="V2019">
            <v>35000</v>
          </cell>
          <cell r="W2019" t="str">
            <v>Fonctionnement</v>
          </cell>
        </row>
        <row r="2020">
          <cell r="A2020">
            <v>2019</v>
          </cell>
          <cell r="D2020" t="str">
            <v>DIRECTION CENTRALE DE LA PRODUCTION ET DE L'ANTENNE</v>
          </cell>
          <cell r="V2020">
            <v>15000</v>
          </cell>
          <cell r="W2020" t="str">
            <v>Fonctionnement</v>
          </cell>
        </row>
        <row r="2021">
          <cell r="A2021">
            <v>2019</v>
          </cell>
          <cell r="D2021" t="str">
            <v>DIRECTION CENTRALE DE LA PRODUCTION ET DE L'ANTENNE</v>
          </cell>
          <cell r="V2021">
            <v>35000</v>
          </cell>
          <cell r="W2021" t="str">
            <v>Fonctionnement</v>
          </cell>
        </row>
        <row r="2022">
          <cell r="A2022">
            <v>2019</v>
          </cell>
          <cell r="D2022" t="str">
            <v>DIRECTION CENTRALE DE LA PRODUCTION ET DE L'ANTENNE</v>
          </cell>
          <cell r="V2022">
            <v>15000</v>
          </cell>
          <cell r="W2022" t="str">
            <v>Fonctionnement</v>
          </cell>
        </row>
        <row r="2023">
          <cell r="A2023">
            <v>2019</v>
          </cell>
          <cell r="D2023" t="str">
            <v>DIRECTION CENTRALE DE LA PRODUCTION ET DE L'ANTENNE</v>
          </cell>
          <cell r="V2023">
            <v>20000</v>
          </cell>
          <cell r="W2023" t="str">
            <v>Fonctionnement</v>
          </cell>
        </row>
        <row r="2024">
          <cell r="A2024">
            <v>2019</v>
          </cell>
          <cell r="D2024" t="str">
            <v>DIRECTION CENTRALE DE LA PRODUCTION ET DE L'ANTENNE</v>
          </cell>
          <cell r="V2024">
            <v>15000</v>
          </cell>
          <cell r="W2024" t="str">
            <v>Fonctionnement</v>
          </cell>
        </row>
        <row r="2025">
          <cell r="A2025">
            <v>2019</v>
          </cell>
          <cell r="D2025" t="str">
            <v>DIRECTION CENTRALE DE LA PRODUCTION ET DE L'ANTENNE</v>
          </cell>
          <cell r="V2025">
            <v>15000</v>
          </cell>
          <cell r="W2025" t="str">
            <v>Fonctionnement</v>
          </cell>
        </row>
        <row r="2026">
          <cell r="A2026">
            <v>2019</v>
          </cell>
          <cell r="D2026" t="str">
            <v>DIRECTION CENTRALE DE LA PRODUCTION ET DE L'ANTENNE</v>
          </cell>
          <cell r="V2026">
            <v>25000</v>
          </cell>
          <cell r="W2026" t="str">
            <v>Fonctionnement</v>
          </cell>
        </row>
        <row r="2027">
          <cell r="A2027">
            <v>2019</v>
          </cell>
          <cell r="D2027" t="str">
            <v>DIRECTION CENTRALE DE LA PRODUCTION ET DE L'ANTENNE</v>
          </cell>
          <cell r="V2027">
            <v>15000</v>
          </cell>
          <cell r="W2027" t="str">
            <v>Fonctionnement</v>
          </cell>
        </row>
        <row r="2028">
          <cell r="A2028">
            <v>2019</v>
          </cell>
          <cell r="D2028" t="str">
            <v>DIRECTION CENTRALE DE LA PRODUCTION ET DE L'ANTENNE</v>
          </cell>
          <cell r="V2028">
            <v>20000</v>
          </cell>
          <cell r="W2028" t="str">
            <v>Fonctionnement</v>
          </cell>
        </row>
        <row r="2029">
          <cell r="A2029">
            <v>2019</v>
          </cell>
          <cell r="D2029" t="str">
            <v>DIRECTION CENTRALE DE LA PRODUCTION ET DE L'ANTENNE</v>
          </cell>
          <cell r="V2029">
            <v>25000</v>
          </cell>
          <cell r="W2029" t="str">
            <v>Fonctionnement</v>
          </cell>
        </row>
        <row r="2030">
          <cell r="A2030">
            <v>2019</v>
          </cell>
          <cell r="D2030" t="str">
            <v>DIRECTION CENTRALE DE LA PRODUCTION ET DE L'ANTENNE</v>
          </cell>
          <cell r="V2030">
            <v>30000</v>
          </cell>
          <cell r="W2030" t="str">
            <v>Fonctionnement</v>
          </cell>
        </row>
        <row r="2031">
          <cell r="A2031">
            <v>2019</v>
          </cell>
          <cell r="D2031" t="str">
            <v>DIRECTION CENTRALE DE LA PRODUCTION ET DE L'ANTENNE</v>
          </cell>
          <cell r="V2031">
            <v>25000</v>
          </cell>
          <cell r="W2031" t="str">
            <v>Fonctionnement</v>
          </cell>
        </row>
        <row r="2032">
          <cell r="A2032">
            <v>2019</v>
          </cell>
          <cell r="D2032" t="str">
            <v>DIRECTION CENTRALE DE LA PRODUCTION ET DE L'ANTENNE</v>
          </cell>
          <cell r="V2032">
            <v>15000</v>
          </cell>
          <cell r="W2032" t="str">
            <v>Fonctionnement</v>
          </cell>
        </row>
        <row r="2033">
          <cell r="A2033">
            <v>2019</v>
          </cell>
          <cell r="D2033" t="str">
            <v>DIRECTION CENTRALE DE LA PRODUCTION ET DE L'ANTENNE</v>
          </cell>
          <cell r="V2033">
            <v>15000</v>
          </cell>
          <cell r="W2033" t="str">
            <v>Fonctionnement</v>
          </cell>
        </row>
        <row r="2034">
          <cell r="A2034">
            <v>2019</v>
          </cell>
          <cell r="D2034" t="str">
            <v>DIRECTION CENTRALE DE LA PRODUCTION ET DE L'ANTENNE</v>
          </cell>
          <cell r="V2034">
            <v>20000</v>
          </cell>
          <cell r="W2034" t="str">
            <v>Fonctionnement</v>
          </cell>
        </row>
        <row r="2035">
          <cell r="A2035">
            <v>2019</v>
          </cell>
          <cell r="D2035" t="str">
            <v>DIRECTION CENTRALE DE LA PRODUCTION ET DE L'ANTENNE</v>
          </cell>
          <cell r="V2035">
            <v>20000</v>
          </cell>
          <cell r="W2035" t="str">
            <v>Fonctionnement</v>
          </cell>
        </row>
        <row r="2036">
          <cell r="A2036">
            <v>2019</v>
          </cell>
          <cell r="D2036" t="str">
            <v>DIRECTION CENTRALE DE LA PRODUCTION ET DE L'ANTENNE</v>
          </cell>
          <cell r="V2036">
            <v>15000</v>
          </cell>
          <cell r="W2036" t="str">
            <v>Fonctionnement</v>
          </cell>
        </row>
        <row r="2037">
          <cell r="A2037">
            <v>2019</v>
          </cell>
          <cell r="D2037" t="str">
            <v>DIRECTION CENTRALE DE LA PRODUCTION ET DE L'ANTENNE</v>
          </cell>
          <cell r="V2037">
            <v>20000</v>
          </cell>
          <cell r="W2037" t="str">
            <v>Fonctionnement</v>
          </cell>
        </row>
        <row r="2038">
          <cell r="A2038">
            <v>2019</v>
          </cell>
          <cell r="D2038" t="str">
            <v>DIRECTION CENTRALE DE LA PRODUCTION ET DE L'ANTENNE</v>
          </cell>
          <cell r="V2038">
            <v>20000</v>
          </cell>
          <cell r="W2038" t="str">
            <v>Fonctionnement</v>
          </cell>
        </row>
        <row r="2039">
          <cell r="A2039">
            <v>2019</v>
          </cell>
          <cell r="D2039" t="str">
            <v>DIRECTION CENTRALE DE LA PRODUCTION ET DE L'ANTENNE</v>
          </cell>
          <cell r="V2039">
            <v>35000</v>
          </cell>
          <cell r="W2039" t="str">
            <v>Fonctionnement</v>
          </cell>
        </row>
        <row r="2040">
          <cell r="A2040">
            <v>2019</v>
          </cell>
          <cell r="D2040" t="str">
            <v>DIRECTION CENTRALE DE LA PRODUCTION ET DE L'ANTENNE</v>
          </cell>
          <cell r="V2040">
            <v>15000</v>
          </cell>
          <cell r="W2040" t="str">
            <v>Fonctionnement</v>
          </cell>
        </row>
        <row r="2041">
          <cell r="A2041">
            <v>2019</v>
          </cell>
          <cell r="D2041" t="str">
            <v>DIRECTION CENTRALE DE LA PRODUCTION ET DE L'ANTENNE</v>
          </cell>
          <cell r="V2041">
            <v>15000</v>
          </cell>
          <cell r="W2041" t="str">
            <v>Fonctionnement</v>
          </cell>
        </row>
        <row r="2042">
          <cell r="A2042">
            <v>2019</v>
          </cell>
          <cell r="D2042" t="str">
            <v>DIRECTION CENTRALE DE LA PRODUCTION ET DE L'ANTENNE</v>
          </cell>
          <cell r="V2042">
            <v>400000</v>
          </cell>
          <cell r="W2042" t="str">
            <v>Fonctionnement</v>
          </cell>
        </row>
        <row r="2043">
          <cell r="A2043">
            <v>2019</v>
          </cell>
          <cell r="D2043" t="str">
            <v>DIRECTION CENTRALE DE LA PRODUCTION ET DE L'ANTENNE</v>
          </cell>
          <cell r="V2043">
            <v>15000</v>
          </cell>
          <cell r="W2043" t="str">
            <v>Fonctionnement</v>
          </cell>
        </row>
        <row r="2044">
          <cell r="A2044">
            <v>2019</v>
          </cell>
          <cell r="D2044" t="str">
            <v>DIRECTION CENTRALE DE LA PRODUCTION ET DE L'ANTENNE</v>
          </cell>
          <cell r="V2044">
            <v>15000</v>
          </cell>
          <cell r="W2044" t="str">
            <v>Fonctionnement</v>
          </cell>
        </row>
        <row r="2045">
          <cell r="A2045">
            <v>2019</v>
          </cell>
          <cell r="D2045" t="str">
            <v>DIRECTION CENTRALE DE LA PRODUCTION ET DE L'ANTENNE</v>
          </cell>
          <cell r="V2045">
            <v>15000</v>
          </cell>
          <cell r="W2045" t="str">
            <v>Fonctionnement</v>
          </cell>
        </row>
        <row r="2046">
          <cell r="A2046">
            <v>2019</v>
          </cell>
          <cell r="D2046" t="str">
            <v>DIRECTION CENTRALE DE LA PRODUCTION ET DE L'ANTENNE</v>
          </cell>
          <cell r="V2046">
            <v>15000</v>
          </cell>
          <cell r="W2046" t="str">
            <v>Fonctionnement</v>
          </cell>
        </row>
        <row r="2047">
          <cell r="A2047">
            <v>2019</v>
          </cell>
          <cell r="D2047" t="str">
            <v>DIRECTION CENTRALE DE LA PRODUCTION ET DE L'ANTENNE</v>
          </cell>
          <cell r="V2047">
            <v>20000</v>
          </cell>
          <cell r="W2047" t="str">
            <v>Fonctionnement</v>
          </cell>
        </row>
        <row r="2048">
          <cell r="A2048">
            <v>2019</v>
          </cell>
          <cell r="D2048" t="str">
            <v>DIRECTION CENTRALE DE LA PRODUCTION ET DE L'ANTENNE</v>
          </cell>
          <cell r="V2048">
            <v>20000</v>
          </cell>
          <cell r="W2048" t="str">
            <v>Fonctionnement</v>
          </cell>
        </row>
        <row r="2049">
          <cell r="A2049">
            <v>2019</v>
          </cell>
          <cell r="D2049" t="str">
            <v>DIRECTION CENTRALE DE LA PRODUCTION ET DE L'ANTENNE</v>
          </cell>
          <cell r="V2049">
            <v>20000</v>
          </cell>
          <cell r="W2049" t="str">
            <v>Fonctionnement</v>
          </cell>
        </row>
        <row r="2050">
          <cell r="A2050">
            <v>2019</v>
          </cell>
          <cell r="D2050" t="str">
            <v>DIRECTION CENTRALE DE LA PRODUCTION ET DE L'ANTENNE</v>
          </cell>
          <cell r="V2050">
            <v>15000</v>
          </cell>
          <cell r="W2050" t="str">
            <v>Fonctionnement</v>
          </cell>
        </row>
        <row r="2051">
          <cell r="A2051">
            <v>2019</v>
          </cell>
          <cell r="D2051" t="str">
            <v>DIRECTION CENTRALE DE LA PRODUCTION ET DE L'ANTENNE</v>
          </cell>
          <cell r="V2051">
            <v>35000</v>
          </cell>
          <cell r="W2051" t="str">
            <v>Fonctionnement</v>
          </cell>
        </row>
        <row r="2052">
          <cell r="A2052">
            <v>2019</v>
          </cell>
          <cell r="D2052" t="str">
            <v>DIRECTION CENTRALE DE LA PRODUCTION ET DE L'ANTENNE</v>
          </cell>
          <cell r="V2052">
            <v>15000</v>
          </cell>
          <cell r="W2052" t="str">
            <v>Fonctionnement</v>
          </cell>
        </row>
        <row r="2053">
          <cell r="A2053">
            <v>2019</v>
          </cell>
          <cell r="D2053" t="str">
            <v>DIRECTION CENTRALE DE LA PRODUCTION ET DE L'ANTENNE</v>
          </cell>
          <cell r="V2053">
            <v>15000</v>
          </cell>
          <cell r="W2053" t="str">
            <v>Fonctionnement</v>
          </cell>
        </row>
        <row r="2054">
          <cell r="A2054">
            <v>2019</v>
          </cell>
          <cell r="D2054" t="str">
            <v>DIRECTION CENTRALE DE LA PRODUCTION ET DE L'ANTENNE</v>
          </cell>
          <cell r="V2054">
            <v>10000</v>
          </cell>
          <cell r="W2054" t="str">
            <v>Fonctionnement</v>
          </cell>
        </row>
        <row r="2055">
          <cell r="A2055">
            <v>2019</v>
          </cell>
          <cell r="D2055" t="str">
            <v>DIRECTION CENTRALE DE LA PRODUCTION ET DE L'ANTENNE</v>
          </cell>
          <cell r="V2055">
            <v>20000</v>
          </cell>
          <cell r="W2055" t="str">
            <v>Fonctionnement</v>
          </cell>
        </row>
        <row r="2056">
          <cell r="A2056">
            <v>2019</v>
          </cell>
          <cell r="D2056" t="str">
            <v>DIRECTION CENTRALE DE LA PRODUCTION ET DE L'ANTENNE</v>
          </cell>
          <cell r="V2056">
            <v>15000</v>
          </cell>
          <cell r="W2056" t="str">
            <v>Fonctionnement</v>
          </cell>
        </row>
        <row r="2057">
          <cell r="A2057">
            <v>2019</v>
          </cell>
          <cell r="D2057" t="str">
            <v>DIRECTION CENTRALE DE LA PRODUCTION ET DE L'ANTENNE</v>
          </cell>
          <cell r="V2057">
            <v>20000</v>
          </cell>
          <cell r="W2057" t="str">
            <v>Fonctionnement</v>
          </cell>
        </row>
        <row r="2058">
          <cell r="A2058">
            <v>2019</v>
          </cell>
          <cell r="D2058" t="str">
            <v>DIRECTION CENTRALE DE LA PRODUCTION ET DE L'ANTENNE</v>
          </cell>
          <cell r="V2058">
            <v>15000</v>
          </cell>
          <cell r="W2058" t="str">
            <v>Fonctionnement</v>
          </cell>
        </row>
        <row r="2059">
          <cell r="A2059">
            <v>2019</v>
          </cell>
          <cell r="D2059" t="str">
            <v>DIRECTION CENTRALE DE LA PRODUCTION ET DE L'ANTENNE</v>
          </cell>
          <cell r="V2059">
            <v>20000</v>
          </cell>
          <cell r="W2059" t="str">
            <v>Fonctionnement</v>
          </cell>
        </row>
        <row r="2060">
          <cell r="A2060">
            <v>2019</v>
          </cell>
          <cell r="D2060" t="str">
            <v>DIRECTION CENTRALE DE LA PRODUCTION ET DE L'ANTENNE</v>
          </cell>
          <cell r="V2060">
            <v>35000</v>
          </cell>
          <cell r="W2060" t="str">
            <v>Fonctionnement</v>
          </cell>
        </row>
        <row r="2061">
          <cell r="A2061">
            <v>2019</v>
          </cell>
          <cell r="D2061" t="str">
            <v>DIRECTION CENTRALE DE LA PRODUCTION ET DE L'ANTENNE</v>
          </cell>
          <cell r="V2061">
            <v>200000</v>
          </cell>
          <cell r="W2061" t="str">
            <v>Fonctionnement</v>
          </cell>
        </row>
        <row r="2062">
          <cell r="A2062">
            <v>2019</v>
          </cell>
          <cell r="D2062" t="str">
            <v>DIRECTION CENTRALE DE LA PRODUCTION ET DE L'ANTENNE</v>
          </cell>
          <cell r="V2062">
            <v>25000</v>
          </cell>
          <cell r="W2062" t="str">
            <v>Fonctionnement</v>
          </cell>
        </row>
        <row r="2063">
          <cell r="A2063">
            <v>2019</v>
          </cell>
          <cell r="D2063" t="str">
            <v>DIRECTION CENTRALE DE LA PRODUCTION ET DE L'ANTENNE</v>
          </cell>
          <cell r="V2063">
            <v>20000</v>
          </cell>
          <cell r="W2063" t="str">
            <v>Fonctionnement</v>
          </cell>
        </row>
        <row r="2064">
          <cell r="A2064">
            <v>2019</v>
          </cell>
          <cell r="D2064" t="str">
            <v>DIRECTION CENTRALE DE LA PRODUCTION ET DE L'ANTENNE</v>
          </cell>
          <cell r="V2064">
            <v>25000</v>
          </cell>
          <cell r="W2064" t="str">
            <v>Fonctionnement</v>
          </cell>
        </row>
        <row r="2065">
          <cell r="A2065">
            <v>2019</v>
          </cell>
          <cell r="D2065" t="str">
            <v>DIRECTION CENTRALE DE LA PRODUCTION ET DE L'ANTENNE</v>
          </cell>
          <cell r="V2065">
            <v>20000</v>
          </cell>
          <cell r="W2065" t="str">
            <v>Fonctionnement</v>
          </cell>
        </row>
        <row r="2066">
          <cell r="A2066">
            <v>2019</v>
          </cell>
          <cell r="D2066" t="str">
            <v>DIRECTION CENTRALE DE LA PRODUCTION ET DE L'ANTENNE</v>
          </cell>
          <cell r="V2066">
            <v>20000</v>
          </cell>
          <cell r="W2066" t="str">
            <v>Fonctionnement</v>
          </cell>
        </row>
        <row r="2067">
          <cell r="A2067">
            <v>2019</v>
          </cell>
          <cell r="D2067" t="str">
            <v>DIRECTION CENTRALE DE LA PRODUCTION ET DE L'ANTENNE</v>
          </cell>
          <cell r="V2067">
            <v>15000</v>
          </cell>
          <cell r="W2067" t="str">
            <v>Fonctionnement</v>
          </cell>
        </row>
        <row r="2068">
          <cell r="A2068">
            <v>2019</v>
          </cell>
          <cell r="D2068" t="str">
            <v>DIRECTION CENTRALE DE LA PRODUCTION ET DE L'ANTENNE</v>
          </cell>
          <cell r="V2068">
            <v>10000</v>
          </cell>
          <cell r="W2068" t="str">
            <v>Fonctionnement</v>
          </cell>
        </row>
        <row r="2069">
          <cell r="A2069">
            <v>2019</v>
          </cell>
          <cell r="D2069" t="str">
            <v>DIRECTION CENTRALE DE LA PRODUCTION ET DE L'ANTENNE</v>
          </cell>
          <cell r="V2069">
            <v>20000</v>
          </cell>
          <cell r="W2069" t="str">
            <v>Fonctionnement</v>
          </cell>
        </row>
        <row r="2070">
          <cell r="A2070">
            <v>2019</v>
          </cell>
          <cell r="D2070" t="str">
            <v>DIRECTION CENTRALE DE LA PRODUCTION ET DE L'ANTENNE</v>
          </cell>
          <cell r="V2070">
            <v>35000</v>
          </cell>
          <cell r="W2070" t="str">
            <v>Fonctionnement</v>
          </cell>
        </row>
        <row r="2071">
          <cell r="A2071">
            <v>2019</v>
          </cell>
          <cell r="D2071" t="str">
            <v>DIRECTION CENTRALE DE LA PRODUCTION ET DE L'ANTENNE</v>
          </cell>
          <cell r="V2071">
            <v>25000</v>
          </cell>
          <cell r="W2071" t="str">
            <v>Fonctionnement</v>
          </cell>
        </row>
        <row r="2072">
          <cell r="A2072">
            <v>2019</v>
          </cell>
          <cell r="D2072" t="str">
            <v>DIRECTION CENTRALE DE LA PRODUCTION ET DE L'ANTENNE</v>
          </cell>
          <cell r="V2072">
            <v>15000</v>
          </cell>
          <cell r="W2072" t="str">
            <v>Fonctionnement</v>
          </cell>
        </row>
        <row r="2073">
          <cell r="A2073">
            <v>2019</v>
          </cell>
          <cell r="D2073" t="str">
            <v>DIRECTION CENTRALE DE LA PRODUCTION ET DE L'ANTENNE</v>
          </cell>
          <cell r="V2073">
            <v>15000</v>
          </cell>
          <cell r="W2073" t="str">
            <v>Fonctionnement</v>
          </cell>
        </row>
        <row r="2074">
          <cell r="A2074">
            <v>2019</v>
          </cell>
          <cell r="D2074" t="str">
            <v>DIRECTION CENTRALE DE LA PRODUCTION ET DE L'ANTENNE</v>
          </cell>
          <cell r="V2074">
            <v>15000</v>
          </cell>
          <cell r="W2074" t="str">
            <v>Fonctionnement</v>
          </cell>
        </row>
        <row r="2075">
          <cell r="A2075">
            <v>2019</v>
          </cell>
          <cell r="D2075" t="str">
            <v>DIRECTION CENTRALE DE LA PRODUCTION ET DE L'ANTENNE</v>
          </cell>
          <cell r="V2075">
            <v>20000</v>
          </cell>
          <cell r="W2075" t="str">
            <v>Fonctionnement</v>
          </cell>
        </row>
        <row r="2076">
          <cell r="A2076">
            <v>2019</v>
          </cell>
          <cell r="D2076" t="str">
            <v>DIRECTION CENTRALE DE LA PRODUCTION ET DE L'ANTENNE</v>
          </cell>
          <cell r="V2076">
            <v>20000</v>
          </cell>
          <cell r="W2076" t="str">
            <v>Fonctionnement</v>
          </cell>
        </row>
        <row r="2077">
          <cell r="A2077">
            <v>2019</v>
          </cell>
          <cell r="D2077" t="str">
            <v>DIRECTION CENTRALE DE LA PRODUCTION ET DE L'ANTENNE</v>
          </cell>
          <cell r="V2077">
            <v>20000</v>
          </cell>
          <cell r="W2077" t="str">
            <v>Fonctionnement</v>
          </cell>
        </row>
        <row r="2078">
          <cell r="A2078">
            <v>2019</v>
          </cell>
          <cell r="D2078" t="str">
            <v>DIRECTION CENTRALE DE LA PRODUCTION ET DE L'ANTENNE</v>
          </cell>
          <cell r="V2078">
            <v>15000</v>
          </cell>
          <cell r="W2078" t="str">
            <v>Fonctionnement</v>
          </cell>
        </row>
        <row r="2079">
          <cell r="A2079">
            <v>2019</v>
          </cell>
          <cell r="D2079" t="str">
            <v>DIRECTION CENTRALE DE LA PRODUCTION ET DE L'ANTENNE</v>
          </cell>
          <cell r="V2079">
            <v>35000</v>
          </cell>
          <cell r="W2079" t="str">
            <v>Fonctionnement</v>
          </cell>
        </row>
        <row r="2080">
          <cell r="A2080">
            <v>2019</v>
          </cell>
          <cell r="D2080" t="str">
            <v>DIRECTION CENTRALE DE LA PRODUCTION ET DE L'ANTENNE</v>
          </cell>
          <cell r="V2080">
            <v>15000</v>
          </cell>
          <cell r="W2080" t="str">
            <v>Fonctionnement</v>
          </cell>
        </row>
        <row r="2081">
          <cell r="A2081">
            <v>2019</v>
          </cell>
          <cell r="D2081" t="str">
            <v>DIRECTION CENTRALE DE LA PRODUCTION ET DE L'ANTENNE</v>
          </cell>
          <cell r="V2081">
            <v>15000</v>
          </cell>
          <cell r="W2081" t="str">
            <v>Fonctionnement</v>
          </cell>
        </row>
        <row r="2082">
          <cell r="A2082">
            <v>2019</v>
          </cell>
          <cell r="D2082" t="str">
            <v>DIRECTION CENTRALE DE LA PRODUCTION ET DE L'ANTENNE</v>
          </cell>
          <cell r="V2082">
            <v>15000</v>
          </cell>
          <cell r="W2082" t="str">
            <v>Fonctionnement</v>
          </cell>
        </row>
        <row r="2083">
          <cell r="A2083">
            <v>2019</v>
          </cell>
          <cell r="D2083" t="str">
            <v>DIRECTION CENTRALE DE LA PRODUCTION ET DE L'ANTENNE</v>
          </cell>
          <cell r="V2083">
            <v>15000</v>
          </cell>
          <cell r="W2083" t="str">
            <v>Fonctionnement</v>
          </cell>
        </row>
        <row r="2084">
          <cell r="A2084">
            <v>2019</v>
          </cell>
          <cell r="D2084" t="str">
            <v>DIRECTION CENTRALE DE LA PRODUCTION ET DE L'ANTENNE</v>
          </cell>
          <cell r="V2084">
            <v>15000</v>
          </cell>
          <cell r="W2084" t="str">
            <v>Fonctionnement</v>
          </cell>
        </row>
        <row r="2085">
          <cell r="A2085">
            <v>2019</v>
          </cell>
          <cell r="D2085" t="str">
            <v>DIRECTION CENTRALE DE LA PRODUCTION ET DE L'ANTENNE</v>
          </cell>
          <cell r="V2085">
            <v>15000</v>
          </cell>
          <cell r="W2085" t="str">
            <v>Fonctionnement</v>
          </cell>
        </row>
        <row r="2086">
          <cell r="A2086">
            <v>2019</v>
          </cell>
          <cell r="D2086" t="str">
            <v>DIRECTION CENTRALE DE LA PRODUCTION ET DE L'ANTENNE</v>
          </cell>
          <cell r="V2086">
            <v>15000</v>
          </cell>
          <cell r="W2086" t="str">
            <v>Fonctionnement</v>
          </cell>
        </row>
        <row r="2087">
          <cell r="A2087">
            <v>2019</v>
          </cell>
          <cell r="D2087" t="str">
            <v>DIRECTION CENTRALE DE LA PRODUCTION ET DE L'ANTENNE</v>
          </cell>
          <cell r="V2087">
            <v>35000</v>
          </cell>
          <cell r="W2087" t="str">
            <v>Fonctionnement</v>
          </cell>
        </row>
        <row r="2088">
          <cell r="A2088">
            <v>2019</v>
          </cell>
          <cell r="D2088" t="str">
            <v>DIRECTION CENTRALE DE LA PRODUCTION ET DE L'ANTENNE</v>
          </cell>
          <cell r="V2088">
            <v>20000</v>
          </cell>
          <cell r="W2088" t="str">
            <v>Fonctionnement</v>
          </cell>
        </row>
        <row r="2089">
          <cell r="A2089">
            <v>2019</v>
          </cell>
          <cell r="D2089" t="str">
            <v>DIRECTION CENTRALE DE LA PRODUCTION ET DE L'ANTENNE</v>
          </cell>
          <cell r="V2089">
            <v>15000</v>
          </cell>
          <cell r="W2089" t="str">
            <v>Fonctionnement</v>
          </cell>
        </row>
        <row r="2090">
          <cell r="A2090">
            <v>2019</v>
          </cell>
          <cell r="D2090" t="str">
            <v>DIRECTION CENTRALE DE LA PRODUCTION ET DE L'ANTENNE</v>
          </cell>
          <cell r="V2090">
            <v>20000</v>
          </cell>
          <cell r="W2090" t="str">
            <v>Fonctionnement</v>
          </cell>
        </row>
        <row r="2091">
          <cell r="A2091">
            <v>2019</v>
          </cell>
          <cell r="D2091" t="str">
            <v>DIRECTION CENTRALE DE LA PRODUCTION ET DE L'ANTENNE</v>
          </cell>
          <cell r="V2091">
            <v>10000</v>
          </cell>
          <cell r="W2091" t="str">
            <v>Fonctionnement</v>
          </cell>
        </row>
        <row r="2092">
          <cell r="A2092">
            <v>2019</v>
          </cell>
          <cell r="D2092" t="str">
            <v>DIRECTION CENTRALE DE LA PRODUCTION ET DE L'ANTENNE</v>
          </cell>
          <cell r="V2092">
            <v>15000</v>
          </cell>
          <cell r="W2092" t="str">
            <v>Fonctionnement</v>
          </cell>
        </row>
        <row r="2093">
          <cell r="A2093">
            <v>2019</v>
          </cell>
          <cell r="D2093" t="str">
            <v>DIRECTION CENTRALE DE LA PRODUCTION ET DE L'ANTENNE</v>
          </cell>
          <cell r="V2093">
            <v>20000</v>
          </cell>
          <cell r="W2093" t="str">
            <v>Fonctionnement</v>
          </cell>
        </row>
        <row r="2094">
          <cell r="A2094">
            <v>2019</v>
          </cell>
          <cell r="D2094" t="str">
            <v>DIRECTION CENTRALE DE LA PRODUCTION ET DE L'ANTENNE</v>
          </cell>
          <cell r="V2094">
            <v>35000</v>
          </cell>
          <cell r="W2094" t="str">
            <v>Fonctionnement</v>
          </cell>
        </row>
        <row r="2095">
          <cell r="A2095">
            <v>2019</v>
          </cell>
          <cell r="D2095" t="str">
            <v>DIRECTION CENTRALE DE LA PRODUCTION ET DE L'ANTENNE</v>
          </cell>
          <cell r="V2095">
            <v>15000</v>
          </cell>
          <cell r="W2095" t="str">
            <v>Fonctionnement</v>
          </cell>
        </row>
        <row r="2096">
          <cell r="A2096">
            <v>2019</v>
          </cell>
          <cell r="D2096" t="str">
            <v>DIRECTION CENTRALE DE LA PRODUCTION ET DE L'ANTENNE</v>
          </cell>
          <cell r="V2096">
            <v>15000</v>
          </cell>
          <cell r="W2096" t="str">
            <v>Fonctionnement</v>
          </cell>
        </row>
        <row r="2097">
          <cell r="A2097">
            <v>2019</v>
          </cell>
          <cell r="D2097" t="str">
            <v>DIRECTION CENTRALE DE LA PRODUCTION ET DE L'ANTENNE</v>
          </cell>
          <cell r="V2097">
            <v>15000</v>
          </cell>
          <cell r="W2097" t="str">
            <v>Fonctionnement</v>
          </cell>
        </row>
        <row r="2098">
          <cell r="A2098">
            <v>2019</v>
          </cell>
          <cell r="D2098" t="str">
            <v>DIRECTION CENTRALE DE LA PRODUCTION ET DE L'ANTENNE</v>
          </cell>
          <cell r="V2098">
            <v>15000</v>
          </cell>
          <cell r="W2098" t="str">
            <v>Fonctionnement</v>
          </cell>
        </row>
        <row r="2099">
          <cell r="A2099">
            <v>2019</v>
          </cell>
          <cell r="D2099" t="str">
            <v>DIRECTION CENTRALE DE LA PRODUCTION ET DE L'ANTENNE</v>
          </cell>
          <cell r="V2099">
            <v>15000</v>
          </cell>
          <cell r="W2099" t="str">
            <v>Fonctionnement</v>
          </cell>
        </row>
        <row r="2100">
          <cell r="A2100">
            <v>2019</v>
          </cell>
          <cell r="D2100" t="str">
            <v>DIRECTION CENTRALE DE LA PRODUCTION ET DE L'ANTENNE</v>
          </cell>
          <cell r="V2100">
            <v>15000</v>
          </cell>
          <cell r="W2100" t="str">
            <v>Fonctionnement</v>
          </cell>
        </row>
        <row r="2101">
          <cell r="A2101">
            <v>2019</v>
          </cell>
          <cell r="D2101" t="str">
            <v>DIRECTION CENTRALE DE LA PRODUCTION ET DE L'ANTENNE</v>
          </cell>
          <cell r="V2101">
            <v>50000</v>
          </cell>
          <cell r="W2101" t="str">
            <v>Fonctionnement</v>
          </cell>
        </row>
        <row r="2102">
          <cell r="A2102">
            <v>2019</v>
          </cell>
          <cell r="D2102" t="str">
            <v>DIRECTION CENTRALE DE LA PRODUCTION ET DE L'ANTENNE</v>
          </cell>
          <cell r="V2102">
            <v>20000</v>
          </cell>
          <cell r="W2102" t="str">
            <v>Fonctionnement</v>
          </cell>
        </row>
        <row r="2103">
          <cell r="A2103">
            <v>2019</v>
          </cell>
          <cell r="D2103" t="str">
            <v>DIRECTION CENTRALE DE LA PRODUCTION ET DE L'ANTENNE</v>
          </cell>
          <cell r="V2103">
            <v>35000</v>
          </cell>
          <cell r="W2103" t="str">
            <v>Fonctionnement</v>
          </cell>
        </row>
        <row r="2104">
          <cell r="A2104">
            <v>2019</v>
          </cell>
          <cell r="D2104" t="str">
            <v>DIRECTION CENTRALE DE LA PRODUCTION ET DE L'ANTENNE</v>
          </cell>
          <cell r="V2104">
            <v>240000</v>
          </cell>
          <cell r="W2104" t="str">
            <v>Fonctionnement</v>
          </cell>
        </row>
        <row r="2105">
          <cell r="A2105">
            <v>2019</v>
          </cell>
          <cell r="D2105" t="str">
            <v>DIRECTION CENTRALE DE LA PRODUCTION ET DE L'ANTENNE</v>
          </cell>
          <cell r="V2105">
            <v>180000</v>
          </cell>
          <cell r="W2105" t="str">
            <v>Fonctionnement</v>
          </cell>
        </row>
        <row r="2106">
          <cell r="A2106">
            <v>2019</v>
          </cell>
          <cell r="D2106" t="str">
            <v>DIRECTION CENTRALE DE LA PRODUCTION ET DE L'ANTENNE</v>
          </cell>
          <cell r="V2106">
            <v>200000</v>
          </cell>
          <cell r="W2106" t="str">
            <v>Fonctionnement</v>
          </cell>
        </row>
        <row r="2107">
          <cell r="A2107">
            <v>2019</v>
          </cell>
          <cell r="D2107" t="str">
            <v>DIRECTION CENTRALE DE LA PRODUCTION ET DE L'ANTENNE</v>
          </cell>
          <cell r="V2107">
            <v>200000</v>
          </cell>
          <cell r="W2107" t="str">
            <v>Fonctionnement</v>
          </cell>
        </row>
        <row r="2108">
          <cell r="A2108">
            <v>2019</v>
          </cell>
          <cell r="D2108" t="str">
            <v>DIRECTION CENTRALE DE LA PRODUCTION ET DE L'ANTENNE</v>
          </cell>
          <cell r="V2108">
            <v>200000</v>
          </cell>
          <cell r="W2108" t="str">
            <v>Fonctionnement</v>
          </cell>
        </row>
        <row r="2109">
          <cell r="A2109">
            <v>2019</v>
          </cell>
          <cell r="D2109" t="str">
            <v>DIRECTION CENTRALE DE LA PRODUCTION ET DE L'ANTENNE</v>
          </cell>
          <cell r="V2109">
            <v>4980000</v>
          </cell>
          <cell r="W2109" t="str">
            <v>Fonctionnement</v>
          </cell>
        </row>
        <row r="2110">
          <cell r="A2110">
            <v>2019</v>
          </cell>
          <cell r="D2110" t="str">
            <v>DIRECTION CENTRALE DE LA PRODUCTION ET DE L'ANTENNE</v>
          </cell>
          <cell r="V2110">
            <v>9131452.7999999989</v>
          </cell>
          <cell r="W2110" t="str">
            <v>Fonctionnement</v>
          </cell>
        </row>
        <row r="2111">
          <cell r="A2111">
            <v>2019</v>
          </cell>
          <cell r="D2111" t="str">
            <v>DIRECTION CENTRALE DE LA PRODUCTION ET DE L'ANTENNE</v>
          </cell>
          <cell r="V2111">
            <v>300000</v>
          </cell>
          <cell r="W2111" t="str">
            <v>Fonctionnement</v>
          </cell>
        </row>
        <row r="2112">
          <cell r="A2112">
            <v>2019</v>
          </cell>
          <cell r="D2112" t="str">
            <v>DIRECTION CENTRALE DE LA PRODUCTION ET DE L'ANTENNE</v>
          </cell>
          <cell r="V2112">
            <v>40000</v>
          </cell>
          <cell r="W2112" t="str">
            <v>Fonctionnement</v>
          </cell>
        </row>
        <row r="2113">
          <cell r="A2113">
            <v>2019</v>
          </cell>
          <cell r="D2113" t="str">
            <v>DIRECTION CENTRALE DE LA PRODUCTION ET DE L'ANTENNE</v>
          </cell>
          <cell r="V2113">
            <v>40000</v>
          </cell>
          <cell r="W2113" t="str">
            <v>Fonctionnement</v>
          </cell>
        </row>
        <row r="2114">
          <cell r="A2114">
            <v>2019</v>
          </cell>
          <cell r="D2114" t="str">
            <v>DIRECTION CENTRALE DE LA PRODUCTION ET DE L'ANTENNE</v>
          </cell>
          <cell r="V2114">
            <v>40000</v>
          </cell>
          <cell r="W2114" t="str">
            <v>Fonctionnement</v>
          </cell>
        </row>
        <row r="2115">
          <cell r="A2115">
            <v>2019</v>
          </cell>
          <cell r="D2115" t="str">
            <v>DIRECTION CENTRALE DE LA PRODUCTION ET DE L'ANTENNE</v>
          </cell>
          <cell r="V2115">
            <v>45000</v>
          </cell>
          <cell r="W2115" t="str">
            <v>Fonctionnement</v>
          </cell>
        </row>
        <row r="2116">
          <cell r="A2116">
            <v>2019</v>
          </cell>
          <cell r="D2116" t="str">
            <v>DIRECTION CENTRALE DE LA PRODUCTION ET DE L'ANTENNE</v>
          </cell>
          <cell r="V2116">
            <v>45000</v>
          </cell>
          <cell r="W2116" t="str">
            <v>Fonctionnement</v>
          </cell>
        </row>
        <row r="2117">
          <cell r="A2117">
            <v>2019</v>
          </cell>
          <cell r="D2117" t="str">
            <v>DIRECTION CENTRALE DE LA PRODUCTION ET DE L'ANTENNE</v>
          </cell>
          <cell r="V2117">
            <v>30000</v>
          </cell>
          <cell r="W2117" t="str">
            <v>Fonctionnement</v>
          </cell>
        </row>
        <row r="2118">
          <cell r="A2118">
            <v>2019</v>
          </cell>
          <cell r="D2118" t="str">
            <v>DIRECTION CENTRALE DE LA PRODUCTION ET DE L'ANTENNE</v>
          </cell>
          <cell r="V2118">
            <v>15000</v>
          </cell>
          <cell r="W2118" t="str">
            <v>Fonctionnement</v>
          </cell>
        </row>
        <row r="2119">
          <cell r="A2119">
            <v>2019</v>
          </cell>
          <cell r="D2119" t="str">
            <v>DIRECTION CENTRALE DE LA PRODUCTION ET DE L'ANTENNE</v>
          </cell>
          <cell r="V2119">
            <v>25000</v>
          </cell>
          <cell r="W2119" t="str">
            <v>Fonctionnement</v>
          </cell>
        </row>
        <row r="2120">
          <cell r="A2120">
            <v>2019</v>
          </cell>
          <cell r="D2120" t="str">
            <v>DIRECTION CENTRALE DE LA PRODUCTION ET DE L'ANTENNE</v>
          </cell>
          <cell r="V2120">
            <v>15000</v>
          </cell>
          <cell r="W2120" t="str">
            <v>Fonctionnement</v>
          </cell>
        </row>
        <row r="2121">
          <cell r="A2121">
            <v>2019</v>
          </cell>
          <cell r="D2121" t="str">
            <v>DIRECTION CENTRALE DE LA PRODUCTION ET DE L'ANTENNE</v>
          </cell>
          <cell r="V2121">
            <v>15000</v>
          </cell>
          <cell r="W2121" t="str">
            <v>Fonctionnement</v>
          </cell>
        </row>
        <row r="2122">
          <cell r="A2122">
            <v>2019</v>
          </cell>
          <cell r="D2122" t="str">
            <v>DIRECTION CENTRALE DE LA PRODUCTION ET DE L'ANTENNE</v>
          </cell>
          <cell r="V2122">
            <v>25000</v>
          </cell>
          <cell r="W2122" t="str">
            <v>Fonctionnement</v>
          </cell>
        </row>
        <row r="2123">
          <cell r="A2123">
            <v>2019</v>
          </cell>
          <cell r="D2123" t="str">
            <v>DIRECTION CENTRALE DE LA PRODUCTION ET DE L'ANTENNE</v>
          </cell>
          <cell r="V2123">
            <v>30000</v>
          </cell>
          <cell r="W2123" t="str">
            <v>Fonctionnement</v>
          </cell>
        </row>
        <row r="2124">
          <cell r="A2124">
            <v>2019</v>
          </cell>
          <cell r="D2124" t="str">
            <v>DIRECTION CENTRALE DE LA PRODUCTION ET DE L'ANTENNE</v>
          </cell>
          <cell r="V2124">
            <v>10000</v>
          </cell>
          <cell r="W2124" t="str">
            <v>Fonctionnement</v>
          </cell>
        </row>
        <row r="2125">
          <cell r="A2125">
            <v>2019</v>
          </cell>
          <cell r="D2125" t="str">
            <v>DIRECTION CENTRALE DE LA PRODUCTION ET DE L'ANTENNE</v>
          </cell>
          <cell r="V2125">
            <v>15000</v>
          </cell>
          <cell r="W2125" t="str">
            <v>Fonctionnement</v>
          </cell>
        </row>
        <row r="2126">
          <cell r="A2126">
            <v>2019</v>
          </cell>
          <cell r="D2126" t="str">
            <v>DIRECTION CENTRALE DE LA PRODUCTION ET DE L'ANTENNE</v>
          </cell>
          <cell r="V2126">
            <v>15000</v>
          </cell>
          <cell r="W2126" t="str">
            <v>Fonctionnement</v>
          </cell>
        </row>
        <row r="2127">
          <cell r="A2127">
            <v>2019</v>
          </cell>
          <cell r="D2127" t="str">
            <v>DIRECTION CENTRALE DE LA PRODUCTION ET DE L'ANTENNE</v>
          </cell>
          <cell r="V2127">
            <v>15000</v>
          </cell>
          <cell r="W2127" t="str">
            <v>Fonctionnement</v>
          </cell>
        </row>
        <row r="2128">
          <cell r="A2128">
            <v>2019</v>
          </cell>
          <cell r="D2128" t="str">
            <v>DIRECTION CENTRALE DE LA PRODUCTION ET DE L'ANTENNE</v>
          </cell>
          <cell r="V2128">
            <v>30000</v>
          </cell>
          <cell r="W2128" t="str">
            <v>Fonctionnement</v>
          </cell>
        </row>
        <row r="2129">
          <cell r="A2129">
            <v>2019</v>
          </cell>
          <cell r="D2129" t="str">
            <v>DIRECTION CENTRALE DE LA PRODUCTION ET DE L'ANTENNE</v>
          </cell>
          <cell r="V2129">
            <v>20000</v>
          </cell>
          <cell r="W2129" t="str">
            <v>Fonctionnement</v>
          </cell>
        </row>
        <row r="2130">
          <cell r="A2130">
            <v>2019</v>
          </cell>
          <cell r="D2130" t="str">
            <v>DIRECTION CENTRALE DE LA PRODUCTION ET DE L'ANTENNE</v>
          </cell>
          <cell r="V2130">
            <v>20000</v>
          </cell>
          <cell r="W2130" t="str">
            <v>Fonctionnement</v>
          </cell>
        </row>
        <row r="2131">
          <cell r="A2131">
            <v>2019</v>
          </cell>
          <cell r="D2131" t="str">
            <v>DIRECTION CENTRALE DE LA PRODUCTION ET DE L'ANTENNE</v>
          </cell>
          <cell r="V2131">
            <v>35000</v>
          </cell>
          <cell r="W2131" t="str">
            <v>Fonctionnement</v>
          </cell>
        </row>
        <row r="2132">
          <cell r="A2132">
            <v>2019</v>
          </cell>
          <cell r="D2132" t="str">
            <v>DIRECTION CENTRALE DE LA PRODUCTION ET DE L'ANTENNE</v>
          </cell>
          <cell r="V2132">
            <v>15000</v>
          </cell>
          <cell r="W2132" t="str">
            <v>Fonctionnement</v>
          </cell>
        </row>
        <row r="2133">
          <cell r="A2133">
            <v>2019</v>
          </cell>
          <cell r="D2133" t="str">
            <v>DIRECTION CENTRALE DE LA PRODUCTION ET DE L'ANTENNE</v>
          </cell>
          <cell r="V2133">
            <v>15000</v>
          </cell>
          <cell r="W2133" t="str">
            <v>Fonctionnement</v>
          </cell>
        </row>
        <row r="2134">
          <cell r="A2134">
            <v>2019</v>
          </cell>
          <cell r="D2134" t="str">
            <v>DIRECTION CENTRALE DE LA PRODUCTION ET DE L'ANTENNE</v>
          </cell>
          <cell r="V2134">
            <v>15000</v>
          </cell>
          <cell r="W2134" t="str">
            <v>Fonctionnement</v>
          </cell>
        </row>
        <row r="2135">
          <cell r="A2135">
            <v>2019</v>
          </cell>
          <cell r="D2135" t="str">
            <v>DIRECTION CENTRALE DE LA PRODUCTION ET DE L'ANTENNE</v>
          </cell>
          <cell r="V2135">
            <v>15000</v>
          </cell>
          <cell r="W2135" t="str">
            <v>Fonctionnement</v>
          </cell>
        </row>
        <row r="2136">
          <cell r="A2136">
            <v>2019</v>
          </cell>
          <cell r="D2136" t="str">
            <v>DIRECTION CENTRALE DE LA PRODUCTION ET DE L'ANTENNE</v>
          </cell>
          <cell r="V2136">
            <v>15000</v>
          </cell>
          <cell r="W2136" t="str">
            <v>Fonctionnement</v>
          </cell>
        </row>
        <row r="2137">
          <cell r="A2137">
            <v>2019</v>
          </cell>
          <cell r="D2137" t="str">
            <v>DIRECTION CENTRALE DE LA PRODUCTION ET DE L'ANTENNE</v>
          </cell>
          <cell r="V2137">
            <v>15000</v>
          </cell>
          <cell r="W2137" t="str">
            <v>Fonctionnement</v>
          </cell>
        </row>
        <row r="2138">
          <cell r="A2138">
            <v>2019</v>
          </cell>
          <cell r="D2138" t="str">
            <v>DIRECTION CENTRALE DE LA PRODUCTION ET DE L'ANTENNE</v>
          </cell>
          <cell r="V2138">
            <v>15000</v>
          </cell>
          <cell r="W2138" t="str">
            <v>Fonctionnement</v>
          </cell>
        </row>
        <row r="2139">
          <cell r="A2139">
            <v>2019</v>
          </cell>
          <cell r="D2139" t="str">
            <v>DIRECTION CENTRALE DE LA PRODUCTION ET DE L'ANTENNE</v>
          </cell>
          <cell r="V2139">
            <v>180000</v>
          </cell>
          <cell r="W2139" t="str">
            <v>Fonctionnement</v>
          </cell>
        </row>
        <row r="2140">
          <cell r="A2140">
            <v>2019</v>
          </cell>
          <cell r="D2140" t="str">
            <v>DIRECTION CENTRALE DE LA PRODUCTION ET DE L'ANTENNE</v>
          </cell>
          <cell r="V2140">
            <v>150000</v>
          </cell>
          <cell r="W2140" t="str">
            <v>Fonctionnement</v>
          </cell>
        </row>
        <row r="2141">
          <cell r="A2141">
            <v>2019</v>
          </cell>
          <cell r="D2141" t="str">
            <v>DIRECTION CENTRALE DE LA PRODUCTION ET DE L'ANTENNE</v>
          </cell>
          <cell r="V2141">
            <v>15000</v>
          </cell>
          <cell r="W2141" t="str">
            <v>Fonctionnement</v>
          </cell>
        </row>
        <row r="2142">
          <cell r="A2142">
            <v>2019</v>
          </cell>
          <cell r="D2142" t="str">
            <v>DIRECTION CENTRALE DE LA PRODUCTION ET DE L'ANTENNE</v>
          </cell>
          <cell r="V2142">
            <v>20000</v>
          </cell>
          <cell r="W2142" t="str">
            <v>Fonctionnement</v>
          </cell>
        </row>
        <row r="2143">
          <cell r="A2143">
            <v>2019</v>
          </cell>
          <cell r="D2143" t="str">
            <v>DIRECTION CENTRALE DE LA PRODUCTION ET DE L'ANTENNE</v>
          </cell>
          <cell r="V2143">
            <v>20000</v>
          </cell>
          <cell r="W2143" t="str">
            <v>Fonctionnement</v>
          </cell>
        </row>
        <row r="2144">
          <cell r="A2144">
            <v>2019</v>
          </cell>
          <cell r="D2144" t="str">
            <v>DIRECTION CENTRALE DE LA PRODUCTION ET DE L'ANTENNE</v>
          </cell>
          <cell r="V2144">
            <v>10000</v>
          </cell>
          <cell r="W2144" t="str">
            <v>Fonctionnement</v>
          </cell>
        </row>
        <row r="2145">
          <cell r="A2145">
            <v>2019</v>
          </cell>
          <cell r="D2145" t="str">
            <v>DIRECTION CENTRALE DE LA PRODUCTION ET DE L'ANTENNE</v>
          </cell>
          <cell r="V2145">
            <v>15000</v>
          </cell>
          <cell r="W2145" t="str">
            <v>Fonctionnement</v>
          </cell>
        </row>
        <row r="2146">
          <cell r="A2146">
            <v>2019</v>
          </cell>
          <cell r="D2146" t="str">
            <v>DIRECTION CENTRALE DE LA PRODUCTION ET DE L'ANTENNE</v>
          </cell>
          <cell r="V2146">
            <v>30000</v>
          </cell>
          <cell r="W2146" t="str">
            <v>Fonctionnement</v>
          </cell>
        </row>
        <row r="2147">
          <cell r="A2147">
            <v>2019</v>
          </cell>
          <cell r="D2147" t="str">
            <v>DIRECTION CENTRALE DE LA PRODUCTION ET DE L'ANTENNE</v>
          </cell>
          <cell r="V2147">
            <v>15000</v>
          </cell>
          <cell r="W2147" t="str">
            <v>Fonctionnement</v>
          </cell>
        </row>
        <row r="2148">
          <cell r="A2148">
            <v>2019</v>
          </cell>
          <cell r="D2148" t="str">
            <v>DIRECTION CENTRALE DE LA PRODUCTION ET DE L'ANTENNE</v>
          </cell>
          <cell r="V2148">
            <v>15000</v>
          </cell>
          <cell r="W2148" t="str">
            <v>Fonctionnement</v>
          </cell>
        </row>
        <row r="2149">
          <cell r="A2149">
            <v>2019</v>
          </cell>
          <cell r="D2149" t="str">
            <v>DIRECTION CENTRALE DE LA PRODUCTION ET DE L'ANTENNE</v>
          </cell>
          <cell r="V2149">
            <v>30000</v>
          </cell>
          <cell r="W2149" t="str">
            <v>Fonctionnement</v>
          </cell>
        </row>
        <row r="2150">
          <cell r="A2150">
            <v>2019</v>
          </cell>
          <cell r="D2150" t="str">
            <v>DIRECTION CENTRALE DE LA PRODUCTION ET DE L'ANTENNE</v>
          </cell>
          <cell r="V2150">
            <v>20000</v>
          </cell>
          <cell r="W2150" t="str">
            <v>Fonctionnement</v>
          </cell>
        </row>
        <row r="2151">
          <cell r="A2151">
            <v>2019</v>
          </cell>
          <cell r="D2151" t="str">
            <v>DIRECTION CENTRALE DE LA PRODUCTION ET DE L'ANTENNE</v>
          </cell>
          <cell r="V2151">
            <v>20000</v>
          </cell>
          <cell r="W2151" t="str">
            <v>Fonctionnement</v>
          </cell>
        </row>
        <row r="2152">
          <cell r="A2152">
            <v>2019</v>
          </cell>
          <cell r="D2152" t="str">
            <v>DIRECTION CENTRALE DE LA PRODUCTION ET DE L'ANTENNE</v>
          </cell>
          <cell r="V2152">
            <v>20000</v>
          </cell>
          <cell r="W2152" t="str">
            <v>Fonctionnement</v>
          </cell>
        </row>
        <row r="2153">
          <cell r="A2153">
            <v>2019</v>
          </cell>
          <cell r="D2153" t="str">
            <v>DIRECTION CENTRALE DE LA PRODUCTION ET DE L'ANTENNE</v>
          </cell>
          <cell r="V2153">
            <v>15000</v>
          </cell>
          <cell r="W2153" t="str">
            <v>Fonctionnement</v>
          </cell>
        </row>
        <row r="2154">
          <cell r="A2154">
            <v>2019</v>
          </cell>
          <cell r="D2154" t="str">
            <v>DIRECTION CENTRALE DE LA PRODUCTION ET DE L'ANTENNE</v>
          </cell>
          <cell r="V2154">
            <v>25000</v>
          </cell>
          <cell r="W2154" t="str">
            <v>Fonctionnement</v>
          </cell>
        </row>
        <row r="2155">
          <cell r="A2155">
            <v>2019</v>
          </cell>
          <cell r="D2155" t="str">
            <v>DIRECTION CENTRALE DE LA PRODUCTION ET DE L'ANTENNE</v>
          </cell>
          <cell r="V2155">
            <v>35000</v>
          </cell>
          <cell r="W2155" t="str">
            <v>Fonctionnement</v>
          </cell>
        </row>
        <row r="2156">
          <cell r="A2156">
            <v>2019</v>
          </cell>
          <cell r="D2156" t="str">
            <v>DIRECTION CENTRALE DE LA PRODUCTION ET DE L'ANTENNE</v>
          </cell>
          <cell r="V2156">
            <v>15000</v>
          </cell>
          <cell r="W2156" t="str">
            <v>Fonctionnement</v>
          </cell>
        </row>
        <row r="2157">
          <cell r="A2157">
            <v>2019</v>
          </cell>
          <cell r="D2157" t="str">
            <v>DIRECTION CENTRALE DE LA PRODUCTION ET DE L'ANTENNE</v>
          </cell>
          <cell r="V2157">
            <v>20000</v>
          </cell>
          <cell r="W2157" t="str">
            <v>Fonctionnement</v>
          </cell>
        </row>
        <row r="2158">
          <cell r="A2158">
            <v>2019</v>
          </cell>
          <cell r="D2158" t="str">
            <v>DIRECTION CENTRALE DE LA PRODUCTION ET DE L'ANTENNE</v>
          </cell>
          <cell r="V2158">
            <v>15000</v>
          </cell>
          <cell r="W2158" t="str">
            <v>Fonctionnement</v>
          </cell>
        </row>
        <row r="2159">
          <cell r="A2159">
            <v>2019</v>
          </cell>
          <cell r="D2159" t="str">
            <v>DIRECTION CENTRALE DE LA PRODUCTION ET DE L'ANTENNE</v>
          </cell>
          <cell r="V2159">
            <v>15000</v>
          </cell>
          <cell r="W2159" t="str">
            <v>Fonctionnement</v>
          </cell>
        </row>
        <row r="2160">
          <cell r="A2160">
            <v>2019</v>
          </cell>
          <cell r="D2160" t="str">
            <v>DIRECTION CENTRALE DE LA PRODUCTION ET DE L'ANTENNE</v>
          </cell>
          <cell r="V2160">
            <v>15000</v>
          </cell>
          <cell r="W2160" t="str">
            <v>Fonctionnement</v>
          </cell>
        </row>
        <row r="2161">
          <cell r="A2161">
            <v>2019</v>
          </cell>
          <cell r="D2161" t="str">
            <v>DIRECTION CENTRALE DE LA PRODUCTION ET DE L'ANTENNE</v>
          </cell>
          <cell r="V2161">
            <v>20000</v>
          </cell>
          <cell r="W2161" t="str">
            <v>Fonctionnement</v>
          </cell>
        </row>
        <row r="2162">
          <cell r="A2162">
            <v>2019</v>
          </cell>
          <cell r="D2162" t="str">
            <v>DIRECTION CENTRALE DE LA PRODUCTION ET DE L'ANTENNE</v>
          </cell>
          <cell r="V2162">
            <v>15000</v>
          </cell>
          <cell r="W2162" t="str">
            <v>Fonctionnement</v>
          </cell>
        </row>
        <row r="2163">
          <cell r="A2163">
            <v>2019</v>
          </cell>
          <cell r="D2163" t="str">
            <v>DIRECTION CENTRALE DE LA PRODUCTION ET DE L'ANTENNE</v>
          </cell>
          <cell r="V2163">
            <v>15000</v>
          </cell>
          <cell r="W2163" t="str">
            <v>Fonctionnement</v>
          </cell>
        </row>
        <row r="2164">
          <cell r="A2164">
            <v>2019</v>
          </cell>
          <cell r="D2164" t="str">
            <v>DIRECTION CENTRALE DE LA PRODUCTION ET DE L'ANTENNE</v>
          </cell>
          <cell r="V2164">
            <v>35000</v>
          </cell>
          <cell r="W2164" t="str">
            <v>Fonctionnement</v>
          </cell>
        </row>
        <row r="2165">
          <cell r="A2165">
            <v>2019</v>
          </cell>
          <cell r="D2165" t="str">
            <v>DIRECTION CENTRALE DE LA PRODUCTION ET DE L'ANTENNE</v>
          </cell>
          <cell r="V2165">
            <v>180000</v>
          </cell>
          <cell r="W2165" t="str">
            <v>Fonctionnement</v>
          </cell>
        </row>
        <row r="2166">
          <cell r="A2166">
            <v>2019</v>
          </cell>
          <cell r="D2166" t="str">
            <v>DIRECTION CENTRALE DE LA PRODUCTION ET DE L'ANTENNE</v>
          </cell>
          <cell r="V2166">
            <v>15000</v>
          </cell>
          <cell r="W2166" t="str">
            <v>Fonctionnement</v>
          </cell>
        </row>
        <row r="2167">
          <cell r="A2167">
            <v>2019</v>
          </cell>
          <cell r="D2167" t="str">
            <v>DIRECTION CENTRALE DE LA PRODUCTION ET DE L'ANTENNE</v>
          </cell>
          <cell r="V2167">
            <v>35000</v>
          </cell>
          <cell r="W2167" t="str">
            <v>Fonctionnement</v>
          </cell>
        </row>
        <row r="2168">
          <cell r="A2168">
            <v>2019</v>
          </cell>
          <cell r="D2168" t="str">
            <v>DIRECTION CENTRALE DE LA PRODUCTION ET DE L'ANTENNE</v>
          </cell>
          <cell r="V2168">
            <v>15000</v>
          </cell>
          <cell r="W2168" t="str">
            <v>Fonctionnement</v>
          </cell>
        </row>
        <row r="2169">
          <cell r="A2169">
            <v>2019</v>
          </cell>
          <cell r="D2169" t="str">
            <v>DIRECTION CENTRALE DE LA PRODUCTION ET DE L'ANTENNE</v>
          </cell>
          <cell r="V2169">
            <v>15000</v>
          </cell>
          <cell r="W2169" t="str">
            <v>Fonctionnement</v>
          </cell>
        </row>
        <row r="2170">
          <cell r="A2170">
            <v>2019</v>
          </cell>
          <cell r="D2170" t="str">
            <v>DIRECTION CENTRALE DE LA PRODUCTION ET DE L'ANTENNE</v>
          </cell>
          <cell r="V2170">
            <v>15000</v>
          </cell>
          <cell r="W2170" t="str">
            <v>Fonctionnement</v>
          </cell>
        </row>
        <row r="2171">
          <cell r="A2171">
            <v>2019</v>
          </cell>
          <cell r="D2171" t="str">
            <v>DIRECTION CENTRALE DE LA PRODUCTION ET DE L'ANTENNE</v>
          </cell>
          <cell r="V2171">
            <v>15000</v>
          </cell>
          <cell r="W2171" t="str">
            <v>Fonctionnement</v>
          </cell>
        </row>
        <row r="2172">
          <cell r="A2172">
            <v>2019</v>
          </cell>
          <cell r="D2172" t="str">
            <v>DIRECTION CENTRALE DE LA PRODUCTION ET DE L'ANTENNE</v>
          </cell>
          <cell r="V2172">
            <v>15000</v>
          </cell>
          <cell r="W2172" t="str">
            <v>Fonctionnement</v>
          </cell>
        </row>
        <row r="2173">
          <cell r="A2173">
            <v>2019</v>
          </cell>
          <cell r="D2173" t="str">
            <v>DIRECTION CENTRALE DE LA PRODUCTION ET DE L'ANTENNE</v>
          </cell>
          <cell r="V2173">
            <v>15000</v>
          </cell>
          <cell r="W2173" t="str">
            <v>Fonctionnement</v>
          </cell>
        </row>
        <row r="2174">
          <cell r="A2174">
            <v>2019</v>
          </cell>
          <cell r="D2174" t="str">
            <v>DIRECTION CENTRALE DE LA PRODUCTION ET DE L'ANTENNE</v>
          </cell>
          <cell r="V2174">
            <v>25000</v>
          </cell>
          <cell r="W2174" t="str">
            <v>Fonctionnement</v>
          </cell>
        </row>
        <row r="2175">
          <cell r="A2175">
            <v>2019</v>
          </cell>
          <cell r="D2175" t="str">
            <v>DIRECTION CENTRALE DE LA PRODUCTION ET DE L'ANTENNE</v>
          </cell>
          <cell r="V2175">
            <v>15000</v>
          </cell>
          <cell r="W2175" t="str">
            <v>Fonctionnement</v>
          </cell>
        </row>
        <row r="2176">
          <cell r="A2176">
            <v>2019</v>
          </cell>
          <cell r="D2176" t="str">
            <v>DIRECTION CENTRALE DE LA PRODUCTION ET DE L'ANTENNE</v>
          </cell>
          <cell r="V2176">
            <v>15000</v>
          </cell>
          <cell r="W2176" t="str">
            <v>Fonctionnement</v>
          </cell>
        </row>
        <row r="2177">
          <cell r="A2177">
            <v>2019</v>
          </cell>
          <cell r="D2177" t="str">
            <v>DIRECTION CENTRALE DE LA PRODUCTION ET DE L'ANTENNE</v>
          </cell>
          <cell r="V2177">
            <v>15000</v>
          </cell>
          <cell r="W2177" t="str">
            <v>Fonctionnement</v>
          </cell>
        </row>
        <row r="2178">
          <cell r="A2178">
            <v>2019</v>
          </cell>
          <cell r="D2178" t="str">
            <v>DIRECTION CENTRALE DE LA PRODUCTION ET DE L'ANTENNE</v>
          </cell>
          <cell r="V2178">
            <v>15000</v>
          </cell>
          <cell r="W2178" t="str">
            <v>Fonctionnement</v>
          </cell>
        </row>
        <row r="2179">
          <cell r="A2179">
            <v>2019</v>
          </cell>
          <cell r="D2179" t="str">
            <v>DIRECTION CENTRALE DE LA PRODUCTION ET DE L'ANTENNE</v>
          </cell>
          <cell r="V2179">
            <v>15000</v>
          </cell>
          <cell r="W2179" t="str">
            <v>Fonctionnement</v>
          </cell>
        </row>
        <row r="2180">
          <cell r="A2180">
            <v>2019</v>
          </cell>
          <cell r="D2180" t="str">
            <v>DIRECTION CENTRALE DE LA PRODUCTION ET DE L'ANTENNE</v>
          </cell>
          <cell r="V2180">
            <v>15000</v>
          </cell>
          <cell r="W2180" t="str">
            <v>Fonctionnement</v>
          </cell>
        </row>
        <row r="2181">
          <cell r="A2181">
            <v>2019</v>
          </cell>
          <cell r="D2181" t="str">
            <v>DIRECTION CENTRALE DE LA PRODUCTION ET DE L'ANTENNE</v>
          </cell>
          <cell r="V2181">
            <v>15000</v>
          </cell>
          <cell r="W2181" t="str">
            <v>Fonctionnement</v>
          </cell>
        </row>
        <row r="2182">
          <cell r="A2182">
            <v>2019</v>
          </cell>
          <cell r="D2182" t="str">
            <v>DIRECTION CENTRALE DE LA PRODUCTION ET DE L'ANTENNE</v>
          </cell>
          <cell r="V2182">
            <v>15000</v>
          </cell>
          <cell r="W2182" t="str">
            <v>Fonctionnement</v>
          </cell>
        </row>
        <row r="2183">
          <cell r="A2183">
            <v>2019</v>
          </cell>
          <cell r="D2183" t="str">
            <v>DIRECTION CENTRALE DE LA PRODUCTION ET DE L'ANTENNE</v>
          </cell>
          <cell r="V2183">
            <v>15000</v>
          </cell>
          <cell r="W2183" t="str">
            <v>Fonctionnement</v>
          </cell>
        </row>
        <row r="2184">
          <cell r="A2184">
            <v>2019</v>
          </cell>
          <cell r="D2184" t="str">
            <v>DIRECTION CENTRALE DE LA PRODUCTION ET DE L'ANTENNE</v>
          </cell>
          <cell r="V2184">
            <v>15000</v>
          </cell>
          <cell r="W2184" t="str">
            <v>Fonctionnement</v>
          </cell>
        </row>
        <row r="2185">
          <cell r="A2185">
            <v>2019</v>
          </cell>
          <cell r="D2185" t="str">
            <v>DIRECTION CENTRALE DE LA PRODUCTION ET DE L'ANTENNE</v>
          </cell>
          <cell r="V2185">
            <v>15000</v>
          </cell>
          <cell r="W2185" t="str">
            <v>Fonctionnement</v>
          </cell>
        </row>
        <row r="2186">
          <cell r="A2186">
            <v>2019</v>
          </cell>
          <cell r="D2186" t="str">
            <v>DIRECTION CENTRALE DE LA PRODUCTION ET DE L'ANTENNE</v>
          </cell>
          <cell r="V2186">
            <v>15000</v>
          </cell>
          <cell r="W2186" t="str">
            <v>Fonctionnement</v>
          </cell>
        </row>
        <row r="2187">
          <cell r="A2187">
            <v>2019</v>
          </cell>
          <cell r="D2187" t="str">
            <v>DIRECTION CENTRALE DE LA PRODUCTION ET DE L'ANTENNE</v>
          </cell>
          <cell r="V2187">
            <v>30000</v>
          </cell>
          <cell r="W2187" t="str">
            <v>Fonctionnement</v>
          </cell>
        </row>
        <row r="2188">
          <cell r="A2188">
            <v>2019</v>
          </cell>
          <cell r="D2188" t="str">
            <v>DIRECTION CENTRALE DE LA PRODUCTION ET DE L'ANTENNE</v>
          </cell>
          <cell r="V2188">
            <v>20000</v>
          </cell>
          <cell r="W2188" t="str">
            <v>Fonctionnement</v>
          </cell>
        </row>
        <row r="2189">
          <cell r="A2189">
            <v>2019</v>
          </cell>
          <cell r="D2189" t="str">
            <v>DIRECTION CENTRALE DE LA PRODUCTION ET DE L'ANTENNE</v>
          </cell>
          <cell r="V2189">
            <v>15000</v>
          </cell>
          <cell r="W2189" t="str">
            <v>Fonctionnement</v>
          </cell>
        </row>
        <row r="2190">
          <cell r="A2190">
            <v>2019</v>
          </cell>
          <cell r="D2190" t="str">
            <v>DIRECTION CENTRALE DE LA PRODUCTION ET DE L'ANTENNE</v>
          </cell>
          <cell r="V2190">
            <v>15000</v>
          </cell>
          <cell r="W2190" t="str">
            <v>Fonctionnement</v>
          </cell>
        </row>
        <row r="2191">
          <cell r="A2191">
            <v>2019</v>
          </cell>
          <cell r="D2191" t="str">
            <v>DIRECTION CENTRALE DE LA PRODUCTION ET DE L'ANTENNE</v>
          </cell>
          <cell r="V2191">
            <v>35000</v>
          </cell>
          <cell r="W2191" t="str">
            <v>Fonctionnement</v>
          </cell>
        </row>
        <row r="2192">
          <cell r="A2192">
            <v>2019</v>
          </cell>
          <cell r="D2192" t="str">
            <v>DIRECTION CENTRALE DE LA PRODUCTION ET DE L'ANTENNE</v>
          </cell>
          <cell r="V2192">
            <v>20000</v>
          </cell>
          <cell r="W2192" t="str">
            <v>Fonctionnement</v>
          </cell>
        </row>
        <row r="2193">
          <cell r="A2193">
            <v>2019</v>
          </cell>
          <cell r="D2193" t="str">
            <v>DIRECTION CENTRALE DE LA PRODUCTION ET DE L'ANTENNE</v>
          </cell>
          <cell r="V2193">
            <v>15000</v>
          </cell>
          <cell r="W2193" t="str">
            <v>Fonctionnement</v>
          </cell>
        </row>
        <row r="2194">
          <cell r="A2194">
            <v>2019</v>
          </cell>
          <cell r="D2194" t="str">
            <v>DIRECTION CENTRALE DE LA PRODUCTION ET DE L'ANTENNE</v>
          </cell>
          <cell r="V2194">
            <v>15000</v>
          </cell>
          <cell r="W2194" t="str">
            <v>Fonctionnement</v>
          </cell>
        </row>
        <row r="2195">
          <cell r="A2195">
            <v>2019</v>
          </cell>
          <cell r="D2195" t="str">
            <v>DIRECTION CENTRALE DE LA PRODUCTION ET DE L'ANTENNE</v>
          </cell>
          <cell r="V2195">
            <v>15000</v>
          </cell>
          <cell r="W2195" t="str">
            <v>Fonctionnement</v>
          </cell>
        </row>
        <row r="2196">
          <cell r="A2196">
            <v>2019</v>
          </cell>
          <cell r="D2196" t="str">
            <v>DIRECTION CENTRALE DE LA PRODUCTION ET DE L'ANTENNE</v>
          </cell>
          <cell r="V2196">
            <v>15000</v>
          </cell>
          <cell r="W2196" t="str">
            <v>Fonctionnement</v>
          </cell>
        </row>
        <row r="2197">
          <cell r="A2197">
            <v>2019</v>
          </cell>
          <cell r="D2197" t="str">
            <v>DIRECTION CENTRALE DE LA PRODUCTION ET DE L'ANTENNE</v>
          </cell>
          <cell r="V2197">
            <v>20000</v>
          </cell>
          <cell r="W2197" t="str">
            <v>Fonctionnement</v>
          </cell>
        </row>
        <row r="2198">
          <cell r="A2198">
            <v>2019</v>
          </cell>
          <cell r="D2198" t="str">
            <v>DIRECTION CENTRALE DE LA PRODUCTION ET DE L'ANTENNE</v>
          </cell>
          <cell r="V2198">
            <v>35000</v>
          </cell>
          <cell r="W2198" t="str">
            <v>Fonctionnement</v>
          </cell>
        </row>
        <row r="2199">
          <cell r="A2199">
            <v>2019</v>
          </cell>
          <cell r="D2199" t="str">
            <v>DIRECTION CENTRALE DE LA PRODUCTION ET DE L'ANTENNE</v>
          </cell>
          <cell r="V2199">
            <v>10000</v>
          </cell>
          <cell r="W2199" t="str">
            <v>Fonctionnement</v>
          </cell>
        </row>
        <row r="2200">
          <cell r="A2200">
            <v>2019</v>
          </cell>
          <cell r="D2200" t="str">
            <v>DIRECTION CENTRALE DE LA PRODUCTION ET DE L'ANTENNE</v>
          </cell>
          <cell r="V2200">
            <v>20000</v>
          </cell>
          <cell r="W2200" t="str">
            <v>Fonctionnement</v>
          </cell>
        </row>
        <row r="2201">
          <cell r="A2201">
            <v>2019</v>
          </cell>
          <cell r="D2201" t="str">
            <v>DIRECTION CENTRALE DE LA PRODUCTION ET DE L'ANTENNE</v>
          </cell>
          <cell r="V2201">
            <v>15000</v>
          </cell>
          <cell r="W2201" t="str">
            <v>Fonctionnement</v>
          </cell>
        </row>
        <row r="2202">
          <cell r="A2202">
            <v>2019</v>
          </cell>
          <cell r="D2202" t="str">
            <v>DIRECTION CENTRALE DE LA PRODUCTION ET DE L'ANTENNE</v>
          </cell>
          <cell r="V2202">
            <v>20000</v>
          </cell>
          <cell r="W2202" t="str">
            <v>Fonctionnement</v>
          </cell>
        </row>
        <row r="2203">
          <cell r="A2203">
            <v>2019</v>
          </cell>
          <cell r="D2203" t="str">
            <v>DIRECTION CENTRALE DE LA PRODUCTION ET DE L'ANTENNE</v>
          </cell>
          <cell r="V2203">
            <v>15000</v>
          </cell>
          <cell r="W2203" t="str">
            <v>Fonctionnement</v>
          </cell>
        </row>
        <row r="2204">
          <cell r="A2204">
            <v>2019</v>
          </cell>
          <cell r="D2204" t="str">
            <v>DIRECTION CENTRALE DE LA PRODUCTION ET DE L'ANTENNE</v>
          </cell>
          <cell r="V2204">
            <v>10000</v>
          </cell>
          <cell r="W2204" t="str">
            <v>Fonctionnement</v>
          </cell>
        </row>
        <row r="2205">
          <cell r="A2205">
            <v>2019</v>
          </cell>
          <cell r="D2205" t="str">
            <v>DIRECTION CENTRALE DE LA PRODUCTION ET DE L'ANTENNE</v>
          </cell>
          <cell r="V2205">
            <v>15000</v>
          </cell>
          <cell r="W2205" t="str">
            <v>Fonctionnement</v>
          </cell>
        </row>
        <row r="2206">
          <cell r="A2206">
            <v>2019</v>
          </cell>
          <cell r="D2206" t="str">
            <v>DIRECTION CENTRALE DE LA PRODUCTION ET DE L'ANTENNE</v>
          </cell>
          <cell r="V2206">
            <v>15000</v>
          </cell>
          <cell r="W2206" t="str">
            <v>Fonctionnement</v>
          </cell>
        </row>
        <row r="2207">
          <cell r="A2207">
            <v>2019</v>
          </cell>
          <cell r="D2207" t="str">
            <v>DIRECTION CENTRALE DE LA PRODUCTION ET DE L'ANTENNE</v>
          </cell>
          <cell r="V2207">
            <v>25000</v>
          </cell>
          <cell r="W2207" t="str">
            <v>Fonctionnement</v>
          </cell>
        </row>
        <row r="2208">
          <cell r="A2208">
            <v>2019</v>
          </cell>
          <cell r="D2208" t="str">
            <v>DIRECTION CENTRALE DE LA PRODUCTION ET DE L'ANTENNE</v>
          </cell>
          <cell r="V2208">
            <v>15000</v>
          </cell>
          <cell r="W2208" t="str">
            <v>Fonctionnement</v>
          </cell>
        </row>
        <row r="2209">
          <cell r="A2209">
            <v>2019</v>
          </cell>
          <cell r="D2209" t="str">
            <v>DIRECTION CENTRALE DE LA PRODUCTION ET DE L'ANTENNE</v>
          </cell>
          <cell r="V2209">
            <v>20000</v>
          </cell>
          <cell r="W2209" t="str">
            <v>Fonctionnement</v>
          </cell>
        </row>
        <row r="2210">
          <cell r="A2210">
            <v>2019</v>
          </cell>
          <cell r="D2210" t="str">
            <v>DIRECTION CENTRALE DE LA PRODUCTION ET DE L'ANTENNE</v>
          </cell>
          <cell r="V2210">
            <v>15000</v>
          </cell>
          <cell r="W2210" t="str">
            <v>Fonctionnement</v>
          </cell>
        </row>
        <row r="2211">
          <cell r="A2211">
            <v>2019</v>
          </cell>
          <cell r="D2211" t="str">
            <v>DIRECTION CENTRALE DE LA PRODUCTION ET DE L'ANTENNE</v>
          </cell>
          <cell r="V2211">
            <v>15000</v>
          </cell>
          <cell r="W2211" t="str">
            <v>Fonctionnement</v>
          </cell>
        </row>
        <row r="2212">
          <cell r="A2212">
            <v>2019</v>
          </cell>
          <cell r="D2212" t="str">
            <v>DIRECTION CENTRALE DE LA PRODUCTION ET DE L'ANTENNE</v>
          </cell>
          <cell r="V2212">
            <v>20000</v>
          </cell>
          <cell r="W2212" t="str">
            <v>Fonctionnement</v>
          </cell>
        </row>
        <row r="2213">
          <cell r="A2213">
            <v>2019</v>
          </cell>
          <cell r="D2213" t="str">
            <v>DIRECTION CENTRALE DE LA PRODUCTION ET DE L'ANTENNE</v>
          </cell>
          <cell r="V2213">
            <v>15000</v>
          </cell>
          <cell r="W2213" t="str">
            <v>Fonctionnement</v>
          </cell>
        </row>
        <row r="2214">
          <cell r="A2214">
            <v>2019</v>
          </cell>
          <cell r="D2214" t="str">
            <v>DIRECTION CENTRALE DE LA PRODUCTION ET DE L'ANTENNE</v>
          </cell>
          <cell r="V2214">
            <v>15000</v>
          </cell>
          <cell r="W2214" t="str">
            <v>Fonctionnement</v>
          </cell>
        </row>
        <row r="2215">
          <cell r="A2215">
            <v>2019</v>
          </cell>
          <cell r="D2215" t="str">
            <v>DIRECTION CENTRALE DE LA PRODUCTION ET DE L'ANTENNE</v>
          </cell>
          <cell r="V2215">
            <v>15000</v>
          </cell>
          <cell r="W2215" t="str">
            <v>Fonctionnement</v>
          </cell>
        </row>
        <row r="2216">
          <cell r="A2216">
            <v>2019</v>
          </cell>
          <cell r="D2216" t="str">
            <v>DIRECTION CENTRALE DE LA PRODUCTION ET DE L'ANTENNE</v>
          </cell>
          <cell r="V2216">
            <v>35000</v>
          </cell>
          <cell r="W2216" t="str">
            <v>Fonctionnement</v>
          </cell>
        </row>
        <row r="2217">
          <cell r="A2217">
            <v>2019</v>
          </cell>
          <cell r="D2217" t="str">
            <v>DIRECTION CENTRALE DE LA PRODUCTION ET DE L'ANTENNE</v>
          </cell>
          <cell r="V2217">
            <v>20000</v>
          </cell>
          <cell r="W2217" t="str">
            <v>Fonctionnement</v>
          </cell>
        </row>
        <row r="2218">
          <cell r="A2218">
            <v>2019</v>
          </cell>
          <cell r="D2218" t="str">
            <v>DIRECTION CENTRALE DE LA PRODUCTION ET DE L'ANTENNE</v>
          </cell>
          <cell r="V2218">
            <v>15000</v>
          </cell>
          <cell r="W2218" t="str">
            <v>Fonctionnement</v>
          </cell>
        </row>
        <row r="2219">
          <cell r="A2219">
            <v>2019</v>
          </cell>
          <cell r="D2219" t="str">
            <v>DIRECTION CENTRALE DE LA PRODUCTION ET DE L'ANTENNE</v>
          </cell>
          <cell r="V2219">
            <v>10000</v>
          </cell>
          <cell r="W2219" t="str">
            <v>Fonctionnement</v>
          </cell>
        </row>
        <row r="2220">
          <cell r="A2220">
            <v>2019</v>
          </cell>
          <cell r="D2220" t="str">
            <v>DIRECTION CENTRALE DE LA PRODUCTION ET DE L'ANTENNE</v>
          </cell>
          <cell r="V2220">
            <v>25000</v>
          </cell>
          <cell r="W2220" t="str">
            <v>Fonctionnement</v>
          </cell>
        </row>
        <row r="2221">
          <cell r="A2221">
            <v>2019</v>
          </cell>
          <cell r="D2221" t="str">
            <v>DIRECTION CENTRALE DE LA PRODUCTION ET DE L'ANTENNE</v>
          </cell>
          <cell r="V2221">
            <v>10000</v>
          </cell>
          <cell r="W2221" t="str">
            <v>Fonctionnement</v>
          </cell>
        </row>
        <row r="2222">
          <cell r="A2222">
            <v>2019</v>
          </cell>
          <cell r="D2222" t="str">
            <v>DIRECTION CENTRALE DE LA PRODUCTION ET DE L'ANTENNE</v>
          </cell>
          <cell r="V2222">
            <v>15000</v>
          </cell>
          <cell r="W2222" t="str">
            <v>Fonctionnement</v>
          </cell>
        </row>
        <row r="2223">
          <cell r="A2223">
            <v>2019</v>
          </cell>
          <cell r="D2223" t="str">
            <v>DIRECTION CENTRALE DE LA PRODUCTION ET DE L'ANTENNE</v>
          </cell>
          <cell r="V2223">
            <v>25000</v>
          </cell>
          <cell r="W2223" t="str">
            <v>Fonctionnement</v>
          </cell>
        </row>
        <row r="2224">
          <cell r="A2224">
            <v>2019</v>
          </cell>
          <cell r="D2224" t="str">
            <v>DIRECTION CENTRALE DE LA PRODUCTION ET DE L'ANTENNE</v>
          </cell>
          <cell r="V2224">
            <v>15000</v>
          </cell>
          <cell r="W2224" t="str">
            <v>Fonctionnement</v>
          </cell>
        </row>
        <row r="2225">
          <cell r="A2225">
            <v>2019</v>
          </cell>
          <cell r="D2225" t="str">
            <v>DIRECTION CENTRALE DE LA PRODUCTION ET DE L'ANTENNE</v>
          </cell>
          <cell r="V2225">
            <v>35000</v>
          </cell>
          <cell r="W2225" t="str">
            <v>Fonctionnement</v>
          </cell>
        </row>
        <row r="2226">
          <cell r="A2226">
            <v>2019</v>
          </cell>
          <cell r="D2226" t="str">
            <v>DIRECTION CENTRALE DE LA PRODUCTION ET DE L'ANTENNE</v>
          </cell>
          <cell r="V2226">
            <v>15000</v>
          </cell>
          <cell r="W2226" t="str">
            <v>Fonctionnement</v>
          </cell>
        </row>
        <row r="2227">
          <cell r="A2227">
            <v>2019</v>
          </cell>
          <cell r="D2227" t="str">
            <v>DIRECTION CENTRALE DE LA PRODUCTION ET DE L'ANTENNE</v>
          </cell>
          <cell r="V2227">
            <v>35000</v>
          </cell>
          <cell r="W2227" t="str">
            <v>Fonctionnement</v>
          </cell>
        </row>
        <row r="2228">
          <cell r="A2228">
            <v>2019</v>
          </cell>
          <cell r="D2228" t="str">
            <v>DIRECTION CENTRALE DE LA PRODUCTION ET DE L'ANTENNE</v>
          </cell>
          <cell r="V2228">
            <v>20000</v>
          </cell>
          <cell r="W2228" t="str">
            <v>Fonctionnement</v>
          </cell>
        </row>
        <row r="2229">
          <cell r="A2229">
            <v>2019</v>
          </cell>
          <cell r="D2229" t="str">
            <v>DIRECTION CENTRALE DE LA PRODUCTION ET DE L'ANTENNE</v>
          </cell>
          <cell r="V2229">
            <v>10000</v>
          </cell>
          <cell r="W2229" t="str">
            <v>Fonctionnement</v>
          </cell>
        </row>
        <row r="2230">
          <cell r="A2230">
            <v>2019</v>
          </cell>
          <cell r="D2230" t="str">
            <v>DIRECTION CENTRALE DE LA PRODUCTION ET DE L'ANTENNE</v>
          </cell>
          <cell r="V2230">
            <v>15000</v>
          </cell>
          <cell r="W2230" t="str">
            <v>Fonctionnement</v>
          </cell>
        </row>
        <row r="2231">
          <cell r="A2231">
            <v>2019</v>
          </cell>
          <cell r="D2231" t="str">
            <v>DIRECTION CENTRALE DE LA PRODUCTION ET DE L'ANTENNE</v>
          </cell>
          <cell r="V2231">
            <v>20000</v>
          </cell>
          <cell r="W2231" t="str">
            <v>Fonctionnement</v>
          </cell>
        </row>
        <row r="2232">
          <cell r="A2232">
            <v>2019</v>
          </cell>
          <cell r="D2232" t="str">
            <v>DIRECTION CENTRALE DE LA PRODUCTION ET DE L'ANTENNE</v>
          </cell>
          <cell r="V2232">
            <v>15000</v>
          </cell>
          <cell r="W2232" t="str">
            <v>Fonctionnement</v>
          </cell>
        </row>
        <row r="2233">
          <cell r="A2233">
            <v>2019</v>
          </cell>
          <cell r="D2233" t="str">
            <v>DIRECTION CENTRALE DE LA PRODUCTION ET DE L'ANTENNE</v>
          </cell>
          <cell r="V2233">
            <v>15000</v>
          </cell>
          <cell r="W2233" t="str">
            <v>Fonctionnement</v>
          </cell>
        </row>
        <row r="2234">
          <cell r="A2234">
            <v>2019</v>
          </cell>
          <cell r="D2234" t="str">
            <v>DIRECTION CENTRALE DE LA PRODUCTION ET DE L'ANTENNE</v>
          </cell>
          <cell r="V2234">
            <v>15000</v>
          </cell>
          <cell r="W2234" t="str">
            <v>Fonctionnement</v>
          </cell>
        </row>
        <row r="2235">
          <cell r="A2235">
            <v>2019</v>
          </cell>
          <cell r="D2235" t="str">
            <v>DIRECTION CENTRALE DE LA PRODUCTION ET DE L'ANTENNE</v>
          </cell>
          <cell r="V2235">
            <v>15000</v>
          </cell>
          <cell r="W2235" t="str">
            <v>Fonctionnement</v>
          </cell>
        </row>
        <row r="2236">
          <cell r="A2236">
            <v>2019</v>
          </cell>
          <cell r="D2236" t="str">
            <v>DIRECTION CENTRALE DE LA PRODUCTION ET DE L'ANTENNE</v>
          </cell>
          <cell r="V2236">
            <v>25000</v>
          </cell>
          <cell r="W2236" t="str">
            <v>Fonctionnement</v>
          </cell>
        </row>
        <row r="2237">
          <cell r="A2237">
            <v>2019</v>
          </cell>
          <cell r="D2237" t="str">
            <v>DIRECTION CENTRALE DE LA PRODUCTION ET DE L'ANTENNE</v>
          </cell>
          <cell r="V2237">
            <v>15000</v>
          </cell>
          <cell r="W2237" t="str">
            <v>Fonctionnement</v>
          </cell>
        </row>
        <row r="2238">
          <cell r="A2238">
            <v>2019</v>
          </cell>
          <cell r="D2238" t="str">
            <v>DIRECTION CENTRALE DE LA PRODUCTION ET DE L'ANTENNE</v>
          </cell>
          <cell r="V2238">
            <v>25000</v>
          </cell>
          <cell r="W2238" t="str">
            <v>Fonctionnement</v>
          </cell>
        </row>
        <row r="2239">
          <cell r="A2239">
            <v>2019</v>
          </cell>
          <cell r="D2239" t="str">
            <v>DIRECTION CENTRALE DE LA PRODUCTION ET DE L'ANTENNE</v>
          </cell>
          <cell r="V2239">
            <v>25000</v>
          </cell>
          <cell r="W2239" t="str">
            <v>Fonctionnement</v>
          </cell>
        </row>
        <row r="2240">
          <cell r="A2240">
            <v>2019</v>
          </cell>
          <cell r="D2240" t="str">
            <v>DIRECTION CENTRALE DE LA PRODUCTION ET DE L'ANTENNE</v>
          </cell>
          <cell r="V2240">
            <v>20000</v>
          </cell>
          <cell r="W2240" t="str">
            <v>Fonctionnement</v>
          </cell>
        </row>
        <row r="2241">
          <cell r="A2241">
            <v>2019</v>
          </cell>
          <cell r="D2241" t="str">
            <v>DIRECTION CENTRALE DE LA PRODUCTION ET DE L'ANTENNE</v>
          </cell>
          <cell r="V2241">
            <v>20000</v>
          </cell>
          <cell r="W2241" t="str">
            <v>Fonctionnement</v>
          </cell>
        </row>
        <row r="2242">
          <cell r="A2242">
            <v>2019</v>
          </cell>
          <cell r="D2242" t="str">
            <v>DIRECTION CENTRALE DE LA PRODUCTION ET DE L'ANTENNE</v>
          </cell>
          <cell r="V2242">
            <v>35000</v>
          </cell>
          <cell r="W2242" t="str">
            <v>Fonctionnement</v>
          </cell>
        </row>
        <row r="2243">
          <cell r="A2243">
            <v>2019</v>
          </cell>
          <cell r="D2243" t="str">
            <v>DIRECTION CENTRALE DE LA PRODUCTION ET DE L'ANTENNE</v>
          </cell>
          <cell r="V2243">
            <v>20000</v>
          </cell>
          <cell r="W2243" t="str">
            <v>Fonctionnement</v>
          </cell>
        </row>
        <row r="2244">
          <cell r="A2244">
            <v>2019</v>
          </cell>
          <cell r="D2244" t="str">
            <v>DIRECTION CENTRALE DE LA PRODUCTION ET DE L'ANTENNE</v>
          </cell>
          <cell r="V2244">
            <v>20000</v>
          </cell>
          <cell r="W2244" t="str">
            <v>Fonctionnement</v>
          </cell>
        </row>
        <row r="2245">
          <cell r="A2245">
            <v>2019</v>
          </cell>
          <cell r="D2245" t="str">
            <v>DIRECTION CENTRALE DE LA PRODUCTION ET DE L'ANTENNE</v>
          </cell>
          <cell r="V2245">
            <v>15000</v>
          </cell>
          <cell r="W2245" t="str">
            <v>Fonctionnement</v>
          </cell>
        </row>
        <row r="2246">
          <cell r="A2246">
            <v>2019</v>
          </cell>
          <cell r="D2246" t="str">
            <v>DIRECTION CENTRALE DE LA PRODUCTION ET DE L'ANTENNE</v>
          </cell>
          <cell r="V2246">
            <v>2147100</v>
          </cell>
          <cell r="W2246" t="str">
            <v>Fonctionnement</v>
          </cell>
        </row>
        <row r="2247">
          <cell r="A2247">
            <v>2019</v>
          </cell>
          <cell r="D2247" t="str">
            <v>DIRECTION CENTRALE DE LA PRODUCTION ET DE L'ANTENNE</v>
          </cell>
          <cell r="V2247">
            <v>90000</v>
          </cell>
          <cell r="W2247" t="str">
            <v>Fonctionnement</v>
          </cell>
        </row>
        <row r="2248">
          <cell r="A2248">
            <v>2019</v>
          </cell>
          <cell r="D2248" t="str">
            <v>DIRECTION CENTRALE DE LA PRODUCTION ET DE L'ANTENNE</v>
          </cell>
          <cell r="V2248">
            <v>90000</v>
          </cell>
          <cell r="W2248" t="str">
            <v>Fonctionnement</v>
          </cell>
        </row>
        <row r="2249">
          <cell r="A2249">
            <v>2019</v>
          </cell>
          <cell r="D2249" t="str">
            <v>DIRECTION CENTRALE DE LA PRODUCTION ET DE L'ANTENNE</v>
          </cell>
          <cell r="V2249">
            <v>90000</v>
          </cell>
          <cell r="W2249" t="str">
            <v>Fonctionnement</v>
          </cell>
        </row>
        <row r="2250">
          <cell r="A2250">
            <v>2019</v>
          </cell>
          <cell r="D2250" t="str">
            <v>DIRECTION CENTRALE DE LA PRODUCTION ET DE L'ANTENNE</v>
          </cell>
          <cell r="V2250">
            <v>60000</v>
          </cell>
          <cell r="W2250" t="str">
            <v>Fonctionnement</v>
          </cell>
        </row>
        <row r="2251">
          <cell r="A2251">
            <v>2019</v>
          </cell>
          <cell r="D2251" t="str">
            <v>DIRECTION CENTRALE DE LA PRODUCTION ET DE L'ANTENNE</v>
          </cell>
          <cell r="V2251">
            <v>60000</v>
          </cell>
          <cell r="W2251" t="str">
            <v>Fonctionnement</v>
          </cell>
        </row>
        <row r="2252">
          <cell r="A2252">
            <v>2019</v>
          </cell>
          <cell r="D2252" t="str">
            <v>DIRECTION CENTRALE DE LA PRODUCTION ET DE L'ANTENNE</v>
          </cell>
          <cell r="V2252">
            <v>60000</v>
          </cell>
          <cell r="W2252" t="str">
            <v>Fonctionnement</v>
          </cell>
        </row>
        <row r="2253">
          <cell r="A2253">
            <v>2019</v>
          </cell>
          <cell r="D2253" t="str">
            <v>DIRECTION CENTRALE DE LA PRODUCTION ET DE L'ANTENNE</v>
          </cell>
          <cell r="V2253">
            <v>60000</v>
          </cell>
          <cell r="W2253" t="str">
            <v>Fonctionnement</v>
          </cell>
        </row>
        <row r="2254">
          <cell r="A2254">
            <v>2019</v>
          </cell>
          <cell r="D2254" t="str">
            <v>DIRECTION CENTRALE DE LA CHAÎNE ARRYADIA</v>
          </cell>
          <cell r="V2254">
            <v>954101.86</v>
          </cell>
          <cell r="W2254" t="str">
            <v>Fonctionnement</v>
          </cell>
        </row>
        <row r="2255">
          <cell r="A2255">
            <v>2019</v>
          </cell>
          <cell r="D2255" t="str">
            <v>DIRECTION CENTRALE DE LA CHAÎNE ARRYADIA</v>
          </cell>
          <cell r="V2255">
            <v>1162106.3999999999</v>
          </cell>
          <cell r="W2255" t="str">
            <v>Fonctionnement</v>
          </cell>
        </row>
        <row r="2256">
          <cell r="A2256">
            <v>2019</v>
          </cell>
          <cell r="D2256" t="str">
            <v>DIRECTION CENTRALE DE LA CHAÎNE ARRYADIA</v>
          </cell>
          <cell r="V2256">
            <v>2111886</v>
          </cell>
          <cell r="W2256" t="str">
            <v>Fonctionnement</v>
          </cell>
        </row>
        <row r="2257">
          <cell r="A2257">
            <v>2019</v>
          </cell>
          <cell r="D2257" t="str">
            <v>DIRECTION CENTRALE DE LA CHAÎNE ARRYADIA</v>
          </cell>
          <cell r="V2257">
            <v>624864.5</v>
          </cell>
          <cell r="W2257" t="str">
            <v>Fonctionnement</v>
          </cell>
        </row>
        <row r="2258">
          <cell r="A2258">
            <v>2019</v>
          </cell>
          <cell r="D2258" t="str">
            <v>DIRECTION CENTRALE DE LA CHAÎNE ARRYADIA</v>
          </cell>
          <cell r="V2258">
            <v>140642.18</v>
          </cell>
          <cell r="W2258" t="str">
            <v>Fonctionnement</v>
          </cell>
        </row>
        <row r="2259">
          <cell r="A2259">
            <v>2019</v>
          </cell>
          <cell r="D2259" t="str">
            <v>DIRECTION CENTRALE DE LA CHAÎNE ARRYADIA</v>
          </cell>
          <cell r="V2259">
            <v>145999.28</v>
          </cell>
          <cell r="W2259" t="str">
            <v>Fonctionnement</v>
          </cell>
        </row>
        <row r="2260">
          <cell r="A2260">
            <v>2019</v>
          </cell>
          <cell r="D2260" t="str">
            <v>DIRECTION CENTRALE DE LA CHAÎNE ARRYADIA</v>
          </cell>
          <cell r="V2260">
            <v>145999.28</v>
          </cell>
          <cell r="W2260" t="str">
            <v>Fonctionnement</v>
          </cell>
        </row>
        <row r="2261">
          <cell r="A2261">
            <v>2019</v>
          </cell>
          <cell r="D2261" t="str">
            <v>DIRECTION CENTRALE DE LA CHAÎNE ARRYADIA</v>
          </cell>
          <cell r="V2261">
            <v>145999.28</v>
          </cell>
          <cell r="W2261" t="str">
            <v>Fonctionnement</v>
          </cell>
        </row>
        <row r="2262">
          <cell r="A2262">
            <v>2019</v>
          </cell>
          <cell r="D2262" t="str">
            <v>DIRECTION CENTRALE DE LA CHAÎNE ARRYADIA</v>
          </cell>
          <cell r="V2262">
            <v>145999.28</v>
          </cell>
          <cell r="W2262" t="str">
            <v>Fonctionnement</v>
          </cell>
        </row>
        <row r="2263">
          <cell r="A2263">
            <v>2019</v>
          </cell>
          <cell r="D2263" t="str">
            <v>DIRECTION CENTRALE DE LA CHAÎNE ARRYADIA</v>
          </cell>
          <cell r="V2263">
            <v>145999.28</v>
          </cell>
          <cell r="W2263" t="str">
            <v>Fonctionnement</v>
          </cell>
        </row>
        <row r="2264">
          <cell r="A2264">
            <v>2019</v>
          </cell>
          <cell r="D2264" t="str">
            <v>DIRECTION CENTRALE DE LA CHAÎNE ARRYADIA</v>
          </cell>
          <cell r="V2264">
            <v>145999.28</v>
          </cell>
          <cell r="W2264" t="str">
            <v>Fonctionnement</v>
          </cell>
        </row>
        <row r="2265">
          <cell r="A2265">
            <v>2019</v>
          </cell>
          <cell r="D2265" t="str">
            <v>DIRECTION CENTRALE DE LA CHAÎNE ARRYADIA</v>
          </cell>
          <cell r="V2265">
            <v>145999.28</v>
          </cell>
          <cell r="W2265" t="str">
            <v>Fonctionnement</v>
          </cell>
        </row>
        <row r="2266">
          <cell r="A2266">
            <v>2019</v>
          </cell>
          <cell r="D2266" t="str">
            <v>DIRECTION CENTRALE DE LA CHAÎNE ARRYADIA</v>
          </cell>
          <cell r="V2266">
            <v>137785.07999999999</v>
          </cell>
          <cell r="W2266" t="str">
            <v>Fonctionnement</v>
          </cell>
        </row>
        <row r="2267">
          <cell r="A2267">
            <v>2019</v>
          </cell>
          <cell r="D2267" t="str">
            <v>DIRECTION CENTRALE DE LA CHAÎNE ARRYADIA</v>
          </cell>
          <cell r="V2267">
            <v>147070.70000000001</v>
          </cell>
          <cell r="W2267" t="str">
            <v>Fonctionnement</v>
          </cell>
        </row>
        <row r="2268">
          <cell r="A2268">
            <v>2019</v>
          </cell>
          <cell r="D2268" t="str">
            <v>DIRECTION CENTRALE DE LA CHAÎNE ARRYADIA</v>
          </cell>
          <cell r="V2268">
            <v>178141.88</v>
          </cell>
          <cell r="W2268" t="str">
            <v>Fonctionnement</v>
          </cell>
        </row>
        <row r="2269">
          <cell r="A2269">
            <v>2019</v>
          </cell>
          <cell r="D2269" t="str">
            <v>DIRECTION CENTRALE DE LA CHAÎNE ARRYADIA</v>
          </cell>
          <cell r="V2269">
            <v>178141.88</v>
          </cell>
          <cell r="W2269" t="str">
            <v>Fonctionnement</v>
          </cell>
        </row>
        <row r="2270">
          <cell r="A2270">
            <v>2019</v>
          </cell>
          <cell r="D2270" t="str">
            <v>DIRECTION CENTRALE DE LA CHAÎNE ARRYADIA</v>
          </cell>
          <cell r="V2270">
            <v>178141.88</v>
          </cell>
          <cell r="W2270" t="str">
            <v>Fonctionnement</v>
          </cell>
        </row>
        <row r="2271">
          <cell r="A2271">
            <v>2019</v>
          </cell>
          <cell r="D2271" t="str">
            <v>DIRECTION CENTRALE DE LA CHAÎNE ARRYADIA</v>
          </cell>
          <cell r="V2271">
            <v>129570.88</v>
          </cell>
          <cell r="W2271" t="str">
            <v>Fonctionnement</v>
          </cell>
        </row>
        <row r="2272">
          <cell r="A2272">
            <v>2019</v>
          </cell>
          <cell r="D2272" t="str">
            <v>DIRECTION CENTRALE DE LA CHAÎNE ARRYADIA</v>
          </cell>
          <cell r="V2272">
            <v>162427.68</v>
          </cell>
          <cell r="W2272" t="str">
            <v>Fonctionnement</v>
          </cell>
        </row>
        <row r="2273">
          <cell r="A2273">
            <v>2019</v>
          </cell>
          <cell r="D2273" t="str">
            <v>DIRECTION CENTRALE DE LA CHAÎNE ARRYADIA</v>
          </cell>
          <cell r="V2273">
            <v>150999.28</v>
          </cell>
          <cell r="W2273" t="str">
            <v>Fonctionnement</v>
          </cell>
        </row>
        <row r="2274">
          <cell r="A2274">
            <v>2019</v>
          </cell>
          <cell r="D2274" t="str">
            <v>DIRECTION CENTRALE DE LA CHAÎNE ARRYADIA</v>
          </cell>
          <cell r="V2274">
            <v>145999.28</v>
          </cell>
          <cell r="W2274" t="str">
            <v>Fonctionnement</v>
          </cell>
        </row>
        <row r="2275">
          <cell r="A2275">
            <v>2019</v>
          </cell>
          <cell r="D2275" t="str">
            <v>DIRECTION CENTRALE DE LA CHAÎNE ARRYADIA</v>
          </cell>
          <cell r="V2275">
            <v>158999.16</v>
          </cell>
          <cell r="W2275" t="str">
            <v>Fonctionnement</v>
          </cell>
        </row>
        <row r="2276">
          <cell r="A2276">
            <v>2019</v>
          </cell>
          <cell r="D2276" t="str">
            <v>DIRECTION CENTRALE DE LA CHAÎNE ARRYADIA</v>
          </cell>
          <cell r="V2276">
            <v>194570.28</v>
          </cell>
          <cell r="W2276" t="str">
            <v>Fonctionnement</v>
          </cell>
        </row>
        <row r="2277">
          <cell r="A2277">
            <v>2019</v>
          </cell>
          <cell r="D2277" t="str">
            <v>DIRECTION CENTRALE DE LA CHAÎNE ARRYADIA</v>
          </cell>
          <cell r="V2277">
            <v>159142</v>
          </cell>
          <cell r="W2277" t="str">
            <v>Fonctionnement</v>
          </cell>
        </row>
        <row r="2278">
          <cell r="A2278">
            <v>2019</v>
          </cell>
          <cell r="D2278" t="str">
            <v>DIRECTION CENTRALE DE LA CHAÎNE ARRYADIA</v>
          </cell>
          <cell r="V2278">
            <v>162427.68</v>
          </cell>
          <cell r="W2278" t="str">
            <v>Fonctionnement</v>
          </cell>
        </row>
        <row r="2279">
          <cell r="A2279">
            <v>2019</v>
          </cell>
          <cell r="D2279" t="str">
            <v>DIRECTION CENTRALE DE LA CHAÎNE ARRYADIA</v>
          </cell>
          <cell r="V2279">
            <v>180000</v>
          </cell>
          <cell r="W2279" t="str">
            <v>Fonctionnement</v>
          </cell>
        </row>
        <row r="2280">
          <cell r="A2280">
            <v>2019</v>
          </cell>
          <cell r="D2280" t="str">
            <v>DIRECTION CENTRALE DE LA CHAÎNE ARRYADIA</v>
          </cell>
          <cell r="V2280">
            <v>180000</v>
          </cell>
          <cell r="W2280" t="str">
            <v>Fonctionnement</v>
          </cell>
        </row>
        <row r="2281">
          <cell r="A2281">
            <v>2019</v>
          </cell>
          <cell r="D2281" t="str">
            <v>DIRECTION CENTRALE DE LA CHAÎNE ARRYADIA</v>
          </cell>
          <cell r="V2281">
            <v>145999.28</v>
          </cell>
          <cell r="W2281" t="str">
            <v>Fonctionnement</v>
          </cell>
        </row>
        <row r="2282">
          <cell r="A2282">
            <v>2019</v>
          </cell>
          <cell r="D2282" t="str">
            <v>DIRECTION CENTRALE DE LA CHAÎNE ARRYADIA</v>
          </cell>
          <cell r="V2282">
            <v>137785.07999999999</v>
          </cell>
          <cell r="W2282" t="str">
            <v>Fonctionnement</v>
          </cell>
        </row>
        <row r="2283">
          <cell r="A2283">
            <v>2019</v>
          </cell>
          <cell r="D2283" t="str">
            <v>DIRECTION CENTRALE DE LA CHAÎNE ARRYADIA</v>
          </cell>
          <cell r="V2283">
            <v>129570.88</v>
          </cell>
          <cell r="W2283" t="str">
            <v>Fonctionnement</v>
          </cell>
        </row>
        <row r="2284">
          <cell r="A2284">
            <v>2019</v>
          </cell>
          <cell r="D2284" t="str">
            <v>DIRECTION CENTRALE DE LA CHAÎNE ARRYADIA</v>
          </cell>
          <cell r="V2284">
            <v>113142.48</v>
          </cell>
          <cell r="W2284" t="str">
            <v>Fonctionnement</v>
          </cell>
        </row>
        <row r="2285">
          <cell r="A2285">
            <v>2019</v>
          </cell>
          <cell r="D2285" t="str">
            <v>DIRECTION CENTRALE DE LA CHAÎNE ARRYADIA</v>
          </cell>
          <cell r="V2285">
            <v>129570.88</v>
          </cell>
          <cell r="W2285" t="str">
            <v>Fonctionnement</v>
          </cell>
        </row>
        <row r="2286">
          <cell r="A2286">
            <v>2019</v>
          </cell>
          <cell r="D2286" t="str">
            <v>DIRECTION CENTRALE DE LA CHAÎNE ARRYADIA</v>
          </cell>
          <cell r="V2286">
            <v>145999.28</v>
          </cell>
          <cell r="W2286" t="str">
            <v>Fonctionnement</v>
          </cell>
        </row>
        <row r="2287">
          <cell r="A2287">
            <v>2019</v>
          </cell>
          <cell r="D2287" t="str">
            <v>DIRECTION CENTRALE DE LA CHAÎNE ARRYADIA</v>
          </cell>
          <cell r="V2287">
            <v>150000</v>
          </cell>
          <cell r="W2287" t="str">
            <v>Fonctionnement</v>
          </cell>
        </row>
        <row r="2288">
          <cell r="A2288">
            <v>2019</v>
          </cell>
          <cell r="D2288" t="str">
            <v>DIRECTION CENTRALE DE LA CHAÎNE ARRYADIA</v>
          </cell>
          <cell r="V2288">
            <v>228571.2</v>
          </cell>
          <cell r="W2288" t="str">
            <v>Fonctionnement</v>
          </cell>
        </row>
        <row r="2289">
          <cell r="A2289">
            <v>2019</v>
          </cell>
          <cell r="D2289" t="str">
            <v>DIRECTION CENTRALE DE LA CHAÎNE ARRYADIA</v>
          </cell>
          <cell r="V2289">
            <v>135000</v>
          </cell>
          <cell r="W2289" t="str">
            <v>Fonctionnement</v>
          </cell>
        </row>
        <row r="2290">
          <cell r="A2290">
            <v>2019</v>
          </cell>
          <cell r="D2290" t="str">
            <v>DIRECTION CENTRALE DE LA CHAÎNE ARRYADIA</v>
          </cell>
          <cell r="V2290">
            <v>270000</v>
          </cell>
          <cell r="W2290" t="str">
            <v>Fonctionnement</v>
          </cell>
        </row>
        <row r="2291">
          <cell r="A2291">
            <v>2019</v>
          </cell>
          <cell r="D2291" t="str">
            <v>DIRECTION CENTRALE DE LA CHAÎNE ARRYADIA</v>
          </cell>
          <cell r="V2291">
            <v>210000</v>
          </cell>
          <cell r="W2291" t="str">
            <v>Fonctionnement</v>
          </cell>
        </row>
        <row r="2292">
          <cell r="A2292">
            <v>2019</v>
          </cell>
          <cell r="D2292" t="str">
            <v>DIRECTION CENTRALE DE LA CHAÎNE ARRYADIA</v>
          </cell>
          <cell r="V2292">
            <v>150000</v>
          </cell>
          <cell r="W2292" t="str">
            <v>Fonctionnement</v>
          </cell>
        </row>
        <row r="2293">
          <cell r="A2293">
            <v>2019</v>
          </cell>
          <cell r="D2293" t="str">
            <v>DIRECTION CENTRALE DE LA CHAÎNE ARRYADIA</v>
          </cell>
          <cell r="V2293">
            <v>150000</v>
          </cell>
          <cell r="W2293" t="str">
            <v>Fonctionnement</v>
          </cell>
        </row>
        <row r="2294">
          <cell r="A2294">
            <v>2019</v>
          </cell>
          <cell r="D2294" t="str">
            <v>DIRECTION CENTRALE DE LA CHAÎNE ARRYADIA</v>
          </cell>
          <cell r="V2294">
            <v>210000</v>
          </cell>
          <cell r="W2294" t="str">
            <v>Fonctionnement</v>
          </cell>
        </row>
        <row r="2295">
          <cell r="A2295">
            <v>2019</v>
          </cell>
          <cell r="D2295" t="str">
            <v>DIRECTION CENTRALE DE LA CHAÎNE ARRYADIA</v>
          </cell>
          <cell r="V2295">
            <v>700000</v>
          </cell>
          <cell r="W2295" t="str">
            <v>Fonctionnement</v>
          </cell>
        </row>
        <row r="2296">
          <cell r="A2296">
            <v>2019</v>
          </cell>
          <cell r="D2296" t="str">
            <v>DIRECTION CENTRALE DE LA CHAÎNE ARRYADIA</v>
          </cell>
          <cell r="V2296">
            <v>171360</v>
          </cell>
          <cell r="W2296" t="str">
            <v>Fonctionnement</v>
          </cell>
        </row>
        <row r="2297">
          <cell r="A2297">
            <v>2019</v>
          </cell>
          <cell r="D2297" t="str">
            <v>DIRECTION CENTRALE DE LA CHAÎNE ARRYADIA</v>
          </cell>
          <cell r="V2297">
            <v>360000</v>
          </cell>
          <cell r="W2297" t="str">
            <v>Fonctionnement</v>
          </cell>
        </row>
        <row r="2298">
          <cell r="A2298">
            <v>2019</v>
          </cell>
          <cell r="D2298" t="str">
            <v>DIRECTION CENTRALE DE LA CHAÎNE ARRYADIA</v>
          </cell>
          <cell r="V2298">
            <v>240000</v>
          </cell>
          <cell r="W2298" t="str">
            <v>Fonctionnement</v>
          </cell>
        </row>
        <row r="2299">
          <cell r="A2299">
            <v>2019</v>
          </cell>
          <cell r="D2299" t="str">
            <v>DIRECTION CENTRALE DE LA CHAÎNE ARRYADIA</v>
          </cell>
          <cell r="V2299">
            <v>1560000</v>
          </cell>
          <cell r="W2299" t="str">
            <v>Fonctionnement</v>
          </cell>
        </row>
        <row r="2300">
          <cell r="A2300">
            <v>2019</v>
          </cell>
          <cell r="D2300" t="str">
            <v>DIRECTION CENTRALE DE LA CHAÎNE ARRYADIA</v>
          </cell>
          <cell r="V2300">
            <v>145999.28</v>
          </cell>
          <cell r="W2300" t="str">
            <v>Fonctionnement</v>
          </cell>
        </row>
        <row r="2301">
          <cell r="A2301">
            <v>2019</v>
          </cell>
          <cell r="D2301" t="str">
            <v>DIRECTION CENTRALE DE LA CHAÎNE ARRYADIA</v>
          </cell>
          <cell r="V2301">
            <v>145999.28</v>
          </cell>
          <cell r="W2301" t="str">
            <v>Fonctionnement</v>
          </cell>
        </row>
        <row r="2302">
          <cell r="A2302">
            <v>2019</v>
          </cell>
          <cell r="D2302" t="str">
            <v>DIRECTION CENTRALE DE LA CHAÎNE ARRYADIA</v>
          </cell>
          <cell r="V2302">
            <v>150999.28</v>
          </cell>
          <cell r="W2302" t="str">
            <v>Fonctionnement</v>
          </cell>
        </row>
        <row r="2303">
          <cell r="A2303">
            <v>2019</v>
          </cell>
          <cell r="D2303" t="str">
            <v>DIRECTION CENTRALE DE LA CHAÎNE ARRYADIA</v>
          </cell>
          <cell r="V2303">
            <v>178141.88</v>
          </cell>
          <cell r="W2303" t="str">
            <v>Fonctionnement</v>
          </cell>
        </row>
        <row r="2304">
          <cell r="A2304">
            <v>2019</v>
          </cell>
          <cell r="D2304" t="str">
            <v>DIRECTION CENTRALE DE LA CHAÎNE ARRYADIA</v>
          </cell>
          <cell r="V2304">
            <v>156713.48000000001</v>
          </cell>
          <cell r="W2304" t="str">
            <v>Fonctionnement</v>
          </cell>
        </row>
        <row r="2305">
          <cell r="A2305">
            <v>2019</v>
          </cell>
          <cell r="D2305" t="str">
            <v>DIRECTION CENTRALE DE LA CHAÎNE ARRYADIA</v>
          </cell>
          <cell r="V2305">
            <v>156713.48000000001</v>
          </cell>
          <cell r="W2305" t="str">
            <v>Fonctionnement</v>
          </cell>
        </row>
        <row r="2306">
          <cell r="A2306">
            <v>2019</v>
          </cell>
          <cell r="D2306" t="str">
            <v>DIRECTION CENTRALE DE LA CHAÎNE ARRYADIA</v>
          </cell>
          <cell r="V2306">
            <v>848337.5</v>
          </cell>
          <cell r="W2306" t="str">
            <v>Fonctionnement</v>
          </cell>
        </row>
        <row r="2307">
          <cell r="A2307">
            <v>2019</v>
          </cell>
          <cell r="D2307" t="str">
            <v>DIRECTION CENTRALE DE LA CHAÎNE ARRYADIA</v>
          </cell>
          <cell r="V2307">
            <v>1800000</v>
          </cell>
          <cell r="W2307" t="str">
            <v>Fonctionnement</v>
          </cell>
        </row>
        <row r="2308">
          <cell r="A2308">
            <v>2019</v>
          </cell>
          <cell r="D2308" t="str">
            <v>DIRECTION CENTRALE DE LA CHAÎNE ARRYADIA</v>
          </cell>
          <cell r="V2308">
            <v>1400000</v>
          </cell>
          <cell r="W2308" t="str">
            <v>Fonctionnement</v>
          </cell>
        </row>
        <row r="2309">
          <cell r="A2309">
            <v>2019</v>
          </cell>
          <cell r="D2309" t="str">
            <v>DIRECTION CENTRALE DE LA CHAÎNE ARRYADIA</v>
          </cell>
          <cell r="V2309">
            <v>1504000</v>
          </cell>
          <cell r="W2309" t="str">
            <v>Fonctionnement</v>
          </cell>
        </row>
        <row r="2310">
          <cell r="A2310">
            <v>2019</v>
          </cell>
          <cell r="D2310" t="str">
            <v>DIRECTION CENTRALE DE LA CHAÎNE ARRYADIA</v>
          </cell>
          <cell r="V2310">
            <v>926100</v>
          </cell>
          <cell r="W2310" t="str">
            <v>Fonctionnement</v>
          </cell>
        </row>
        <row r="2311">
          <cell r="A2311">
            <v>2019</v>
          </cell>
          <cell r="D2311" t="str">
            <v>DIRECTION CENTRALE DE LA CHAÎNE ARRYADIA</v>
          </cell>
          <cell r="V2311">
            <v>1920000</v>
          </cell>
          <cell r="W2311" t="str">
            <v>Fonctionnement</v>
          </cell>
        </row>
        <row r="2312">
          <cell r="A2312">
            <v>2019</v>
          </cell>
          <cell r="D2312" t="str">
            <v>DIRECTION CENTRALE DE LA CHAÎNE ARRYADIA</v>
          </cell>
          <cell r="V2312">
            <v>300000</v>
          </cell>
          <cell r="W2312" t="str">
            <v>Fonctionnement</v>
          </cell>
        </row>
        <row r="2313">
          <cell r="A2313">
            <v>2019</v>
          </cell>
          <cell r="D2313" t="str">
            <v>DIRECTION CENTRALE DE LA CHAÎNE ARRYADIA</v>
          </cell>
          <cell r="V2313">
            <v>250000</v>
          </cell>
          <cell r="W2313" t="str">
            <v>Fonctionnement</v>
          </cell>
        </row>
        <row r="2314">
          <cell r="A2314">
            <v>2019</v>
          </cell>
          <cell r="D2314" t="str">
            <v>DIRECTION DES CHAÎNES CORANIQUES TV RADIO</v>
          </cell>
          <cell r="V2314">
            <v>85714.28</v>
          </cell>
          <cell r="W2314" t="str">
            <v>Fonctionnement</v>
          </cell>
        </row>
        <row r="2315">
          <cell r="A2315">
            <v>2019</v>
          </cell>
          <cell r="D2315" t="str">
            <v>DIRECTION DES CHAÎNES CORANIQUES TV RADIO</v>
          </cell>
          <cell r="V2315">
            <v>138960</v>
          </cell>
          <cell r="W2315" t="str">
            <v>Fonctionnement</v>
          </cell>
        </row>
        <row r="2316">
          <cell r="A2316">
            <v>2019</v>
          </cell>
          <cell r="D2316" t="str">
            <v>DIRECTION DES CHAÎNES CORANIQUES TV RADIO</v>
          </cell>
          <cell r="V2316">
            <v>60000</v>
          </cell>
          <cell r="W2316" t="str">
            <v>Fonctionnement</v>
          </cell>
        </row>
        <row r="2317">
          <cell r="A2317">
            <v>2019</v>
          </cell>
          <cell r="D2317" t="str">
            <v>DIRECTION DES CHAÎNES CORANIQUES TV RADIO</v>
          </cell>
          <cell r="V2317">
            <v>60000</v>
          </cell>
          <cell r="W2317" t="str">
            <v>Fonctionnement</v>
          </cell>
        </row>
        <row r="2318">
          <cell r="A2318">
            <v>2019</v>
          </cell>
          <cell r="D2318" t="str">
            <v>DIRECTION DES CHAÎNES CORANIQUES TV RADIO</v>
          </cell>
          <cell r="V2318">
            <v>51600</v>
          </cell>
          <cell r="W2318" t="str">
            <v>Fonctionnement</v>
          </cell>
        </row>
        <row r="2319">
          <cell r="A2319">
            <v>2019</v>
          </cell>
          <cell r="D2319" t="str">
            <v>DIRECTION DES CHAÎNES CORANIQUES TV RADIO</v>
          </cell>
          <cell r="V2319">
            <v>290000</v>
          </cell>
          <cell r="W2319" t="str">
            <v>Fonctionnement</v>
          </cell>
        </row>
        <row r="2320">
          <cell r="A2320">
            <v>2019</v>
          </cell>
          <cell r="D2320" t="str">
            <v>DIRECTION DES CHAÎNES CORANIQUES TV RADIO</v>
          </cell>
          <cell r="V2320">
            <v>54000</v>
          </cell>
          <cell r="W2320" t="str">
            <v>Fonctionnement</v>
          </cell>
        </row>
        <row r="2321">
          <cell r="A2321">
            <v>2019</v>
          </cell>
          <cell r="D2321" t="str">
            <v>DIRECTION DES CHAÎNES CORANIQUES TV RADIO</v>
          </cell>
          <cell r="V2321">
            <v>123000</v>
          </cell>
          <cell r="W2321" t="str">
            <v>Fonctionnement</v>
          </cell>
        </row>
        <row r="2322">
          <cell r="A2322">
            <v>2019</v>
          </cell>
          <cell r="D2322" t="str">
            <v>DIRECTION DES CHAÎNES CORANIQUES TV RADIO</v>
          </cell>
          <cell r="V2322">
            <v>199800</v>
          </cell>
          <cell r="W2322" t="str">
            <v>Fonctionnement</v>
          </cell>
        </row>
        <row r="2323">
          <cell r="A2323">
            <v>2019</v>
          </cell>
          <cell r="D2323" t="str">
            <v>DIRECTION DES CHAÎNES CORANIQUES TV RADIO</v>
          </cell>
          <cell r="V2323">
            <v>289800</v>
          </cell>
          <cell r="W2323" t="str">
            <v>Fonctionnement</v>
          </cell>
        </row>
        <row r="2324">
          <cell r="A2324">
            <v>2019</v>
          </cell>
          <cell r="D2324" t="str">
            <v>DIRECTION DES CHAÎNES CORANIQUES TV RADIO</v>
          </cell>
          <cell r="V2324">
            <v>170000</v>
          </cell>
          <cell r="W2324" t="str">
            <v>Fonctionnement</v>
          </cell>
        </row>
        <row r="2325">
          <cell r="A2325">
            <v>2019</v>
          </cell>
          <cell r="D2325" t="str">
            <v>DIRECTION DES CHAÎNES CORANIQUES TV RADIO</v>
          </cell>
          <cell r="V2325">
            <v>220000</v>
          </cell>
          <cell r="W2325" t="str">
            <v>Fonctionnement</v>
          </cell>
        </row>
        <row r="2326">
          <cell r="A2326">
            <v>2019</v>
          </cell>
          <cell r="D2326" t="str">
            <v>DIRECTION DES CHAÎNES CORANIQUES TV RADIO</v>
          </cell>
          <cell r="V2326">
            <v>120000</v>
          </cell>
          <cell r="W2326" t="str">
            <v>Fonctionnement</v>
          </cell>
        </row>
        <row r="2327">
          <cell r="A2327">
            <v>2019</v>
          </cell>
          <cell r="D2327" t="str">
            <v>DIRECTION DES CHAÎNES CORANIQUES TV RADIO</v>
          </cell>
          <cell r="V2327">
            <v>78000</v>
          </cell>
          <cell r="W2327" t="str">
            <v>Fonctionnement</v>
          </cell>
        </row>
        <row r="2328">
          <cell r="A2328">
            <v>2019</v>
          </cell>
          <cell r="D2328" t="str">
            <v>DIRECTION DES CHAÎNES CORANIQUES TV RADIO</v>
          </cell>
          <cell r="V2328">
            <v>170000</v>
          </cell>
          <cell r="W2328" t="str">
            <v>Fonctionnement</v>
          </cell>
        </row>
        <row r="2329">
          <cell r="A2329">
            <v>2019</v>
          </cell>
          <cell r="D2329" t="str">
            <v>DIRECTION DES CHAÎNES CORANIQUES TV RADIO</v>
          </cell>
          <cell r="V2329">
            <v>70000</v>
          </cell>
          <cell r="W2329" t="str">
            <v>Fonctionnement</v>
          </cell>
        </row>
        <row r="2330">
          <cell r="A2330">
            <v>2019</v>
          </cell>
          <cell r="D2330" t="str">
            <v>DIRECTION DES CHAÎNES CORANIQUES TV RADIO</v>
          </cell>
          <cell r="V2330">
            <v>285540</v>
          </cell>
          <cell r="W2330" t="str">
            <v>Fonctionnement</v>
          </cell>
        </row>
        <row r="2331">
          <cell r="A2331">
            <v>2019</v>
          </cell>
          <cell r="D2331" t="str">
            <v>DIRECTION DES CHAÎNES CORANIQUES TV RADIO</v>
          </cell>
          <cell r="V2331">
            <v>48000</v>
          </cell>
          <cell r="W2331" t="str">
            <v>Fonctionnement</v>
          </cell>
        </row>
        <row r="2332">
          <cell r="A2332">
            <v>2019</v>
          </cell>
          <cell r="D2332" t="str">
            <v>DIRECTION DES CHAÎNES CORANIQUES TV RADIO</v>
          </cell>
          <cell r="V2332">
            <v>286000</v>
          </cell>
          <cell r="W2332" t="str">
            <v>Fonctionnement</v>
          </cell>
        </row>
        <row r="2333">
          <cell r="A2333">
            <v>2019</v>
          </cell>
          <cell r="D2333" t="str">
            <v>DIRECTION DES CHAÎNES CORANIQUES TV RADIO</v>
          </cell>
          <cell r="V2333">
            <v>30000</v>
          </cell>
          <cell r="W2333" t="str">
            <v>Fonctionnement</v>
          </cell>
        </row>
        <row r="2334">
          <cell r="A2334">
            <v>2019</v>
          </cell>
          <cell r="D2334" t="str">
            <v>DIRECTION DES CHAÎNES CORANIQUES TV RADIO</v>
          </cell>
          <cell r="V2334">
            <v>45714.239999999998</v>
          </cell>
          <cell r="W2334" t="str">
            <v>Fonctionnement</v>
          </cell>
        </row>
        <row r="2335">
          <cell r="A2335">
            <v>2019</v>
          </cell>
          <cell r="D2335" t="str">
            <v>DIRECTION DES CHAÎNES CORANIQUES TV RADIO</v>
          </cell>
          <cell r="V2335">
            <v>45714.239999999998</v>
          </cell>
          <cell r="W2335" t="str">
            <v>Fonctionnement</v>
          </cell>
        </row>
        <row r="2336">
          <cell r="A2336">
            <v>2019</v>
          </cell>
          <cell r="D2336" t="str">
            <v>DIRECTION DES CHAÎNES CORANIQUES TV RADIO</v>
          </cell>
          <cell r="V2336">
            <v>45714.239999999998</v>
          </cell>
          <cell r="W2336" t="str">
            <v>Fonctionnement</v>
          </cell>
        </row>
        <row r="2337">
          <cell r="A2337">
            <v>2019</v>
          </cell>
          <cell r="D2337" t="str">
            <v>DIRECTION DES CHAÎNES CORANIQUES TV RADIO</v>
          </cell>
          <cell r="V2337">
            <v>45714.239999999998</v>
          </cell>
          <cell r="W2337" t="str">
            <v>Fonctionnement</v>
          </cell>
        </row>
        <row r="2338">
          <cell r="A2338">
            <v>2019</v>
          </cell>
          <cell r="D2338" t="str">
            <v>DIRECTION DES CHAÎNES CORANIQUES TV RADIO</v>
          </cell>
          <cell r="V2338">
            <v>45714.239999999998</v>
          </cell>
          <cell r="W2338" t="str">
            <v>Fonctionnement</v>
          </cell>
        </row>
        <row r="2339">
          <cell r="A2339">
            <v>2019</v>
          </cell>
          <cell r="D2339" t="str">
            <v>DIRECTION DES CHAÎNES CORANIQUES TV RADIO</v>
          </cell>
          <cell r="V2339">
            <v>45714.239999999998</v>
          </cell>
          <cell r="W2339" t="str">
            <v>Fonctionnement</v>
          </cell>
        </row>
        <row r="2340">
          <cell r="A2340">
            <v>2019</v>
          </cell>
          <cell r="D2340" t="str">
            <v>DIRECTION DES CHAÎNES CORANIQUES TV RADIO</v>
          </cell>
          <cell r="V2340">
            <v>45714.239999999998</v>
          </cell>
          <cell r="W2340" t="str">
            <v>Fonctionnement</v>
          </cell>
        </row>
        <row r="2341">
          <cell r="A2341">
            <v>2019</v>
          </cell>
          <cell r="D2341" t="str">
            <v>DIRECTION DU PATRIMOINE  ET DES MOYENS GENERAUX</v>
          </cell>
          <cell r="V2341">
            <v>137142.84</v>
          </cell>
          <cell r="W2341" t="str">
            <v>Fonctionnement</v>
          </cell>
        </row>
        <row r="2342">
          <cell r="A2342">
            <v>2019</v>
          </cell>
          <cell r="D2342" t="str">
            <v>DIRECTION DU PATRIMOINE  ET DES MOYENS GENERAUX</v>
          </cell>
          <cell r="V2342">
            <v>77142.84</v>
          </cell>
          <cell r="W2342" t="str">
            <v>Fonctionnement</v>
          </cell>
        </row>
        <row r="2343">
          <cell r="A2343">
            <v>2019</v>
          </cell>
          <cell r="D2343" t="str">
            <v>DIRECTION DU PATRIMOINE  ET DES MOYENS GENERAUX</v>
          </cell>
          <cell r="V2343">
            <v>102857.16</v>
          </cell>
          <cell r="W2343" t="str">
            <v>Fonctionnement</v>
          </cell>
        </row>
        <row r="2344">
          <cell r="A2344">
            <v>2019</v>
          </cell>
          <cell r="D2344" t="str">
            <v>DIRECTION DU PATRIMOINE  ET DES MOYENS GENERAUX</v>
          </cell>
          <cell r="V2344">
            <v>359552</v>
          </cell>
          <cell r="W2344" t="str">
            <v>Fonctionnement</v>
          </cell>
        </row>
        <row r="2345">
          <cell r="A2345">
            <v>2019</v>
          </cell>
          <cell r="D2345" t="str">
            <v>DIRECTION DU PATRIMOINE  ET DES MOYENS GENERAUX</v>
          </cell>
          <cell r="V2345">
            <v>84000</v>
          </cell>
          <cell r="W2345" t="str">
            <v>Fonctionnement</v>
          </cell>
        </row>
        <row r="2346">
          <cell r="A2346">
            <v>2019</v>
          </cell>
          <cell r="D2346" t="str">
            <v>DIRECTION DU PATRIMOINE  ET DES MOYENS GENERAUX</v>
          </cell>
          <cell r="V2346">
            <v>246857.03999999998</v>
          </cell>
          <cell r="W2346" t="str">
            <v>Fonctionnement</v>
          </cell>
        </row>
        <row r="2347">
          <cell r="A2347">
            <v>2019</v>
          </cell>
          <cell r="D2347" t="str">
            <v>DIRECTION DE LA TELEDIFFUSION</v>
          </cell>
          <cell r="V2347">
            <v>2380.88</v>
          </cell>
          <cell r="W2347" t="str">
            <v>Fonctionnement</v>
          </cell>
        </row>
        <row r="2348">
          <cell r="A2348">
            <v>2019</v>
          </cell>
          <cell r="D2348" t="str">
            <v>DIRECTION DE LA TELEDIFFUSION</v>
          </cell>
          <cell r="V2348">
            <v>8436</v>
          </cell>
          <cell r="W2348" t="str">
            <v>Investissement</v>
          </cell>
        </row>
        <row r="2349">
          <cell r="A2349">
            <v>2019</v>
          </cell>
          <cell r="D2349" t="str">
            <v>DIRECTION DE LA TELEDIFFUSION</v>
          </cell>
          <cell r="V2349">
            <v>168059.08</v>
          </cell>
          <cell r="W2349" t="str">
            <v>Investissement</v>
          </cell>
        </row>
        <row r="2350">
          <cell r="A2350">
            <v>2019</v>
          </cell>
          <cell r="D2350" t="str">
            <v>DIRECTION DE LA TELEDIFFUSION</v>
          </cell>
          <cell r="V2350">
            <v>148046.39999999999</v>
          </cell>
          <cell r="W2350" t="str">
            <v>Investissement</v>
          </cell>
        </row>
        <row r="2351">
          <cell r="A2351">
            <v>2019</v>
          </cell>
          <cell r="D2351" t="str">
            <v>DIRECTION DE L’INFORMATION TV</v>
          </cell>
          <cell r="V2351">
            <v>148800</v>
          </cell>
          <cell r="W2351" t="str">
            <v>Fonctionnement</v>
          </cell>
        </row>
        <row r="2352">
          <cell r="A2352">
            <v>2019</v>
          </cell>
          <cell r="D2352" t="str">
            <v>DIRECTION DE L’INFORMATION TV</v>
          </cell>
          <cell r="V2352">
            <v>210000</v>
          </cell>
          <cell r="W2352" t="str">
            <v>Fonctionnement</v>
          </cell>
        </row>
        <row r="2353">
          <cell r="A2353">
            <v>2019</v>
          </cell>
          <cell r="D2353" t="str">
            <v>DIRECTION DE L’INFORMATION TV</v>
          </cell>
          <cell r="V2353">
            <v>214751.27999999997</v>
          </cell>
          <cell r="W2353" t="str">
            <v>Fonctionnement</v>
          </cell>
        </row>
        <row r="2354">
          <cell r="A2354">
            <v>2019</v>
          </cell>
          <cell r="D2354" t="str">
            <v>DIRECTION TECHNIQUE</v>
          </cell>
          <cell r="V2354">
            <v>84000</v>
          </cell>
          <cell r="W2354" t="str">
            <v>Fonctionnement</v>
          </cell>
        </row>
        <row r="2355">
          <cell r="A2355">
            <v>2019</v>
          </cell>
          <cell r="D2355" t="str">
            <v>DIRECTION TECHNIQUE</v>
          </cell>
          <cell r="V2355">
            <v>43692.012000000002</v>
          </cell>
          <cell r="W2355" t="str">
            <v>Fonctionnement</v>
          </cell>
        </row>
        <row r="2356">
          <cell r="A2356">
            <v>2019</v>
          </cell>
          <cell r="D2356" t="str">
            <v>DIRECTION TECHNIQUE</v>
          </cell>
          <cell r="V2356">
            <v>148800</v>
          </cell>
          <cell r="W2356" t="str">
            <v>Fonctionnement</v>
          </cell>
        </row>
        <row r="2357">
          <cell r="A2357">
            <v>2019</v>
          </cell>
          <cell r="D2357" t="str">
            <v>DIRECTION TECHNIQUE</v>
          </cell>
          <cell r="V2357">
            <v>148800</v>
          </cell>
          <cell r="W2357" t="str">
            <v>Fonctionnement</v>
          </cell>
        </row>
        <row r="2358">
          <cell r="A2358">
            <v>2019</v>
          </cell>
          <cell r="D2358" t="str">
            <v>DIRECTION DES RESSOURCES HUMAINES</v>
          </cell>
          <cell r="V2358">
            <v>5335750</v>
          </cell>
          <cell r="W2358" t="str">
            <v>Fonctionnement</v>
          </cell>
        </row>
        <row r="2359">
          <cell r="A2359">
            <v>2019</v>
          </cell>
          <cell r="D2359" t="str">
            <v>DIRECTION DES RESSOURCES HUMAINES</v>
          </cell>
          <cell r="V2359">
            <v>171428.57</v>
          </cell>
          <cell r="W2359" t="str">
            <v>Fonctionnement</v>
          </cell>
        </row>
        <row r="2360">
          <cell r="A2360">
            <v>2019</v>
          </cell>
          <cell r="D2360" t="str">
            <v>DIRECTION CHARGEE DES RELATIONS INTERNATIONALES</v>
          </cell>
          <cell r="V2360">
            <v>2457453.64</v>
          </cell>
          <cell r="W2360" t="str">
            <v>Fonctionnement</v>
          </cell>
        </row>
        <row r="2361">
          <cell r="A2361">
            <v>2019</v>
          </cell>
          <cell r="D2361" t="str">
            <v>DIRECTION CHARGEE DES RELATIONS INTERNATIONALES</v>
          </cell>
          <cell r="V2361">
            <v>1046568.13</v>
          </cell>
          <cell r="W2361" t="str">
            <v>Fonctionnement</v>
          </cell>
        </row>
        <row r="2362">
          <cell r="A2362">
            <v>2019</v>
          </cell>
          <cell r="D2362" t="str">
            <v>DIRECTION CHARGEE DES RELATIONS INTERNATIONALES</v>
          </cell>
          <cell r="V2362">
            <v>66749.17</v>
          </cell>
          <cell r="W2362" t="str">
            <v>Fonctionnement</v>
          </cell>
        </row>
        <row r="2363">
          <cell r="A2363">
            <v>2019</v>
          </cell>
          <cell r="D2363" t="str">
            <v>DIRECTION CHARGEE DES RELATIONS INTERNATIONALES</v>
          </cell>
          <cell r="V2363">
            <v>11690.35</v>
          </cell>
          <cell r="W2363" t="str">
            <v>Fonctionnement</v>
          </cell>
        </row>
        <row r="2364">
          <cell r="A2364">
            <v>2019</v>
          </cell>
          <cell r="D2364" t="str">
            <v>DIRECTION CHARGEE DES RELATIONS INTERNATIONALES</v>
          </cell>
          <cell r="V2364">
            <v>14298.16</v>
          </cell>
          <cell r="W2364" t="str">
            <v>Fonctionnement</v>
          </cell>
        </row>
        <row r="2365">
          <cell r="A2365">
            <v>2019</v>
          </cell>
          <cell r="D2365" t="str">
            <v>DIRECTION DE L’INFORMATION RADIO</v>
          </cell>
          <cell r="V2365">
            <v>132000</v>
          </cell>
          <cell r="W2365" t="str">
            <v>Fonctionnement</v>
          </cell>
        </row>
        <row r="2366">
          <cell r="A2366">
            <v>2019</v>
          </cell>
          <cell r="D2366" t="str">
            <v>DIRECTION DE L’INFORMATION RADIO</v>
          </cell>
          <cell r="V2366">
            <v>156000</v>
          </cell>
          <cell r="W2366" t="str">
            <v>Fonctionnement</v>
          </cell>
        </row>
        <row r="2367">
          <cell r="A2367">
            <v>2019</v>
          </cell>
          <cell r="D2367" t="str">
            <v>DIRECTION DE L’INFORMATION RADIO</v>
          </cell>
          <cell r="V2367">
            <v>120000</v>
          </cell>
          <cell r="W2367" t="str">
            <v>Fonctionnement</v>
          </cell>
        </row>
        <row r="2368">
          <cell r="A2368">
            <v>2019</v>
          </cell>
          <cell r="D2368" t="str">
            <v>DIRECTION DE L’INFORMATION TV</v>
          </cell>
          <cell r="V2368">
            <v>2271764.44</v>
          </cell>
          <cell r="W2368" t="str">
            <v>Fonctionnement</v>
          </cell>
        </row>
        <row r="2369">
          <cell r="A2369">
            <v>2019</v>
          </cell>
          <cell r="D2369" t="str">
            <v>DIRECTION DE L’INFORMATION TV</v>
          </cell>
          <cell r="V2369">
            <v>1937578.11</v>
          </cell>
          <cell r="W2369" t="str">
            <v>Fonctionnement</v>
          </cell>
        </row>
        <row r="2370">
          <cell r="A2370">
            <v>2019</v>
          </cell>
          <cell r="D2370" t="str">
            <v>DIRECTION DE L’INFORMATION TV</v>
          </cell>
          <cell r="V2370">
            <v>2673889.92</v>
          </cell>
          <cell r="W2370" t="str">
            <v>Fonctionnement</v>
          </cell>
        </row>
        <row r="2371">
          <cell r="A2371">
            <v>2019</v>
          </cell>
          <cell r="D2371" t="str">
            <v>DIRECTION DE L’INFORMATION TV</v>
          </cell>
          <cell r="V2371">
            <v>955877.94</v>
          </cell>
          <cell r="W2371" t="str">
            <v>Fonctionnement</v>
          </cell>
        </row>
        <row r="2372">
          <cell r="A2372">
            <v>2019</v>
          </cell>
          <cell r="D2372" t="str">
            <v>DIRECTION DE L’INFORMATION TV</v>
          </cell>
          <cell r="V2372">
            <v>148800</v>
          </cell>
          <cell r="W2372" t="str">
            <v>Fonctionnement</v>
          </cell>
        </row>
        <row r="2373">
          <cell r="A2373">
            <v>2019</v>
          </cell>
          <cell r="D2373" t="str">
            <v>DIRECTION DE L’INFORMATION TV</v>
          </cell>
          <cell r="V2373">
            <v>96000</v>
          </cell>
          <cell r="W2373" t="str">
            <v>Fonctionnement</v>
          </cell>
        </row>
        <row r="2374">
          <cell r="A2374">
            <v>2019</v>
          </cell>
          <cell r="D2374" t="str">
            <v>DIRECTION DE L’INFORMATION TV</v>
          </cell>
          <cell r="V2374">
            <v>72000</v>
          </cell>
          <cell r="W2374" t="str">
            <v>Fonctionnement</v>
          </cell>
        </row>
        <row r="2375">
          <cell r="A2375">
            <v>2019</v>
          </cell>
          <cell r="D2375" t="str">
            <v>DIRECTION DE L’INFORMATION TV</v>
          </cell>
          <cell r="V2375">
            <v>96000</v>
          </cell>
          <cell r="W2375" t="str">
            <v>Fonctionnement</v>
          </cell>
        </row>
        <row r="2376">
          <cell r="A2376">
            <v>2019</v>
          </cell>
          <cell r="D2376" t="str">
            <v>DIRECTION DE L’INFORMATION TV</v>
          </cell>
          <cell r="V2376">
            <v>214800</v>
          </cell>
          <cell r="W2376" t="str">
            <v>Fonctionnement</v>
          </cell>
        </row>
        <row r="2377">
          <cell r="A2377">
            <v>2019</v>
          </cell>
          <cell r="D2377" t="str">
            <v>DIRECTION DE L’INFORMATION TV</v>
          </cell>
          <cell r="V2377">
            <v>44571.360000000001</v>
          </cell>
          <cell r="W2377" t="str">
            <v>Fonctionnement</v>
          </cell>
        </row>
        <row r="2378">
          <cell r="A2378">
            <v>2019</v>
          </cell>
          <cell r="D2378" t="str">
            <v>DIRECTION DE L’INFORMATION TV</v>
          </cell>
          <cell r="V2378">
            <v>145714.32</v>
          </cell>
          <cell r="W2378" t="str">
            <v>Fonctionnement</v>
          </cell>
        </row>
        <row r="2379">
          <cell r="A2379">
            <v>2019</v>
          </cell>
          <cell r="D2379" t="str">
            <v>DIRECTION DE L’INFORMATION TV</v>
          </cell>
          <cell r="V2379">
            <v>557419.24799999991</v>
          </cell>
          <cell r="W2379" t="str">
            <v>Fonctionnement</v>
          </cell>
        </row>
        <row r="2380">
          <cell r="A2380">
            <v>2019</v>
          </cell>
          <cell r="D2380" t="str">
            <v>DIRECTION DE L’INFORMATION TV</v>
          </cell>
          <cell r="V2380">
            <v>72000</v>
          </cell>
          <cell r="W2380" t="str">
            <v>Fonctionnement</v>
          </cell>
        </row>
        <row r="2381">
          <cell r="A2381">
            <v>2019</v>
          </cell>
          <cell r="D2381" t="str">
            <v>DIRECTION DE L’INFORMATION TV</v>
          </cell>
          <cell r="V2381">
            <v>72000</v>
          </cell>
          <cell r="W2381" t="str">
            <v>Fonctionnement</v>
          </cell>
        </row>
        <row r="2382">
          <cell r="A2382">
            <v>2019</v>
          </cell>
          <cell r="D2382" t="str">
            <v>DIRECTION DE L’INFORMATION TV</v>
          </cell>
          <cell r="V2382">
            <v>72000</v>
          </cell>
          <cell r="W2382" t="str">
            <v>Fonctionnement</v>
          </cell>
        </row>
        <row r="2383">
          <cell r="A2383">
            <v>2019</v>
          </cell>
          <cell r="D2383" t="str">
            <v>DIRECTION DE L’INFORMATION TV</v>
          </cell>
          <cell r="V2383">
            <v>957000</v>
          </cell>
          <cell r="W2383" t="str">
            <v>Fonctionnement</v>
          </cell>
        </row>
        <row r="2384">
          <cell r="A2384">
            <v>2019</v>
          </cell>
          <cell r="D2384" t="str">
            <v xml:space="preserve">DIRECTION CENTRALE DE LA CHAINE TV LAAYOUNE </v>
          </cell>
          <cell r="V2384">
            <v>280000</v>
          </cell>
          <cell r="W2384" t="str">
            <v>Fonctionnement</v>
          </cell>
        </row>
        <row r="2385">
          <cell r="A2385">
            <v>2019</v>
          </cell>
          <cell r="D2385" t="str">
            <v xml:space="preserve">DIRECTION CENTRALE DE LA CHAINE TV LAAYOUNE </v>
          </cell>
          <cell r="V2385">
            <v>257142.90000000002</v>
          </cell>
          <cell r="W2385" t="str">
            <v>Fonctionnement</v>
          </cell>
        </row>
        <row r="2386">
          <cell r="A2386">
            <v>2019</v>
          </cell>
          <cell r="D2386" t="str">
            <v xml:space="preserve">DIRECTION CENTRALE DE LA CHAINE TV LAAYOUNE </v>
          </cell>
          <cell r="V2386">
            <v>205714.94</v>
          </cell>
          <cell r="W2386" t="str">
            <v>Fonctionnement</v>
          </cell>
        </row>
        <row r="2387">
          <cell r="A2387">
            <v>2019</v>
          </cell>
          <cell r="D2387" t="str">
            <v xml:space="preserve">DIRECTION CENTRALE DE LA CHAINE TV LAAYOUNE </v>
          </cell>
          <cell r="V2387">
            <v>171428.63999999998</v>
          </cell>
          <cell r="W2387" t="str">
            <v>Fonctionnement</v>
          </cell>
        </row>
        <row r="2388">
          <cell r="A2388">
            <v>2019</v>
          </cell>
          <cell r="D2388" t="str">
            <v>DIRECTION MARKETING ET PROGRAMATION TV</v>
          </cell>
          <cell r="V2388">
            <v>100000</v>
          </cell>
          <cell r="W2388" t="str">
            <v>Fonctionnement</v>
          </cell>
        </row>
        <row r="2389">
          <cell r="A2389">
            <v>2019</v>
          </cell>
          <cell r="D2389" t="str">
            <v>DIRECTION MARKETING ET PROGRAMATION TV</v>
          </cell>
          <cell r="V2389">
            <v>150000</v>
          </cell>
          <cell r="W2389" t="str">
            <v>Fonctionnement</v>
          </cell>
        </row>
        <row r="2390">
          <cell r="A2390">
            <v>2019</v>
          </cell>
          <cell r="D2390" t="str">
            <v>DIRECTION MARKETING ET PROGRAMATION TV</v>
          </cell>
          <cell r="V2390">
            <v>126000</v>
          </cell>
          <cell r="W2390" t="str">
            <v>Fonctionnement</v>
          </cell>
        </row>
        <row r="2391">
          <cell r="A2391">
            <v>2019</v>
          </cell>
          <cell r="D2391" t="str">
            <v>DIRECTION MARKETING ET PROGRAMATION TV</v>
          </cell>
          <cell r="V2391">
            <v>180000</v>
          </cell>
          <cell r="W2391" t="str">
            <v>Fonctionnement</v>
          </cell>
        </row>
        <row r="2392">
          <cell r="A2392">
            <v>2019</v>
          </cell>
          <cell r="D2392" t="str">
            <v>DIRECTION MARKETING ET PROGRAMATION TV</v>
          </cell>
          <cell r="V2392">
            <v>96000</v>
          </cell>
          <cell r="W2392" t="str">
            <v>Fonctionnement</v>
          </cell>
        </row>
        <row r="2393">
          <cell r="A2393">
            <v>2019</v>
          </cell>
          <cell r="D2393" t="str">
            <v>DIRECTION MARKETING ET PROGRAMATION TV</v>
          </cell>
          <cell r="V2393">
            <v>180000</v>
          </cell>
          <cell r="W2393" t="str">
            <v>Fonctionnement</v>
          </cell>
        </row>
        <row r="2394">
          <cell r="A2394">
            <v>2019</v>
          </cell>
          <cell r="D2394" t="str">
            <v>DIRECTION MARKETING ET PROGRAMATION TV</v>
          </cell>
          <cell r="V2394">
            <v>2341200</v>
          </cell>
          <cell r="W2394" t="str">
            <v>Fonctionnement</v>
          </cell>
        </row>
        <row r="2395">
          <cell r="A2395">
            <v>2019</v>
          </cell>
          <cell r="D2395" t="str">
            <v>DIRECTION MARKETING ET PROGRAMATION TV</v>
          </cell>
          <cell r="V2395">
            <v>200000</v>
          </cell>
          <cell r="W2395" t="str">
            <v>Fonctionnement</v>
          </cell>
        </row>
        <row r="2396">
          <cell r="A2396">
            <v>2019</v>
          </cell>
          <cell r="D2396" t="str">
            <v>DIRECTION DES CHAÎNES CORANIQUES TV RADIO</v>
          </cell>
          <cell r="V2396">
            <v>95000</v>
          </cell>
          <cell r="W2396" t="str">
            <v>Fonctionnement</v>
          </cell>
        </row>
        <row r="2397">
          <cell r="A2397">
            <v>2019</v>
          </cell>
          <cell r="D2397" t="str">
            <v>DIRECTION DES CHAÎNES CORANIQUES TV RADIO</v>
          </cell>
          <cell r="V2397">
            <v>16000</v>
          </cell>
          <cell r="W2397" t="str">
            <v>Fonctionnement</v>
          </cell>
        </row>
        <row r="2398">
          <cell r="A2398">
            <v>2019</v>
          </cell>
          <cell r="D2398" t="str">
            <v>DIRECTION DES CHAÎNES CORANIQUES TV RADIO</v>
          </cell>
          <cell r="V2398">
            <v>121700</v>
          </cell>
          <cell r="W2398" t="str">
            <v>Fonctionnement</v>
          </cell>
        </row>
        <row r="2399">
          <cell r="A2399">
            <v>2019</v>
          </cell>
          <cell r="D2399" t="str">
            <v>DIRECTION DES CHAÎNES CORANIQUES TV RADIO</v>
          </cell>
          <cell r="V2399">
            <v>60000</v>
          </cell>
          <cell r="W2399" t="str">
            <v>Fonctionnement</v>
          </cell>
        </row>
        <row r="2400">
          <cell r="A2400">
            <v>2019</v>
          </cell>
          <cell r="D2400" t="str">
            <v>DIRECTION DES CHAÎNES CORANIQUES TV RADIO</v>
          </cell>
          <cell r="V2400">
            <v>33600</v>
          </cell>
          <cell r="W2400" t="str">
            <v>Fonctionnement</v>
          </cell>
        </row>
        <row r="2401">
          <cell r="A2401">
            <v>2019</v>
          </cell>
          <cell r="D2401" t="str">
            <v>DIRECTION DES CHAÎNES CORANIQUES TV RADIO</v>
          </cell>
          <cell r="V2401">
            <v>200000</v>
          </cell>
          <cell r="W2401" t="str">
            <v>Fonctionnement</v>
          </cell>
        </row>
        <row r="2402">
          <cell r="A2402">
            <v>2019</v>
          </cell>
          <cell r="D2402" t="str">
            <v>DIRECTION DES CHAÎNES CORANIQUES TV RADIO</v>
          </cell>
          <cell r="V2402">
            <v>60000</v>
          </cell>
          <cell r="W2402" t="str">
            <v>Fonctionnement</v>
          </cell>
        </row>
        <row r="2403">
          <cell r="A2403">
            <v>2019</v>
          </cell>
          <cell r="D2403" t="str">
            <v>DIRECTION DES CHAÎNES CORANIQUES TV RADIO</v>
          </cell>
          <cell r="V2403">
            <v>154400</v>
          </cell>
          <cell r="W2403" t="str">
            <v>Fonctionnement</v>
          </cell>
        </row>
        <row r="2404">
          <cell r="A2404">
            <v>2019</v>
          </cell>
          <cell r="D2404" t="str">
            <v>DIRECTION DES CHAÎNES CORANIQUES TV RADIO</v>
          </cell>
          <cell r="V2404">
            <v>60000</v>
          </cell>
          <cell r="W2404" t="str">
            <v>Fonctionnement</v>
          </cell>
        </row>
        <row r="2405">
          <cell r="A2405">
            <v>2019</v>
          </cell>
          <cell r="D2405" t="str">
            <v>DIRECTION DES CHAÎNES CORANIQUES TV RADIO</v>
          </cell>
          <cell r="V2405">
            <v>40000</v>
          </cell>
          <cell r="W2405" t="str">
            <v>Fonctionnement</v>
          </cell>
        </row>
        <row r="2406">
          <cell r="A2406">
            <v>2019</v>
          </cell>
          <cell r="D2406" t="str">
            <v>DIRECTION DES CHAÎNES CORANIQUES TV RADIO</v>
          </cell>
          <cell r="V2406">
            <v>72000</v>
          </cell>
          <cell r="W2406" t="str">
            <v>Fonctionnement</v>
          </cell>
        </row>
        <row r="2407">
          <cell r="A2407">
            <v>2019</v>
          </cell>
          <cell r="D2407" t="str">
            <v>DIRECTION DES CHAÎNES CORANIQUES TV RADIO</v>
          </cell>
          <cell r="V2407">
            <v>60000</v>
          </cell>
          <cell r="W2407" t="str">
            <v>Fonctionnement</v>
          </cell>
        </row>
        <row r="2408">
          <cell r="A2408">
            <v>2019</v>
          </cell>
          <cell r="D2408" t="str">
            <v>DIRECTION DES CHAÎNES CORANIQUES TV RADIO</v>
          </cell>
          <cell r="V2408">
            <v>80000</v>
          </cell>
          <cell r="W2408" t="str">
            <v>Fonctionnement</v>
          </cell>
        </row>
        <row r="2409">
          <cell r="A2409">
            <v>2019</v>
          </cell>
          <cell r="D2409" t="str">
            <v>DIRECTION DES CHAÎNES CORANIQUES TV RADIO</v>
          </cell>
          <cell r="V2409">
            <v>154500</v>
          </cell>
          <cell r="W2409" t="str">
            <v>Fonctionnement</v>
          </cell>
        </row>
        <row r="2410">
          <cell r="A2410">
            <v>2019</v>
          </cell>
          <cell r="D2410" t="str">
            <v>DIRECTION DES CHAÎNES CORANIQUES TV RADIO</v>
          </cell>
          <cell r="V2410">
            <v>96000</v>
          </cell>
          <cell r="W2410" t="str">
            <v>Fonctionnement</v>
          </cell>
        </row>
        <row r="2411">
          <cell r="A2411">
            <v>2019</v>
          </cell>
          <cell r="D2411" t="str">
            <v>DIRECTION DES CHAÎNES CORANIQUES TV RADIO</v>
          </cell>
          <cell r="V2411">
            <v>60000</v>
          </cell>
          <cell r="W2411" t="str">
            <v>Fonctionnement</v>
          </cell>
        </row>
        <row r="2412">
          <cell r="A2412">
            <v>2019</v>
          </cell>
          <cell r="D2412" t="str">
            <v>DIRECTION DES CHAÎNES CORANIQUES TV RADIO</v>
          </cell>
          <cell r="V2412">
            <v>90000</v>
          </cell>
          <cell r="W2412" t="str">
            <v>Fonctionnement</v>
          </cell>
        </row>
        <row r="2413">
          <cell r="A2413">
            <v>2019</v>
          </cell>
          <cell r="D2413" t="str">
            <v>DIRECTION DES CHAÎNES CORANIQUES TV RADIO</v>
          </cell>
          <cell r="V2413">
            <v>121700</v>
          </cell>
          <cell r="W2413" t="str">
            <v>Fonctionnement</v>
          </cell>
        </row>
        <row r="2414">
          <cell r="A2414">
            <v>2019</v>
          </cell>
          <cell r="D2414" t="str">
            <v>DIRECTION DES CHAÎNES CORANIQUES TV RADIO</v>
          </cell>
          <cell r="V2414">
            <v>33600</v>
          </cell>
          <cell r="W2414" t="str">
            <v>Fonctionnement</v>
          </cell>
        </row>
        <row r="2415">
          <cell r="A2415">
            <v>2019</v>
          </cell>
          <cell r="D2415" t="str">
            <v>DIRECTION DES CHAÎNES CORANIQUES TV RADIO</v>
          </cell>
          <cell r="V2415">
            <v>60000</v>
          </cell>
          <cell r="W2415" t="str">
            <v>Fonctionnement</v>
          </cell>
        </row>
        <row r="2416">
          <cell r="A2416">
            <v>2019</v>
          </cell>
          <cell r="D2416" t="str">
            <v>DIRECTION DES CHAÎNES CORANIQUES TV RADIO</v>
          </cell>
          <cell r="V2416">
            <v>40000</v>
          </cell>
          <cell r="W2416" t="str">
            <v>Fonctionnement</v>
          </cell>
        </row>
        <row r="2417">
          <cell r="A2417">
            <v>2019</v>
          </cell>
          <cell r="D2417" t="str">
            <v>DIRECTION DES CHAÎNES CORANIQUES TV RADIO</v>
          </cell>
          <cell r="V2417">
            <v>19200</v>
          </cell>
          <cell r="W2417" t="str">
            <v>Fonctionnement</v>
          </cell>
        </row>
        <row r="2418">
          <cell r="A2418">
            <v>2019</v>
          </cell>
          <cell r="D2418" t="str">
            <v>DIRECTION DES CHAÎNES CORANIQUES TV RADIO</v>
          </cell>
          <cell r="V2418">
            <v>57142.8</v>
          </cell>
          <cell r="W2418" t="str">
            <v>Fonctionnement</v>
          </cell>
        </row>
        <row r="2419">
          <cell r="A2419">
            <v>2019</v>
          </cell>
          <cell r="D2419" t="str">
            <v>DIRECTION DES CHAÎNES CORANIQUES TV RADIO</v>
          </cell>
          <cell r="V2419">
            <v>104000</v>
          </cell>
          <cell r="W2419" t="str">
            <v>Fonctionnement</v>
          </cell>
        </row>
        <row r="2420">
          <cell r="A2420">
            <v>2019</v>
          </cell>
          <cell r="D2420" t="str">
            <v>DIRECTION DES CHAÎNES CORANIQUES TV RADIO</v>
          </cell>
          <cell r="V2420">
            <v>40000</v>
          </cell>
          <cell r="W2420" t="str">
            <v>Fonctionnement</v>
          </cell>
        </row>
        <row r="2421">
          <cell r="A2421">
            <v>2019</v>
          </cell>
          <cell r="D2421" t="str">
            <v>DIRECTION DES CHAÎNES CORANIQUES TV RADIO</v>
          </cell>
          <cell r="V2421">
            <v>54285.66</v>
          </cell>
          <cell r="W2421" t="str">
            <v>Fonctionnement</v>
          </cell>
        </row>
        <row r="2422">
          <cell r="A2422">
            <v>2019</v>
          </cell>
          <cell r="D2422" t="str">
            <v>DIRECTION DES CHAÎNES CORANIQUES TV RADIO</v>
          </cell>
          <cell r="V2422">
            <v>54285.66</v>
          </cell>
          <cell r="W2422" t="str">
            <v>Fonctionnement</v>
          </cell>
        </row>
        <row r="2423">
          <cell r="A2423">
            <v>2019</v>
          </cell>
          <cell r="D2423" t="str">
            <v>DIRECTION DES CHAÎNES CORANIQUES TV RADIO</v>
          </cell>
          <cell r="V2423">
            <v>54285.66</v>
          </cell>
          <cell r="W2423" t="str">
            <v>Fonctionnement</v>
          </cell>
        </row>
        <row r="2424">
          <cell r="A2424">
            <v>2019</v>
          </cell>
          <cell r="D2424" t="str">
            <v>DIRECTION DES CHAÎNES CORANIQUES TV RADIO</v>
          </cell>
          <cell r="V2424">
            <v>54285.66</v>
          </cell>
          <cell r="W2424" t="str">
            <v>Fonctionnement</v>
          </cell>
        </row>
        <row r="2425">
          <cell r="A2425">
            <v>2019</v>
          </cell>
          <cell r="D2425" t="str">
            <v>DIRECTION DES CHAÎNES CORANIQUES TV RADIO</v>
          </cell>
          <cell r="V2425">
            <v>54285.66</v>
          </cell>
          <cell r="W2425" t="str">
            <v>Fonctionnement</v>
          </cell>
        </row>
        <row r="2426">
          <cell r="A2426">
            <v>2019</v>
          </cell>
          <cell r="D2426" t="str">
            <v>DIRECTION DES CHAÎNES CORANIQUES TV RADIO</v>
          </cell>
          <cell r="V2426">
            <v>54285.66</v>
          </cell>
          <cell r="W2426" t="str">
            <v>Fonctionnement</v>
          </cell>
        </row>
        <row r="2427">
          <cell r="A2427">
            <v>2019</v>
          </cell>
          <cell r="D2427" t="str">
            <v>DIRECTION DES CHAÎNES CORANIQUES TV RADIO</v>
          </cell>
          <cell r="V2427">
            <v>42000</v>
          </cell>
          <cell r="W2427" t="str">
            <v>Fonctionnement</v>
          </cell>
        </row>
        <row r="2428">
          <cell r="A2428">
            <v>2019</v>
          </cell>
          <cell r="D2428" t="str">
            <v>DIRECTION DE LA PRODUCTION ET DE LA PROGRAMMATION RADIO</v>
          </cell>
          <cell r="V2428">
            <v>120000</v>
          </cell>
          <cell r="W2428" t="str">
            <v>Fonctionnement</v>
          </cell>
        </row>
        <row r="2429">
          <cell r="A2429">
            <v>2019</v>
          </cell>
          <cell r="D2429" t="str">
            <v>DIRECTION DE LA PRODUCTION ET DE LA PROGRAMMATION RADIO</v>
          </cell>
          <cell r="V2429">
            <v>120000</v>
          </cell>
          <cell r="W2429" t="str">
            <v>Fonctionnement</v>
          </cell>
        </row>
        <row r="2430">
          <cell r="A2430">
            <v>2019</v>
          </cell>
          <cell r="D2430" t="str">
            <v>DIRECTION DE LA PRODUCTION ET DE LA PROGRAMMATION RADIO</v>
          </cell>
          <cell r="V2430">
            <v>240000</v>
          </cell>
          <cell r="W2430" t="str">
            <v>Fonctionnement</v>
          </cell>
        </row>
        <row r="2431">
          <cell r="A2431">
            <v>2019</v>
          </cell>
          <cell r="D2431" t="str">
            <v>DIRECTION DE LA PRODUCTION ET DE LA PROGRAMMATION RADIO</v>
          </cell>
          <cell r="V2431">
            <v>180000</v>
          </cell>
          <cell r="W2431" t="str">
            <v>Fonctionnement</v>
          </cell>
        </row>
        <row r="2432">
          <cell r="A2432">
            <v>2019</v>
          </cell>
          <cell r="D2432" t="str">
            <v>DIRECTION DE LA PRODUCTION ET DE LA PROGRAMMATION RADIO</v>
          </cell>
          <cell r="V2432">
            <v>120000</v>
          </cell>
          <cell r="W2432" t="str">
            <v>Fonctionnement</v>
          </cell>
        </row>
        <row r="2433">
          <cell r="A2433">
            <v>2019</v>
          </cell>
          <cell r="D2433" t="str">
            <v>DIRECTION DE LA PRODUCTION ET DE LA PROGRAMMATION RADIO</v>
          </cell>
          <cell r="V2433">
            <v>216000</v>
          </cell>
          <cell r="W2433" t="str">
            <v>Fonctionnement</v>
          </cell>
        </row>
        <row r="2434">
          <cell r="A2434">
            <v>2019</v>
          </cell>
          <cell r="D2434" t="str">
            <v>DIRECTION DE LA PRODUCTION ET DE LA PROGRAMMATION RADIO</v>
          </cell>
          <cell r="V2434">
            <v>120000</v>
          </cell>
          <cell r="W2434" t="str">
            <v>Fonctionnement</v>
          </cell>
        </row>
        <row r="2435">
          <cell r="A2435">
            <v>2019</v>
          </cell>
          <cell r="D2435" t="str">
            <v>DIRECTION DE LA PRODUCTION ET DE LA PROGRAMMATION RADIO</v>
          </cell>
          <cell r="V2435">
            <v>130000</v>
          </cell>
          <cell r="W2435" t="str">
            <v>Fonctionnement</v>
          </cell>
        </row>
        <row r="2436">
          <cell r="A2436">
            <v>2019</v>
          </cell>
          <cell r="D2436" t="str">
            <v>DIRECTION DE LA PRODUCTION ET DE LA PROGRAMMATION RADIO</v>
          </cell>
          <cell r="V2436">
            <v>120000</v>
          </cell>
          <cell r="W2436" t="str">
            <v>Fonctionnement</v>
          </cell>
        </row>
        <row r="2437">
          <cell r="A2437">
            <v>2019</v>
          </cell>
          <cell r="D2437" t="str">
            <v>DIRECTION DE LA PRODUCTION ET DE LA PROGRAMMATION RADIO</v>
          </cell>
          <cell r="V2437">
            <v>130000</v>
          </cell>
          <cell r="W2437" t="str">
            <v>Fonctionnement</v>
          </cell>
        </row>
        <row r="2438">
          <cell r="A2438">
            <v>2019</v>
          </cell>
          <cell r="D2438" t="str">
            <v>DIRECTION DE LA PRODUCTION ET DE LA PROGRAMMATION RADIO</v>
          </cell>
          <cell r="V2438">
            <v>120000</v>
          </cell>
          <cell r="W2438" t="str">
            <v>Fonctionnement</v>
          </cell>
        </row>
        <row r="2439">
          <cell r="A2439">
            <v>2019</v>
          </cell>
          <cell r="D2439" t="str">
            <v>DIRECTION DE LA PRODUCTION ET DE LA PROGRAMMATION RADIO</v>
          </cell>
          <cell r="V2439">
            <v>130000</v>
          </cell>
          <cell r="W2439" t="str">
            <v>Fonctionnement</v>
          </cell>
        </row>
        <row r="2440">
          <cell r="A2440">
            <v>2019</v>
          </cell>
          <cell r="D2440" t="str">
            <v>DIRECTION DE LA PRODUCTION ET DE LA PROGRAMMATION RADIO</v>
          </cell>
          <cell r="V2440">
            <v>96000</v>
          </cell>
          <cell r="W2440" t="str">
            <v>Fonctionnement</v>
          </cell>
        </row>
        <row r="2441">
          <cell r="A2441">
            <v>2019</v>
          </cell>
          <cell r="D2441" t="str">
            <v>DIRECTION DE LA PRODUCTION ET DE LA PROGRAMMATION RADIO</v>
          </cell>
          <cell r="V2441">
            <v>48000</v>
          </cell>
          <cell r="W2441" t="str">
            <v>Fonctionnement</v>
          </cell>
        </row>
        <row r="2442">
          <cell r="A2442">
            <v>2019</v>
          </cell>
          <cell r="D2442" t="str">
            <v>DIRECTION DE LA PRODUCTION ET DE LA PROGRAMMATION RADIO</v>
          </cell>
          <cell r="V2442">
            <v>24000</v>
          </cell>
          <cell r="W2442" t="str">
            <v>Fonctionnement</v>
          </cell>
        </row>
        <row r="2443">
          <cell r="A2443">
            <v>2019</v>
          </cell>
          <cell r="D2443" t="str">
            <v>DIRECTION DE LA PRODUCTION ET DE LA PROGRAMMATION RADIO</v>
          </cell>
          <cell r="V2443">
            <v>96000</v>
          </cell>
          <cell r="W2443" t="str">
            <v>Fonctionnement</v>
          </cell>
        </row>
        <row r="2444">
          <cell r="A2444">
            <v>2019</v>
          </cell>
          <cell r="D2444" t="str">
            <v>DIRECTION DE LA PRODUCTION ET DE LA PROGRAMMATION RADIO</v>
          </cell>
          <cell r="V2444">
            <v>96000</v>
          </cell>
          <cell r="W2444" t="str">
            <v>Fonctionnement</v>
          </cell>
        </row>
        <row r="2445">
          <cell r="A2445">
            <v>2019</v>
          </cell>
          <cell r="D2445" t="str">
            <v>DIRECTION DE LA PRODUCTION ET DE LA PROGRAMMATION RADIO</v>
          </cell>
          <cell r="V2445">
            <v>96000</v>
          </cell>
          <cell r="W2445" t="str">
            <v>Fonctionnement</v>
          </cell>
        </row>
        <row r="2446">
          <cell r="A2446">
            <v>2019</v>
          </cell>
          <cell r="D2446" t="str">
            <v>DIRECTION DE LA PRODUCTION ET DE LA PROGRAMMATION RADIO</v>
          </cell>
          <cell r="V2446">
            <v>54000</v>
          </cell>
          <cell r="W2446" t="str">
            <v>Fonctionnement</v>
          </cell>
        </row>
        <row r="2447">
          <cell r="A2447">
            <v>2019</v>
          </cell>
          <cell r="D2447" t="str">
            <v>DIRECTION DE LA PRODUCTION ET DE LA PROGRAMMATION RADIO</v>
          </cell>
          <cell r="V2447">
            <v>54000</v>
          </cell>
          <cell r="W2447" t="str">
            <v>Fonctionnement</v>
          </cell>
        </row>
        <row r="2448">
          <cell r="A2448">
            <v>2019</v>
          </cell>
          <cell r="D2448" t="str">
            <v>DIRECTION DE LA PRODUCTION ET DE LA PROGRAMMATION RADIO</v>
          </cell>
          <cell r="V2448">
            <v>60000</v>
          </cell>
          <cell r="W2448" t="str">
            <v>Fonctionnement</v>
          </cell>
        </row>
        <row r="2449">
          <cell r="A2449">
            <v>2019</v>
          </cell>
          <cell r="D2449" t="str">
            <v>DIRECTION DE LA PRODUCTION ET DE LA PROGRAMMATION RADIO</v>
          </cell>
          <cell r="V2449">
            <v>180000</v>
          </cell>
          <cell r="W2449" t="str">
            <v>Fonctionnement</v>
          </cell>
        </row>
        <row r="2450">
          <cell r="A2450">
            <v>2019</v>
          </cell>
          <cell r="D2450" t="str">
            <v>DIRECTION DE LA PRODUCTION ET DE LA PROGRAMMATION RADIO</v>
          </cell>
          <cell r="V2450">
            <v>60000</v>
          </cell>
          <cell r="W2450" t="str">
            <v>Fonctionnement</v>
          </cell>
        </row>
        <row r="2451">
          <cell r="A2451">
            <v>2019</v>
          </cell>
          <cell r="D2451" t="str">
            <v>DIRECTION DE LA PRODUCTION ET DE LA PROGRAMMATION RADIO</v>
          </cell>
          <cell r="V2451">
            <v>96000</v>
          </cell>
          <cell r="W2451" t="str">
            <v>Fonctionnement</v>
          </cell>
        </row>
        <row r="2452">
          <cell r="A2452">
            <v>2019</v>
          </cell>
          <cell r="D2452" t="str">
            <v>DIRECTION DE LA PRODUCTION ET DE LA PROGRAMMATION RADIO</v>
          </cell>
          <cell r="V2452">
            <v>48000</v>
          </cell>
          <cell r="W2452" t="str">
            <v>Fonctionnement</v>
          </cell>
        </row>
        <row r="2453">
          <cell r="A2453">
            <v>2019</v>
          </cell>
          <cell r="D2453" t="str">
            <v>DIRECTION DE LA PRODUCTION ET DE LA PROGRAMMATION RADIO</v>
          </cell>
          <cell r="V2453">
            <v>96000</v>
          </cell>
          <cell r="W2453" t="str">
            <v>Fonctionnement</v>
          </cell>
        </row>
        <row r="2454">
          <cell r="A2454">
            <v>2019</v>
          </cell>
          <cell r="D2454" t="str">
            <v>DIRECTION DE LA PRODUCTION ET DE LA PROGRAMMATION RADIO</v>
          </cell>
          <cell r="V2454">
            <v>72000</v>
          </cell>
          <cell r="W2454" t="str">
            <v>Fonctionnement</v>
          </cell>
        </row>
        <row r="2455">
          <cell r="A2455">
            <v>2019</v>
          </cell>
          <cell r="D2455" t="str">
            <v>DIRECTION DE LA PRODUCTION ET DE LA PROGRAMMATION RADIO</v>
          </cell>
          <cell r="V2455">
            <v>60000</v>
          </cell>
          <cell r="W2455" t="str">
            <v>Fonctionnement</v>
          </cell>
        </row>
        <row r="2456">
          <cell r="A2456">
            <v>2019</v>
          </cell>
          <cell r="D2456" t="str">
            <v>DIRECTION DE LA PRODUCTION ET DE LA PROGRAMMATION RADIO</v>
          </cell>
          <cell r="V2456">
            <v>72000</v>
          </cell>
          <cell r="W2456" t="str">
            <v>Fonctionnement</v>
          </cell>
        </row>
        <row r="2457">
          <cell r="A2457">
            <v>2019</v>
          </cell>
          <cell r="D2457" t="str">
            <v>DIRECTION DE LA PRODUCTION ET DE LA PROGRAMMATION RADIO</v>
          </cell>
          <cell r="V2457">
            <v>96000</v>
          </cell>
          <cell r="W2457" t="str">
            <v>Fonctionnement</v>
          </cell>
        </row>
        <row r="2458">
          <cell r="A2458">
            <v>2019</v>
          </cell>
          <cell r="D2458" t="str">
            <v>DIRECTION DE LA PRODUCTION ET DE LA PROGRAMMATION RADIO</v>
          </cell>
          <cell r="V2458">
            <v>78084</v>
          </cell>
          <cell r="W2458" t="str">
            <v>Fonctionnement</v>
          </cell>
        </row>
        <row r="2459">
          <cell r="A2459">
            <v>2019</v>
          </cell>
          <cell r="D2459" t="str">
            <v>DIRECTION DE LA PRODUCTION ET DE LA PROGRAMMATION RADIO</v>
          </cell>
          <cell r="V2459">
            <v>82576</v>
          </cell>
          <cell r="W2459" t="str">
            <v>Fonctionnement</v>
          </cell>
        </row>
        <row r="2460">
          <cell r="A2460">
            <v>2019</v>
          </cell>
          <cell r="D2460" t="str">
            <v>DIRECTION DE LA PRODUCTION ET DE LA PROGRAMMATION RADIO</v>
          </cell>
          <cell r="V2460">
            <v>96000</v>
          </cell>
          <cell r="W2460" t="str">
            <v>Fonctionnement</v>
          </cell>
        </row>
        <row r="2461">
          <cell r="A2461">
            <v>2019</v>
          </cell>
          <cell r="D2461" t="str">
            <v>DIRECTION DE LA PRODUCTION ET DE LA PROGRAMMATION RADIO</v>
          </cell>
          <cell r="V2461">
            <v>84000</v>
          </cell>
          <cell r="W2461" t="str">
            <v>Fonctionnement</v>
          </cell>
        </row>
        <row r="2462">
          <cell r="A2462">
            <v>2019</v>
          </cell>
          <cell r="D2462" t="str">
            <v>DIRECTION DE LA PRODUCTION ET DE LA PROGRAMMATION RADIO</v>
          </cell>
          <cell r="V2462">
            <v>96000</v>
          </cell>
          <cell r="W2462" t="str">
            <v>Fonctionnement</v>
          </cell>
        </row>
        <row r="2463">
          <cell r="A2463">
            <v>2019</v>
          </cell>
          <cell r="D2463" t="str">
            <v>DIRECTION DE LA PRODUCTION ET DE LA PROGRAMMATION RADIO</v>
          </cell>
          <cell r="V2463">
            <v>96000</v>
          </cell>
          <cell r="W2463" t="str">
            <v>Fonctionnement</v>
          </cell>
        </row>
        <row r="2464">
          <cell r="A2464">
            <v>2019</v>
          </cell>
          <cell r="D2464" t="str">
            <v>DIRECTION DE LA PRODUCTION ET DE LA PROGRAMMATION RADIO</v>
          </cell>
          <cell r="V2464">
            <v>96000</v>
          </cell>
          <cell r="W2464" t="str">
            <v>Fonctionnement</v>
          </cell>
        </row>
        <row r="2465">
          <cell r="A2465">
            <v>2019</v>
          </cell>
          <cell r="D2465" t="str">
            <v>DIRECTION DE LA PRODUCTION ET DE LA PROGRAMMATION RADIO</v>
          </cell>
          <cell r="V2465">
            <v>96000</v>
          </cell>
          <cell r="W2465" t="str">
            <v>Fonctionnement</v>
          </cell>
        </row>
        <row r="2466">
          <cell r="A2466">
            <v>2019</v>
          </cell>
          <cell r="D2466" t="str">
            <v>DIRECTION DE LA PRODUCTION ET DE LA PROGRAMMATION RADIO</v>
          </cell>
          <cell r="V2466">
            <v>60000</v>
          </cell>
          <cell r="W2466" t="str">
            <v>Fonctionnement</v>
          </cell>
        </row>
        <row r="2467">
          <cell r="A2467">
            <v>2019</v>
          </cell>
          <cell r="D2467" t="str">
            <v>DIRECTION DE LA PRODUCTION ET DE LA PROGRAMMATION RADIO</v>
          </cell>
          <cell r="V2467">
            <v>96000</v>
          </cell>
          <cell r="W2467" t="str">
            <v>Fonctionnement</v>
          </cell>
        </row>
        <row r="2468">
          <cell r="A2468">
            <v>2019</v>
          </cell>
          <cell r="D2468" t="str">
            <v>DIRECTION DE LA PRODUCTION ET DE LA PROGRAMMATION RADIO</v>
          </cell>
          <cell r="V2468">
            <v>96000</v>
          </cell>
          <cell r="W2468" t="str">
            <v>Fonctionnement</v>
          </cell>
        </row>
        <row r="2469">
          <cell r="A2469">
            <v>2019</v>
          </cell>
          <cell r="D2469" t="str">
            <v>DIRECTION DE LA PRODUCTION ET DE LA PROGRAMMATION RADIO</v>
          </cell>
          <cell r="V2469">
            <v>96000</v>
          </cell>
          <cell r="W2469" t="str">
            <v>Fonctionnement</v>
          </cell>
        </row>
        <row r="2470">
          <cell r="A2470">
            <v>2019</v>
          </cell>
          <cell r="D2470" t="str">
            <v>DIRECTION DE LA PRODUCTION ET DE LA PROGRAMMATION RADIO</v>
          </cell>
          <cell r="V2470">
            <v>96000</v>
          </cell>
          <cell r="W2470" t="str">
            <v>Fonctionnement</v>
          </cell>
        </row>
        <row r="2471">
          <cell r="A2471">
            <v>2019</v>
          </cell>
          <cell r="D2471" t="str">
            <v>DIRECTION DE LA PRODUCTION ET DE LA PROGRAMMATION RADIO</v>
          </cell>
          <cell r="V2471">
            <v>96000</v>
          </cell>
          <cell r="W2471" t="str">
            <v>Fonctionnement</v>
          </cell>
        </row>
        <row r="2472">
          <cell r="A2472">
            <v>2019</v>
          </cell>
          <cell r="D2472" t="str">
            <v>DIRECTION DE LA PRODUCTION ET DE LA PROGRAMMATION RADIO</v>
          </cell>
          <cell r="V2472">
            <v>96000</v>
          </cell>
          <cell r="W2472" t="str">
            <v>Fonctionnement</v>
          </cell>
        </row>
        <row r="2473">
          <cell r="A2473">
            <v>2019</v>
          </cell>
          <cell r="D2473" t="str">
            <v>DIRECTION DE LA PRODUCTION ET DE LA PROGRAMMATION RADIO</v>
          </cell>
          <cell r="V2473">
            <v>180000</v>
          </cell>
          <cell r="W2473" t="str">
            <v>Fonctionnement</v>
          </cell>
        </row>
        <row r="2474">
          <cell r="A2474">
            <v>2019</v>
          </cell>
          <cell r="D2474" t="str">
            <v>DIRECTION DE LA PRODUCTION ET DE LA PROGRAMMATION RADIO</v>
          </cell>
          <cell r="V2474">
            <v>88000</v>
          </cell>
          <cell r="W2474" t="str">
            <v>Fonctionnement</v>
          </cell>
        </row>
        <row r="2475">
          <cell r="A2475">
            <v>2019</v>
          </cell>
          <cell r="D2475" t="str">
            <v>DIRECTION DE LA PRODUCTION ET DE LA PROGRAMMATION RADIO</v>
          </cell>
          <cell r="V2475">
            <v>5600</v>
          </cell>
          <cell r="W2475" t="str">
            <v>Fonctionnement</v>
          </cell>
        </row>
        <row r="2476">
          <cell r="A2476">
            <v>2019</v>
          </cell>
          <cell r="D2476" t="str">
            <v>DIRECTION DE LA PRODUCTION ET DE LA PROGRAMMATION RADIO</v>
          </cell>
          <cell r="V2476">
            <v>5600</v>
          </cell>
          <cell r="W2476" t="str">
            <v>Fonctionnement</v>
          </cell>
        </row>
        <row r="2477">
          <cell r="A2477">
            <v>2019</v>
          </cell>
          <cell r="D2477" t="str">
            <v>DIRECTION DE LA PRODUCTION ET DE LA PROGRAMMATION RADIO</v>
          </cell>
          <cell r="V2477">
            <v>10000</v>
          </cell>
          <cell r="W2477" t="str">
            <v>Fonctionnement</v>
          </cell>
        </row>
        <row r="2478">
          <cell r="A2478">
            <v>2019</v>
          </cell>
          <cell r="D2478" t="str">
            <v>DIRECTION DE LA PRODUCTION ET DE LA PROGRAMMATION RADIO</v>
          </cell>
          <cell r="V2478">
            <v>10000</v>
          </cell>
          <cell r="W2478" t="str">
            <v>Fonctionnement</v>
          </cell>
        </row>
        <row r="2479">
          <cell r="A2479">
            <v>2019</v>
          </cell>
          <cell r="D2479" t="str">
            <v>DIRECTION DE LA PRODUCTION ET DE LA PROGRAMMATION RADIO</v>
          </cell>
          <cell r="V2479">
            <v>5600</v>
          </cell>
          <cell r="W2479" t="str">
            <v>Fonctionnement</v>
          </cell>
        </row>
        <row r="2480">
          <cell r="A2480">
            <v>2019</v>
          </cell>
          <cell r="D2480" t="str">
            <v>DIRECTION DE LA PRODUCTION ET DE LA PROGRAMMATION RADIO</v>
          </cell>
          <cell r="V2480">
            <v>5000</v>
          </cell>
          <cell r="W2480" t="str">
            <v>Fonctionnement</v>
          </cell>
        </row>
        <row r="2481">
          <cell r="A2481">
            <v>2019</v>
          </cell>
          <cell r="D2481" t="str">
            <v>DIRECTION DE LA PRODUCTION ET DE LA PROGRAMMATION RADIO</v>
          </cell>
          <cell r="V2481">
            <v>2500</v>
          </cell>
          <cell r="W2481" t="str">
            <v>Fonctionnement</v>
          </cell>
        </row>
        <row r="2482">
          <cell r="A2482">
            <v>2019</v>
          </cell>
          <cell r="D2482" t="str">
            <v>DIRECTION DE LA PRODUCTION ET DE LA PROGRAMMATION RADIO</v>
          </cell>
          <cell r="V2482">
            <v>2500</v>
          </cell>
          <cell r="W2482" t="str">
            <v>Fonctionnement</v>
          </cell>
        </row>
        <row r="2483">
          <cell r="A2483">
            <v>2019</v>
          </cell>
          <cell r="D2483" t="str">
            <v>DIRECTION DE LA PRODUCTION ET DE LA PROGRAMMATION RADIO</v>
          </cell>
          <cell r="V2483">
            <v>42000</v>
          </cell>
          <cell r="W2483" t="str">
            <v>Fonctionnement</v>
          </cell>
        </row>
        <row r="2484">
          <cell r="A2484">
            <v>2019</v>
          </cell>
          <cell r="D2484" t="str">
            <v>DIRECTION DE LA REGIE PUBLICITAIRE ET DES SOLUTIONS DIGITALES</v>
          </cell>
          <cell r="V2484">
            <v>216000</v>
          </cell>
          <cell r="W2484" t="str">
            <v>Fonctionnement</v>
          </cell>
        </row>
        <row r="2485">
          <cell r="A2485">
            <v>2019</v>
          </cell>
          <cell r="D2485" t="str">
            <v>DIRECTION CENTRALE DE LA CHAÎNE TAMAZIGHT</v>
          </cell>
          <cell r="V2485">
            <v>96000</v>
          </cell>
          <cell r="W2485" t="str">
            <v>Fonctionnement</v>
          </cell>
        </row>
        <row r="2486">
          <cell r="A2486">
            <v>2019</v>
          </cell>
          <cell r="D2486" t="str">
            <v>DIRECTION CENTRALE DE LA CHAÎNE TAMAZIGHT</v>
          </cell>
          <cell r="V2486">
            <v>41600</v>
          </cell>
          <cell r="W2486" t="str">
            <v>Fonctionnement</v>
          </cell>
        </row>
        <row r="2487">
          <cell r="A2487">
            <v>2019</v>
          </cell>
          <cell r="D2487" t="str">
            <v>DIRECTION CENTRALE DE LA CHAÎNE TAMAZIGHT</v>
          </cell>
          <cell r="V2487">
            <v>71400</v>
          </cell>
          <cell r="W2487" t="str">
            <v>Fonctionnement</v>
          </cell>
        </row>
        <row r="2488">
          <cell r="A2488">
            <v>2019</v>
          </cell>
          <cell r="D2488" t="str">
            <v>DIRECTION CENTRALE DE LA CHAÎNE TAMAZIGHT</v>
          </cell>
          <cell r="V2488">
            <v>96000</v>
          </cell>
          <cell r="W2488" t="str">
            <v>Fonctionnement</v>
          </cell>
        </row>
        <row r="2489">
          <cell r="A2489">
            <v>2019</v>
          </cell>
          <cell r="D2489" t="str">
            <v>DIRECTION CENTRALE DE LA CHAÎNE TAMAZIGHT</v>
          </cell>
          <cell r="V2489">
            <v>96000</v>
          </cell>
          <cell r="W2489" t="str">
            <v>Fonctionnement</v>
          </cell>
        </row>
        <row r="2490">
          <cell r="A2490">
            <v>2019</v>
          </cell>
          <cell r="D2490" t="str">
            <v>DIRECTION CENTRALE DE LA CHAÎNE TAMAZIGHT</v>
          </cell>
          <cell r="V2490">
            <v>96000</v>
          </cell>
          <cell r="W2490" t="str">
            <v>Fonctionnement</v>
          </cell>
        </row>
        <row r="2491">
          <cell r="A2491">
            <v>2019</v>
          </cell>
          <cell r="D2491" t="str">
            <v>DIRECTION CENTRALE DE LA CHAÎNE TAMAZIGHT</v>
          </cell>
          <cell r="V2491">
            <v>96000</v>
          </cell>
          <cell r="W2491" t="str">
            <v>Fonctionnement</v>
          </cell>
        </row>
        <row r="2492">
          <cell r="A2492">
            <v>2019</v>
          </cell>
          <cell r="D2492" t="str">
            <v>DIRECTION CENTRALE DE LA CHAÎNE TAMAZIGHT</v>
          </cell>
          <cell r="V2492">
            <v>96000</v>
          </cell>
          <cell r="W2492" t="str">
            <v>Fonctionnement</v>
          </cell>
        </row>
        <row r="2493">
          <cell r="A2493">
            <v>2019</v>
          </cell>
          <cell r="D2493" t="str">
            <v>DIRECTION CENTRALE DE LA CHAÎNE TAMAZIGHT</v>
          </cell>
          <cell r="V2493">
            <v>96000</v>
          </cell>
          <cell r="W2493" t="str">
            <v>Fonctionnement</v>
          </cell>
        </row>
        <row r="2494">
          <cell r="A2494">
            <v>2019</v>
          </cell>
          <cell r="D2494" t="str">
            <v>DIRECTION CENTRALE DE LA CHAÎNE TAMAZIGHT</v>
          </cell>
          <cell r="V2494">
            <v>96000</v>
          </cell>
          <cell r="W2494" t="str">
            <v>Fonctionnement</v>
          </cell>
        </row>
        <row r="2495">
          <cell r="A2495">
            <v>2019</v>
          </cell>
          <cell r="D2495" t="str">
            <v>DIRECTION CENTRALE DE LA CHAÎNE TAMAZIGHT</v>
          </cell>
          <cell r="V2495">
            <v>41600</v>
          </cell>
          <cell r="W2495" t="str">
            <v>Fonctionnement</v>
          </cell>
        </row>
        <row r="2496">
          <cell r="A2496">
            <v>2019</v>
          </cell>
          <cell r="D2496" t="str">
            <v>DIRECTION CENTRALE DE LA CHAÎNE TAMAZIGHT</v>
          </cell>
          <cell r="V2496">
            <v>71400</v>
          </cell>
          <cell r="W2496" t="str">
            <v>Fonctionnement</v>
          </cell>
        </row>
        <row r="2497">
          <cell r="A2497">
            <v>2019</v>
          </cell>
          <cell r="D2497" t="str">
            <v>DIRECTION CENTRALE DE LA CHAÎNE TAMAZIGHT</v>
          </cell>
          <cell r="V2497">
            <v>96000</v>
          </cell>
          <cell r="W2497" t="str">
            <v>Fonctionnement</v>
          </cell>
        </row>
        <row r="2498">
          <cell r="A2498">
            <v>2019</v>
          </cell>
          <cell r="D2498" t="str">
            <v>DIRECTION CENTRALE DE LA CHAÎNE TAMAZIGHT</v>
          </cell>
          <cell r="V2498">
            <v>96000</v>
          </cell>
          <cell r="W2498" t="str">
            <v>Fonctionnement</v>
          </cell>
        </row>
        <row r="2499">
          <cell r="A2499">
            <v>2019</v>
          </cell>
          <cell r="D2499" t="str">
            <v>DIRECTION CENTRALE DE LA CHAÎNE TAMAZIGHT</v>
          </cell>
          <cell r="V2499">
            <v>96000</v>
          </cell>
          <cell r="W2499" t="str">
            <v>Fonctionnement</v>
          </cell>
        </row>
        <row r="2500">
          <cell r="A2500">
            <v>2019</v>
          </cell>
          <cell r="D2500" t="str">
            <v>DIRECTION CENTRALE DE LA CHAÎNE TAMAZIGHT</v>
          </cell>
          <cell r="V2500">
            <v>96000</v>
          </cell>
          <cell r="W2500" t="str">
            <v>Fonctionnement</v>
          </cell>
        </row>
        <row r="2501">
          <cell r="A2501">
            <v>2019</v>
          </cell>
          <cell r="D2501" t="str">
            <v>DIRECTION CENTRALE DE LA CHAÎNE TAMAZIGHT</v>
          </cell>
          <cell r="V2501">
            <v>71400</v>
          </cell>
          <cell r="W2501" t="str">
            <v>Fonctionnement</v>
          </cell>
        </row>
        <row r="2502">
          <cell r="A2502">
            <v>2019</v>
          </cell>
          <cell r="D2502" t="str">
            <v>DIRECTION CENTRALE DE LA CHAÎNE TAMAZIGHT</v>
          </cell>
          <cell r="V2502">
            <v>96000</v>
          </cell>
          <cell r="W2502" t="str">
            <v>Fonctionnement</v>
          </cell>
        </row>
        <row r="2503">
          <cell r="A2503">
            <v>2019</v>
          </cell>
          <cell r="D2503" t="str">
            <v>DIRECTION CENTRALE DE LA CHAÎNE TAMAZIGHT</v>
          </cell>
          <cell r="V2503">
            <v>96000</v>
          </cell>
          <cell r="W2503" t="str">
            <v>Fonctionnement</v>
          </cell>
        </row>
        <row r="2504">
          <cell r="A2504">
            <v>2019</v>
          </cell>
          <cell r="D2504" t="str">
            <v>DIRECTION CENTRALE DE LA CHAÎNE TAMAZIGHT</v>
          </cell>
          <cell r="V2504">
            <v>96000</v>
          </cell>
          <cell r="W2504" t="str">
            <v>Fonctionnement</v>
          </cell>
        </row>
        <row r="2505">
          <cell r="A2505">
            <v>2019</v>
          </cell>
          <cell r="D2505" t="str">
            <v>DIRECTION CENTRALE DE LA CHAÎNE TAMAZIGHT</v>
          </cell>
          <cell r="V2505">
            <v>96000</v>
          </cell>
          <cell r="W2505" t="str">
            <v>Fonctionnement</v>
          </cell>
        </row>
        <row r="2506">
          <cell r="A2506">
            <v>2019</v>
          </cell>
          <cell r="D2506" t="str">
            <v>DIRECTION CENTRALE DE LA CHAÎNE TAMAZIGHT</v>
          </cell>
          <cell r="V2506">
            <v>132000</v>
          </cell>
          <cell r="W2506" t="str">
            <v>Fonctionnement</v>
          </cell>
        </row>
        <row r="2507">
          <cell r="A2507">
            <v>2019</v>
          </cell>
          <cell r="D2507" t="str">
            <v>DIRECTION CENTRALE DE LA CHAÎNE TAMAZIGHT</v>
          </cell>
          <cell r="V2507">
            <v>120000</v>
          </cell>
          <cell r="W2507" t="str">
            <v>Fonctionnement</v>
          </cell>
        </row>
        <row r="2508">
          <cell r="A2508">
            <v>2019</v>
          </cell>
          <cell r="D2508" t="str">
            <v>DIRECTION CENTRALE DE LA CHAÎNE TAMAZIGHT</v>
          </cell>
          <cell r="V2508">
            <v>71400</v>
          </cell>
          <cell r="W2508" t="str">
            <v>Fonctionnement</v>
          </cell>
        </row>
        <row r="2509">
          <cell r="A2509">
            <v>2019</v>
          </cell>
          <cell r="D2509" t="str">
            <v>DIRECTION CENTRALE DE LA CHAÎNE TAMAZIGHT</v>
          </cell>
          <cell r="V2509">
            <v>96000</v>
          </cell>
          <cell r="W2509" t="str">
            <v>Fonctionnement</v>
          </cell>
        </row>
        <row r="2510">
          <cell r="A2510">
            <v>2019</v>
          </cell>
          <cell r="D2510" t="str">
            <v>DIRECTION CENTRALE DE LA CHAÎNE TAMAZIGHT</v>
          </cell>
          <cell r="V2510">
            <v>41600</v>
          </cell>
          <cell r="W2510" t="str">
            <v>Fonctionnement</v>
          </cell>
        </row>
        <row r="2511">
          <cell r="A2511">
            <v>2019</v>
          </cell>
          <cell r="D2511" t="str">
            <v>DIRECTION CENTRALE DE LA CHAÎNE TAMAZIGHT</v>
          </cell>
          <cell r="V2511">
            <v>5000</v>
          </cell>
          <cell r="W2511" t="str">
            <v>Fonctionnement</v>
          </cell>
        </row>
        <row r="2512">
          <cell r="A2512">
            <v>2019</v>
          </cell>
          <cell r="D2512" t="str">
            <v>DIRECTION CENTRALE DE LA CHAÎNE TAMAZIGHT</v>
          </cell>
          <cell r="V2512">
            <v>5000</v>
          </cell>
          <cell r="W2512" t="str">
            <v>Fonctionnement</v>
          </cell>
        </row>
        <row r="2513">
          <cell r="A2513">
            <v>2019</v>
          </cell>
          <cell r="D2513" t="str">
            <v>DIRECTION CENTRALE DE LA CHAÎNE TAMAZIGHT</v>
          </cell>
          <cell r="V2513">
            <v>5000</v>
          </cell>
          <cell r="W2513" t="str">
            <v>Fonctionnement</v>
          </cell>
        </row>
        <row r="2514">
          <cell r="A2514">
            <v>2019</v>
          </cell>
          <cell r="D2514" t="str">
            <v>DIRECTION CENTRALE DE LA CHAÎNE TAMAZIGHT</v>
          </cell>
          <cell r="V2514">
            <v>5000</v>
          </cell>
          <cell r="W2514" t="str">
            <v>Fonctionnement</v>
          </cell>
        </row>
        <row r="2515">
          <cell r="A2515">
            <v>2019</v>
          </cell>
          <cell r="D2515" t="str">
            <v>DIRECTION CENTRALE DE LA CHAÎNE TAMAZIGHT</v>
          </cell>
          <cell r="V2515">
            <v>20000</v>
          </cell>
          <cell r="W2515" t="str">
            <v>Fonctionnement</v>
          </cell>
        </row>
        <row r="2516">
          <cell r="A2516">
            <v>2019</v>
          </cell>
          <cell r="D2516" t="str">
            <v>DIRECTION CENTRALE DE LA CHAÎNE TAMAZIGHT</v>
          </cell>
          <cell r="V2516">
            <v>5000</v>
          </cell>
          <cell r="W2516" t="str">
            <v>Fonctionnement</v>
          </cell>
        </row>
        <row r="2517">
          <cell r="A2517">
            <v>2019</v>
          </cell>
          <cell r="D2517" t="str">
            <v>DIRECTION CENTRALE DE LA CHAÎNE TAMAZIGHT</v>
          </cell>
          <cell r="V2517">
            <v>5000</v>
          </cell>
          <cell r="W2517" t="str">
            <v>Fonctionnement</v>
          </cell>
        </row>
        <row r="2518">
          <cell r="A2518">
            <v>2019</v>
          </cell>
          <cell r="D2518" t="str">
            <v>DIRECTION CENTRALE DE LA CHAÎNE TAMAZIGHT</v>
          </cell>
          <cell r="V2518">
            <v>20000</v>
          </cell>
          <cell r="W2518" t="str">
            <v>Fonctionnement</v>
          </cell>
        </row>
        <row r="2519">
          <cell r="A2519">
            <v>2019</v>
          </cell>
          <cell r="D2519" t="str">
            <v>DIRECTION CENTRALE DE LA CHAÎNE TAMAZIGHT</v>
          </cell>
          <cell r="V2519">
            <v>5000</v>
          </cell>
          <cell r="W2519" t="str">
            <v>Fonctionnement</v>
          </cell>
        </row>
        <row r="2520">
          <cell r="A2520">
            <v>2019</v>
          </cell>
          <cell r="D2520" t="str">
            <v>DIRECTION CENTRALE DE LA CHAÎNE TAMAZIGHT</v>
          </cell>
          <cell r="V2520">
            <v>5000</v>
          </cell>
          <cell r="W2520" t="str">
            <v>Fonctionnement</v>
          </cell>
        </row>
        <row r="2521">
          <cell r="A2521">
            <v>2019</v>
          </cell>
          <cell r="D2521" t="str">
            <v>DIRECTION CENTRALE DE LA CHAÎNE TAMAZIGHT</v>
          </cell>
          <cell r="V2521">
            <v>20000</v>
          </cell>
          <cell r="W2521" t="str">
            <v>Fonctionnement</v>
          </cell>
        </row>
        <row r="2522">
          <cell r="A2522">
            <v>2019</v>
          </cell>
          <cell r="D2522" t="str">
            <v>DIRECTION CENTRALE DE LA CHAÎNE TAMAZIGHT</v>
          </cell>
          <cell r="V2522">
            <v>5000</v>
          </cell>
          <cell r="W2522" t="str">
            <v>Fonctionnement</v>
          </cell>
        </row>
        <row r="2523">
          <cell r="A2523">
            <v>2019</v>
          </cell>
          <cell r="D2523" t="str">
            <v>DIRECTION CENTRALE DE LA CHAÎNE TAMAZIGHT</v>
          </cell>
          <cell r="V2523">
            <v>5000</v>
          </cell>
          <cell r="W2523" t="str">
            <v>Fonctionnement</v>
          </cell>
        </row>
        <row r="2524">
          <cell r="A2524">
            <v>2019</v>
          </cell>
          <cell r="D2524" t="str">
            <v>DIRECTION CENTRALE DE LA CHAÎNE TAMAZIGHT</v>
          </cell>
          <cell r="V2524">
            <v>5000</v>
          </cell>
          <cell r="W2524" t="str">
            <v>Fonctionnement</v>
          </cell>
        </row>
        <row r="2525">
          <cell r="A2525">
            <v>2019</v>
          </cell>
          <cell r="D2525" t="str">
            <v>DIRECTION CENTRALE DE LA CHAÎNE TAMAZIGHT</v>
          </cell>
          <cell r="V2525">
            <v>20000</v>
          </cell>
          <cell r="W2525" t="str">
            <v>Fonctionnement</v>
          </cell>
        </row>
        <row r="2526">
          <cell r="A2526">
            <v>2019</v>
          </cell>
          <cell r="D2526" t="str">
            <v>DIRECTION CENTRALE DE LA CHAÎNE TAMAZIGHT</v>
          </cell>
          <cell r="V2526">
            <v>5000</v>
          </cell>
          <cell r="W2526" t="str">
            <v>Fonctionnement</v>
          </cell>
        </row>
        <row r="2527">
          <cell r="A2527">
            <v>2019</v>
          </cell>
          <cell r="D2527" t="str">
            <v>DIRECTION CENTRALE DE LA CHAÎNE TAMAZIGHT</v>
          </cell>
          <cell r="V2527">
            <v>20000</v>
          </cell>
          <cell r="W2527" t="str">
            <v>Fonctionnement</v>
          </cell>
        </row>
        <row r="2528">
          <cell r="A2528">
            <v>2019</v>
          </cell>
          <cell r="D2528" t="str">
            <v>DIRECTION CENTRALE DE LA CHAÎNE TAMAZIGHT</v>
          </cell>
          <cell r="V2528">
            <v>5000</v>
          </cell>
          <cell r="W2528" t="str">
            <v>Fonctionnement</v>
          </cell>
        </row>
        <row r="2529">
          <cell r="A2529">
            <v>2019</v>
          </cell>
          <cell r="D2529" t="str">
            <v>DIRECTION CENTRALE DE LA CHAÎNE TAMAZIGHT</v>
          </cell>
          <cell r="V2529">
            <v>5000</v>
          </cell>
          <cell r="W2529" t="str">
            <v>Fonctionnement</v>
          </cell>
        </row>
        <row r="2530">
          <cell r="A2530">
            <v>2019</v>
          </cell>
          <cell r="D2530" t="str">
            <v>DIRECTION CENTRALE DE LA CHAÎNE TAMAZIGHT</v>
          </cell>
          <cell r="V2530">
            <v>20000</v>
          </cell>
          <cell r="W2530" t="str">
            <v>Fonctionnement</v>
          </cell>
        </row>
        <row r="2531">
          <cell r="A2531">
            <v>2019</v>
          </cell>
          <cell r="D2531" t="str">
            <v>DIRECTION CENTRALE DE LA CHAÎNE TAMAZIGHT</v>
          </cell>
          <cell r="V2531">
            <v>5000</v>
          </cell>
          <cell r="W2531" t="str">
            <v>Fonctionnement</v>
          </cell>
        </row>
        <row r="2532">
          <cell r="A2532">
            <v>2019</v>
          </cell>
          <cell r="D2532" t="str">
            <v>DIRECTION CENTRALE DE LA CHAÎNE TAMAZIGHT</v>
          </cell>
          <cell r="V2532">
            <v>5000</v>
          </cell>
          <cell r="W2532" t="str">
            <v>Fonctionnement</v>
          </cell>
        </row>
        <row r="2533">
          <cell r="A2533">
            <v>2019</v>
          </cell>
          <cell r="D2533" t="str">
            <v>DIRECTION CENTRALE DE LA CHAÎNE TAMAZIGHT</v>
          </cell>
          <cell r="V2533">
            <v>84000</v>
          </cell>
          <cell r="W2533" t="str">
            <v>Fonctionnement</v>
          </cell>
        </row>
        <row r="2534">
          <cell r="A2534">
            <v>2019</v>
          </cell>
          <cell r="D2534" t="str">
            <v>DIRECTION CENTRALE DE LA CHAÎNE TAMAZIGHT</v>
          </cell>
          <cell r="V2534">
            <v>96000</v>
          </cell>
          <cell r="W2534" t="str">
            <v>Fonctionnement</v>
          </cell>
        </row>
        <row r="2535">
          <cell r="A2535">
            <v>2019</v>
          </cell>
          <cell r="D2535" t="str">
            <v>DIRECTION CENTRALE DE LA CHAÎNE TAMAZIGHT</v>
          </cell>
          <cell r="V2535">
            <v>7500</v>
          </cell>
          <cell r="W2535" t="str">
            <v>Fonctionnement</v>
          </cell>
        </row>
        <row r="2536">
          <cell r="A2536">
            <v>2019</v>
          </cell>
          <cell r="D2536" t="str">
            <v>DIRECTION CENTRALE DE LA CHAÎNE TAMAZIGHT</v>
          </cell>
          <cell r="V2536">
            <v>7500</v>
          </cell>
          <cell r="W2536" t="str">
            <v>Fonctionnement</v>
          </cell>
        </row>
        <row r="2537">
          <cell r="A2537">
            <v>2019</v>
          </cell>
          <cell r="D2537" t="str">
            <v>DIRECTION CENTRALE DE LA CHAÎNE TAMAZIGHT</v>
          </cell>
          <cell r="V2537">
            <v>5000</v>
          </cell>
          <cell r="W2537" t="str">
            <v>Fonctionnement</v>
          </cell>
        </row>
        <row r="2538">
          <cell r="A2538">
            <v>2019</v>
          </cell>
          <cell r="D2538" t="str">
            <v>DIRECTION CENTRALE DE LA CHAÎNE TAMAZIGHT</v>
          </cell>
          <cell r="V2538">
            <v>5000</v>
          </cell>
          <cell r="W2538" t="str">
            <v>Fonctionnement</v>
          </cell>
        </row>
        <row r="2539">
          <cell r="A2539">
            <v>2019</v>
          </cell>
          <cell r="D2539" t="str">
            <v>DIRECTION CENTRALE DE LA CHAÎNE TAMAZIGHT</v>
          </cell>
          <cell r="V2539">
            <v>5000</v>
          </cell>
          <cell r="W2539" t="str">
            <v>Fonctionnement</v>
          </cell>
        </row>
        <row r="2540">
          <cell r="A2540">
            <v>2019</v>
          </cell>
          <cell r="D2540" t="str">
            <v>DIRECTION CENTRALE DE LA CHAÎNE TAMAZIGHT</v>
          </cell>
          <cell r="V2540">
            <v>5000</v>
          </cell>
          <cell r="W2540" t="str">
            <v>Fonctionnement</v>
          </cell>
        </row>
        <row r="2541">
          <cell r="A2541">
            <v>2019</v>
          </cell>
          <cell r="D2541" t="str">
            <v>DIRECTION CENTRALE DE LA CHAÎNE TAMAZIGHT</v>
          </cell>
          <cell r="V2541">
            <v>20000</v>
          </cell>
          <cell r="W2541" t="str">
            <v>Fonctionnement</v>
          </cell>
        </row>
        <row r="2542">
          <cell r="A2542">
            <v>2019</v>
          </cell>
          <cell r="D2542" t="str">
            <v>DIRECTION CENTRALE DE LA CHAÎNE TAMAZIGHT</v>
          </cell>
          <cell r="V2542">
            <v>5000</v>
          </cell>
          <cell r="W2542" t="str">
            <v>Fonctionnement</v>
          </cell>
        </row>
        <row r="2543">
          <cell r="A2543">
            <v>2019</v>
          </cell>
          <cell r="D2543" t="str">
            <v>DIRECTION CENTRALE DE LA CHAÎNE TAMAZIGHT</v>
          </cell>
          <cell r="V2543">
            <v>20000</v>
          </cell>
          <cell r="W2543" t="str">
            <v>Fonctionnement</v>
          </cell>
        </row>
        <row r="2544">
          <cell r="A2544">
            <v>2019</v>
          </cell>
          <cell r="D2544" t="str">
            <v>DIRECTION CENTRALE DE LA CHAÎNE TAMAZIGHT</v>
          </cell>
          <cell r="V2544">
            <v>7500</v>
          </cell>
          <cell r="W2544" t="str">
            <v>Fonctionnement</v>
          </cell>
        </row>
        <row r="2545">
          <cell r="A2545">
            <v>2019</v>
          </cell>
          <cell r="D2545" t="str">
            <v>DIRECTION CENTRALE DE LA CHAÎNE TAMAZIGHT</v>
          </cell>
          <cell r="V2545">
            <v>7500</v>
          </cell>
          <cell r="W2545" t="str">
            <v>Fonctionnement</v>
          </cell>
        </row>
        <row r="2546">
          <cell r="A2546">
            <v>2019</v>
          </cell>
          <cell r="D2546" t="str">
            <v>DIRECTION CENTRALE DE LA CHAÎNE TAMAZIGHT</v>
          </cell>
          <cell r="V2546">
            <v>5000</v>
          </cell>
          <cell r="W2546" t="str">
            <v>Fonctionnement</v>
          </cell>
        </row>
        <row r="2547">
          <cell r="A2547">
            <v>2019</v>
          </cell>
          <cell r="D2547" t="str">
            <v>DIRECTION CENTRALE DE LA CHAÎNE TAMAZIGHT</v>
          </cell>
          <cell r="V2547">
            <v>20000</v>
          </cell>
          <cell r="W2547" t="str">
            <v>Fonctionnement</v>
          </cell>
        </row>
        <row r="2548">
          <cell r="A2548">
            <v>2019</v>
          </cell>
          <cell r="D2548" t="str">
            <v>DIRECTION CENTRALE DE LA CHAÎNE TAMAZIGHT</v>
          </cell>
          <cell r="V2548">
            <v>5000</v>
          </cell>
          <cell r="W2548" t="str">
            <v>Fonctionnement</v>
          </cell>
        </row>
        <row r="2549">
          <cell r="A2549">
            <v>2019</v>
          </cell>
          <cell r="D2549" t="str">
            <v>DIRECTION CENTRALE DE LA CHAÎNE TAMAZIGHT</v>
          </cell>
          <cell r="V2549">
            <v>5000</v>
          </cell>
          <cell r="W2549" t="str">
            <v>Fonctionnement</v>
          </cell>
        </row>
        <row r="2550">
          <cell r="A2550">
            <v>2019</v>
          </cell>
          <cell r="D2550" t="str">
            <v>DIRECTION CENTRALE DE LA CHAÎNE TAMAZIGHT</v>
          </cell>
          <cell r="V2550">
            <v>20000</v>
          </cell>
          <cell r="W2550" t="str">
            <v>Fonctionnement</v>
          </cell>
        </row>
        <row r="2551">
          <cell r="A2551">
            <v>2019</v>
          </cell>
          <cell r="D2551" t="str">
            <v>DIRECTION CENTRALE DE LA CHAÎNE TAMAZIGHT</v>
          </cell>
          <cell r="V2551">
            <v>5000</v>
          </cell>
          <cell r="W2551" t="str">
            <v>Fonctionnement</v>
          </cell>
        </row>
        <row r="2552">
          <cell r="A2552">
            <v>2019</v>
          </cell>
          <cell r="D2552" t="str">
            <v>DIRECTION CENTRALE DE LA CHAÎNE TAMAZIGHT</v>
          </cell>
          <cell r="V2552">
            <v>5000</v>
          </cell>
          <cell r="W2552" t="str">
            <v>Fonctionnement</v>
          </cell>
        </row>
        <row r="2553">
          <cell r="A2553">
            <v>2019</v>
          </cell>
          <cell r="D2553" t="str">
            <v>DIRECTION CENTRALE DE LA CHAÎNE TAMAZIGHT</v>
          </cell>
          <cell r="V2553">
            <v>20000</v>
          </cell>
          <cell r="W2553" t="str">
            <v>Fonctionnement</v>
          </cell>
        </row>
        <row r="2554">
          <cell r="A2554">
            <v>2019</v>
          </cell>
          <cell r="D2554" t="str">
            <v>DIRECTION CENTRALE DE LA CHAÎNE TAMAZIGHT</v>
          </cell>
          <cell r="V2554">
            <v>5000</v>
          </cell>
          <cell r="W2554" t="str">
            <v>Fonctionnement</v>
          </cell>
        </row>
        <row r="2555">
          <cell r="A2555">
            <v>2019</v>
          </cell>
          <cell r="D2555" t="str">
            <v>DIRECTION CENTRALE DE LA CHAÎNE TAMAZIGHT</v>
          </cell>
          <cell r="V2555">
            <v>5000</v>
          </cell>
          <cell r="W2555" t="str">
            <v>Fonctionnement</v>
          </cell>
        </row>
        <row r="2556">
          <cell r="A2556">
            <v>2019</v>
          </cell>
          <cell r="D2556" t="str">
            <v>DIRECTION CENTRALE DE LA CHAÎNE TAMAZIGHT</v>
          </cell>
          <cell r="V2556">
            <v>5000</v>
          </cell>
          <cell r="W2556" t="str">
            <v>Fonctionnement</v>
          </cell>
        </row>
        <row r="2557">
          <cell r="A2557">
            <v>2019</v>
          </cell>
          <cell r="D2557" t="str">
            <v>DIRECTION CENTRALE DE LA CHAÎNE TAMAZIGHT</v>
          </cell>
          <cell r="V2557">
            <v>20000</v>
          </cell>
          <cell r="W2557" t="str">
            <v>Fonctionnement</v>
          </cell>
        </row>
        <row r="2558">
          <cell r="A2558">
            <v>2019</v>
          </cell>
          <cell r="D2558" t="str">
            <v>DIRECTION CENTRALE DE LA CHAÎNE TAMAZIGHT</v>
          </cell>
          <cell r="V2558">
            <v>5000</v>
          </cell>
          <cell r="W2558" t="str">
            <v>Fonctionnement</v>
          </cell>
        </row>
        <row r="2559">
          <cell r="A2559">
            <v>2019</v>
          </cell>
          <cell r="D2559" t="str">
            <v>DIRECTION CENTRALE DE LA CHAÎNE TAMAZIGHT</v>
          </cell>
          <cell r="V2559">
            <v>5000</v>
          </cell>
          <cell r="W2559" t="str">
            <v>Fonctionnement</v>
          </cell>
        </row>
        <row r="2560">
          <cell r="A2560">
            <v>2019</v>
          </cell>
          <cell r="D2560" t="str">
            <v>DIRECTION CENTRALE DE LA CHAÎNE TAMAZIGHT</v>
          </cell>
          <cell r="V2560">
            <v>20000</v>
          </cell>
          <cell r="W2560" t="str">
            <v>Fonctionnement</v>
          </cell>
        </row>
        <row r="2561">
          <cell r="A2561">
            <v>2019</v>
          </cell>
          <cell r="D2561" t="str">
            <v>DIRECTION CENTRALE DE LA CHAÎNE TAMAZIGHT</v>
          </cell>
          <cell r="V2561">
            <v>5000</v>
          </cell>
          <cell r="W2561" t="str">
            <v>Fonctionnement</v>
          </cell>
        </row>
        <row r="2562">
          <cell r="A2562">
            <v>2019</v>
          </cell>
          <cell r="D2562" t="str">
            <v>DIRECTION CENTRALE DE LA CHAÎNE TAMAZIGHT</v>
          </cell>
          <cell r="V2562">
            <v>20000</v>
          </cell>
          <cell r="W2562" t="str">
            <v>Fonctionnement</v>
          </cell>
        </row>
        <row r="2563">
          <cell r="A2563">
            <v>2019</v>
          </cell>
          <cell r="D2563" t="str">
            <v>DIRECTION CENTRALE DE LA CHAÎNE TAMAZIGHT</v>
          </cell>
          <cell r="V2563">
            <v>5000</v>
          </cell>
          <cell r="W2563" t="str">
            <v>Fonctionnement</v>
          </cell>
        </row>
        <row r="2564">
          <cell r="A2564">
            <v>2019</v>
          </cell>
          <cell r="D2564" t="str">
            <v>DIRECTION CENTRALE DE LA CHAÎNE TAMAZIGHT</v>
          </cell>
          <cell r="V2564">
            <v>5000</v>
          </cell>
          <cell r="W2564" t="str">
            <v>Fonctionnement</v>
          </cell>
        </row>
        <row r="2565">
          <cell r="A2565">
            <v>2019</v>
          </cell>
          <cell r="D2565" t="str">
            <v>DIRECTION CENTRALE DE LA CHAÎNE TAMAZIGHT</v>
          </cell>
          <cell r="V2565">
            <v>20000</v>
          </cell>
          <cell r="W2565" t="str">
            <v>Fonctionnement</v>
          </cell>
        </row>
        <row r="2566">
          <cell r="A2566">
            <v>2019</v>
          </cell>
          <cell r="D2566" t="str">
            <v>DIRECTION CENTRALE DE LA CHAÎNE TAMAZIGHT</v>
          </cell>
          <cell r="V2566">
            <v>5000</v>
          </cell>
          <cell r="W2566" t="str">
            <v>Fonctionnement</v>
          </cell>
        </row>
        <row r="2567">
          <cell r="A2567">
            <v>2019</v>
          </cell>
          <cell r="D2567" t="str">
            <v>DIRECTION CENTRALE DE LA CHAÎNE TAMAZIGHT</v>
          </cell>
          <cell r="V2567">
            <v>5000</v>
          </cell>
          <cell r="W2567" t="str">
            <v>Fonctionnement</v>
          </cell>
        </row>
        <row r="2568">
          <cell r="A2568">
            <v>2019</v>
          </cell>
          <cell r="D2568" t="str">
            <v>DIRECTION CENTRALE DE LA CHAÎNE TAMAZIGHT</v>
          </cell>
          <cell r="V2568">
            <v>20000</v>
          </cell>
          <cell r="W2568" t="str">
            <v>Fonctionnement</v>
          </cell>
        </row>
        <row r="2569">
          <cell r="A2569">
            <v>2019</v>
          </cell>
          <cell r="D2569" t="str">
            <v>DIRECTION CENTRALE DE LA CHAÎNE TAMAZIGHT</v>
          </cell>
          <cell r="V2569">
            <v>5000</v>
          </cell>
          <cell r="W2569" t="str">
            <v>Fonctionnement</v>
          </cell>
        </row>
        <row r="2570">
          <cell r="A2570">
            <v>2019</v>
          </cell>
          <cell r="D2570" t="str">
            <v>DIRECTION CENTRALE DE LA CHAÎNE TAMAZIGHT</v>
          </cell>
          <cell r="V2570">
            <v>5000</v>
          </cell>
          <cell r="W2570" t="str">
            <v>Fonctionnement</v>
          </cell>
        </row>
        <row r="2571">
          <cell r="A2571">
            <v>2019</v>
          </cell>
          <cell r="D2571" t="str">
            <v>DIRECTION CENTRALE DE LA CHAÎNE TAMAZIGHT</v>
          </cell>
          <cell r="V2571">
            <v>20000</v>
          </cell>
          <cell r="W2571" t="str">
            <v>Fonctionnement</v>
          </cell>
        </row>
        <row r="2572">
          <cell r="A2572">
            <v>2019</v>
          </cell>
          <cell r="D2572" t="str">
            <v>DIRECTION CENTRALE DE LA CHAÎNE TAMAZIGHT</v>
          </cell>
          <cell r="V2572">
            <v>5000</v>
          </cell>
          <cell r="W2572" t="str">
            <v>Fonctionnement</v>
          </cell>
        </row>
        <row r="2573">
          <cell r="A2573">
            <v>2019</v>
          </cell>
          <cell r="D2573" t="str">
            <v>DIRECTION CENTRALE DE LA CHAÎNE TAMAZIGHT</v>
          </cell>
          <cell r="V2573">
            <v>20000</v>
          </cell>
          <cell r="W2573" t="str">
            <v>Fonctionnement</v>
          </cell>
        </row>
        <row r="2574">
          <cell r="A2574">
            <v>2019</v>
          </cell>
          <cell r="D2574" t="str">
            <v>DIRECTION CENTRALE DE LA CHAÎNE TAMAZIGHT</v>
          </cell>
          <cell r="V2574">
            <v>5000</v>
          </cell>
          <cell r="W2574" t="str">
            <v>Fonctionnement</v>
          </cell>
        </row>
        <row r="2575">
          <cell r="A2575">
            <v>2019</v>
          </cell>
          <cell r="D2575" t="str">
            <v>DIRECTION CENTRALE DE LA CHAÎNE TAMAZIGHT</v>
          </cell>
          <cell r="V2575">
            <v>20000</v>
          </cell>
          <cell r="W2575" t="str">
            <v>Fonctionnement</v>
          </cell>
        </row>
        <row r="2576">
          <cell r="A2576">
            <v>2019</v>
          </cell>
          <cell r="D2576" t="str">
            <v>DIRECTION CENTRALE DE LA CHAÎNE TAMAZIGHT</v>
          </cell>
          <cell r="V2576">
            <v>5000</v>
          </cell>
          <cell r="W2576" t="str">
            <v>Fonctionnement</v>
          </cell>
        </row>
        <row r="2577">
          <cell r="A2577">
            <v>2019</v>
          </cell>
          <cell r="D2577" t="str">
            <v>DIRECTION CENTRALE DE LA CHAÎNE TAMAZIGHT</v>
          </cell>
          <cell r="V2577">
            <v>5000</v>
          </cell>
          <cell r="W2577" t="str">
            <v>Fonctionnement</v>
          </cell>
        </row>
        <row r="2578">
          <cell r="A2578">
            <v>2019</v>
          </cell>
          <cell r="D2578" t="str">
            <v>DIRECTION CENTRALE DE LA CHAÎNE TAMAZIGHT</v>
          </cell>
          <cell r="V2578">
            <v>5000</v>
          </cell>
          <cell r="W2578" t="str">
            <v>Fonctionnement</v>
          </cell>
        </row>
        <row r="2579">
          <cell r="A2579">
            <v>2019</v>
          </cell>
          <cell r="D2579" t="str">
            <v>DIRECTION CENTRALE DE LA CHAÎNE TAMAZIGHT</v>
          </cell>
          <cell r="V2579">
            <v>5000</v>
          </cell>
          <cell r="W2579" t="str">
            <v>Fonctionnement</v>
          </cell>
        </row>
        <row r="2580">
          <cell r="A2580">
            <v>2019</v>
          </cell>
          <cell r="D2580" t="str">
            <v>DIRECTION CENTRALE DE LA CHAÎNE TAMAZIGHT</v>
          </cell>
          <cell r="V2580">
            <v>20000</v>
          </cell>
          <cell r="W2580" t="str">
            <v>Fonctionnement</v>
          </cell>
        </row>
        <row r="2581">
          <cell r="A2581">
            <v>2019</v>
          </cell>
          <cell r="D2581" t="str">
            <v>DIRECTION CENTRALE DE LA CHAÎNE TAMAZIGHT</v>
          </cell>
          <cell r="V2581">
            <v>84000</v>
          </cell>
          <cell r="W2581" t="str">
            <v>Fonctionnement</v>
          </cell>
        </row>
        <row r="2582">
          <cell r="A2582">
            <v>2019</v>
          </cell>
          <cell r="D2582" t="str">
            <v>DIRECTION CENTRALE DE LA CHAÎNE TAMAZIGHT</v>
          </cell>
          <cell r="V2582">
            <v>62400</v>
          </cell>
          <cell r="W2582" t="str">
            <v>Fonctionnement</v>
          </cell>
        </row>
        <row r="2583">
          <cell r="A2583">
            <v>2019</v>
          </cell>
          <cell r="D2583" t="str">
            <v>DIRECTION CENTRALE DE LA CHAÎNE TAMAZIGHT</v>
          </cell>
          <cell r="V2583">
            <v>36000</v>
          </cell>
          <cell r="W2583" t="str">
            <v>Fonctionnement</v>
          </cell>
        </row>
        <row r="2584">
          <cell r="A2584">
            <v>2019</v>
          </cell>
          <cell r="D2584" t="str">
            <v>DIRECTION CENTRALE DE LA CHAÎNE TAMAZIGHT</v>
          </cell>
          <cell r="V2584">
            <v>144000</v>
          </cell>
          <cell r="W2584" t="str">
            <v>Fonctionnement</v>
          </cell>
        </row>
        <row r="2585">
          <cell r="A2585">
            <v>2019</v>
          </cell>
          <cell r="D2585" t="str">
            <v>DIRECTION CENTRALE DE LA CHAÎNE TAMAZIGHT</v>
          </cell>
          <cell r="V2585">
            <v>84000</v>
          </cell>
          <cell r="W2585" t="str">
            <v>Fonctionnement</v>
          </cell>
        </row>
        <row r="2586">
          <cell r="A2586">
            <v>2019</v>
          </cell>
          <cell r="D2586" t="str">
            <v>DIRECTION CENTRALE DE LA CHAÎNE TAMAZIGHT</v>
          </cell>
          <cell r="V2586">
            <v>84000</v>
          </cell>
          <cell r="W2586" t="str">
            <v>Fonctionnement</v>
          </cell>
        </row>
        <row r="2587">
          <cell r="A2587">
            <v>2019</v>
          </cell>
          <cell r="D2587" t="str">
            <v>DIRECTION CENTRALE DE LA CHAÎNE TAMAZIGHT</v>
          </cell>
          <cell r="V2587">
            <v>109200</v>
          </cell>
          <cell r="W2587" t="str">
            <v>Fonctionnement</v>
          </cell>
        </row>
        <row r="2588">
          <cell r="A2588">
            <v>2019</v>
          </cell>
          <cell r="D2588" t="str">
            <v>DIRECTION CENTRALE DE LA CHAÎNE TAMAZIGHT</v>
          </cell>
          <cell r="V2588">
            <v>84000</v>
          </cell>
          <cell r="W2588" t="str">
            <v>Fonctionnement</v>
          </cell>
        </row>
        <row r="2589">
          <cell r="A2589">
            <v>2019</v>
          </cell>
          <cell r="D2589" t="str">
            <v>DIRECTION CENTRALE DE LA CHAÎNE TAMAZIGHT</v>
          </cell>
          <cell r="V2589">
            <v>126000</v>
          </cell>
          <cell r="W2589" t="str">
            <v>Fonctionnement</v>
          </cell>
        </row>
        <row r="2590">
          <cell r="A2590">
            <v>2019</v>
          </cell>
          <cell r="D2590" t="str">
            <v>DIRECTION CENTRALE DE LA CHAÎNE TAMAZIGHT</v>
          </cell>
          <cell r="V2590">
            <v>124800</v>
          </cell>
          <cell r="W2590" t="str">
            <v>Fonctionnement</v>
          </cell>
        </row>
        <row r="2591">
          <cell r="A2591">
            <v>2019</v>
          </cell>
          <cell r="D2591" t="str">
            <v>DIRECTION CENTRALE DE LA CHAÎNE TAMAZIGHT</v>
          </cell>
          <cell r="V2591">
            <v>84000</v>
          </cell>
          <cell r="W2591" t="str">
            <v>Fonctionnement</v>
          </cell>
        </row>
        <row r="2592">
          <cell r="A2592">
            <v>2019</v>
          </cell>
          <cell r="D2592" t="str">
            <v>DIRECTION CENTRALE DE LA CHAÎNE TAMAZIGHT</v>
          </cell>
          <cell r="V2592">
            <v>96000</v>
          </cell>
          <cell r="W2592" t="str">
            <v>Fonctionnement</v>
          </cell>
        </row>
        <row r="2593">
          <cell r="A2593">
            <v>2019</v>
          </cell>
          <cell r="D2593" t="str">
            <v>DIRECTION CENTRALE DE LA CHAÎNE TAMAZIGHT</v>
          </cell>
          <cell r="V2593">
            <v>96000</v>
          </cell>
          <cell r="W2593" t="str">
            <v>Fonctionnement</v>
          </cell>
        </row>
        <row r="2594">
          <cell r="A2594">
            <v>2019</v>
          </cell>
          <cell r="D2594" t="str">
            <v>DIRECTION CENTRALE DE LA CHAÎNE TAMAZIGHT</v>
          </cell>
          <cell r="V2594">
            <v>96000</v>
          </cell>
          <cell r="W2594" t="str">
            <v>Fonctionnement</v>
          </cell>
        </row>
        <row r="2595">
          <cell r="A2595">
            <v>2019</v>
          </cell>
          <cell r="D2595" t="str">
            <v>DIRECTION CENTRALE DE LA CHAÎNE TAMAZIGHT</v>
          </cell>
          <cell r="V2595">
            <v>72000</v>
          </cell>
          <cell r="W2595" t="str">
            <v>Fonctionnement</v>
          </cell>
        </row>
        <row r="2596">
          <cell r="A2596">
            <v>2019</v>
          </cell>
          <cell r="D2596" t="str">
            <v>DIRECTION CENTRALE DE LA CHAÎNE TAMAZIGHT</v>
          </cell>
          <cell r="V2596">
            <v>72000</v>
          </cell>
          <cell r="W2596" t="str">
            <v>Fonctionnement</v>
          </cell>
        </row>
        <row r="2597">
          <cell r="A2597">
            <v>2019</v>
          </cell>
          <cell r="D2597" t="str">
            <v>DIRECTION CENTRALE DE LA CHAÎNE TAMAZIGHT</v>
          </cell>
          <cell r="V2597">
            <v>117000</v>
          </cell>
          <cell r="W2597" t="str">
            <v>Fonctionnement</v>
          </cell>
        </row>
        <row r="2598">
          <cell r="A2598">
            <v>2019</v>
          </cell>
          <cell r="D2598" t="str">
            <v>DIRECTION CENTRALE DE LA CHAÎNE TAMAZIGHT</v>
          </cell>
          <cell r="V2598">
            <v>84000</v>
          </cell>
          <cell r="W2598" t="str">
            <v>Fonctionnement</v>
          </cell>
        </row>
        <row r="2599">
          <cell r="A2599">
            <v>2019</v>
          </cell>
          <cell r="D2599" t="str">
            <v>DIRECTION CENTRALE DE LA CHAÎNE TAMAZIGHT</v>
          </cell>
          <cell r="V2599">
            <v>109200</v>
          </cell>
          <cell r="W2599" t="str">
            <v>Fonctionnement</v>
          </cell>
        </row>
        <row r="2600">
          <cell r="A2600">
            <v>2019</v>
          </cell>
          <cell r="D2600" t="str">
            <v>DIRECTION CENTRALE DE LA CHAÎNE TAMAZIGHT</v>
          </cell>
          <cell r="V2600">
            <v>72000</v>
          </cell>
          <cell r="W2600" t="str">
            <v>Fonctionnement</v>
          </cell>
        </row>
        <row r="2601">
          <cell r="A2601">
            <v>2019</v>
          </cell>
          <cell r="D2601" t="str">
            <v>DIRECTION CENTRALE DE LA CHAÎNE TAMAZIGHT</v>
          </cell>
          <cell r="V2601">
            <v>124800</v>
          </cell>
          <cell r="W2601" t="str">
            <v>Fonctionnement</v>
          </cell>
        </row>
        <row r="2602">
          <cell r="A2602">
            <v>2019</v>
          </cell>
          <cell r="D2602" t="str">
            <v>DIRECTION CENTRALE DE LA CHAÎNE TAMAZIGHT</v>
          </cell>
          <cell r="V2602">
            <v>78000</v>
          </cell>
          <cell r="W2602" t="str">
            <v>Fonctionnement</v>
          </cell>
        </row>
        <row r="2603">
          <cell r="A2603">
            <v>2019</v>
          </cell>
          <cell r="D2603" t="str">
            <v>DIRECTION CENTRALE DE LA CHAÎNE TAMAZIGHT</v>
          </cell>
          <cell r="V2603">
            <v>109200</v>
          </cell>
          <cell r="W2603" t="str">
            <v>Fonctionnement</v>
          </cell>
        </row>
        <row r="2604">
          <cell r="A2604">
            <v>2019</v>
          </cell>
          <cell r="D2604" t="str">
            <v>DIRECTION CENTRALE DE LA CHAÎNE TAMAZIGHT</v>
          </cell>
          <cell r="V2604">
            <v>84000</v>
          </cell>
          <cell r="W2604" t="str">
            <v>Fonctionnement</v>
          </cell>
        </row>
        <row r="2605">
          <cell r="A2605">
            <v>2019</v>
          </cell>
          <cell r="D2605" t="str">
            <v>DIRECTION CENTRALE DE LA CHAÎNE TAMAZIGHT</v>
          </cell>
          <cell r="V2605">
            <v>108000</v>
          </cell>
          <cell r="W2605" t="str">
            <v>Fonctionnement</v>
          </cell>
        </row>
        <row r="2606">
          <cell r="A2606">
            <v>2019</v>
          </cell>
          <cell r="D2606" t="str">
            <v>DIRECTION CENTRALE DE LA CHAÎNE TAMAZIGHT</v>
          </cell>
          <cell r="V2606">
            <v>96000</v>
          </cell>
          <cell r="W2606" t="str">
            <v>Fonctionnement</v>
          </cell>
        </row>
        <row r="2607">
          <cell r="A2607">
            <v>2019</v>
          </cell>
          <cell r="D2607" t="str">
            <v>DIRECTION CENTRALE DE LA CHAÎNE TAMAZIGHT</v>
          </cell>
          <cell r="V2607">
            <v>90000</v>
          </cell>
          <cell r="W2607" t="str">
            <v>Fonctionnement</v>
          </cell>
        </row>
        <row r="2608">
          <cell r="A2608">
            <v>2019</v>
          </cell>
          <cell r="D2608" t="str">
            <v>DIRECTION CENTRALE DE LA CHAÎNE TAMAZIGHT</v>
          </cell>
          <cell r="V2608">
            <v>85800</v>
          </cell>
          <cell r="W2608" t="str">
            <v>Fonctionnement</v>
          </cell>
        </row>
        <row r="2609">
          <cell r="A2609">
            <v>2019</v>
          </cell>
          <cell r="D2609" t="str">
            <v>DIRECTION CENTRALE DE LA CHAÎNE TAMAZIGHT</v>
          </cell>
          <cell r="V2609">
            <v>84000</v>
          </cell>
          <cell r="W2609" t="str">
            <v>Fonctionnement</v>
          </cell>
        </row>
        <row r="2610">
          <cell r="A2610">
            <v>2019</v>
          </cell>
          <cell r="D2610" t="str">
            <v>DIRECTION CENTRALE DE LA CHAÎNE TAMAZIGHT</v>
          </cell>
          <cell r="V2610">
            <v>120000</v>
          </cell>
          <cell r="W2610" t="str">
            <v>Fonctionnement</v>
          </cell>
        </row>
        <row r="2611">
          <cell r="A2611">
            <v>2019</v>
          </cell>
          <cell r="D2611" t="str">
            <v>DIRECTION CENTRALE DE LA CHAÎNE TAMAZIGHT</v>
          </cell>
          <cell r="V2611">
            <v>96000</v>
          </cell>
          <cell r="W2611" t="str">
            <v>Fonctionnement</v>
          </cell>
        </row>
        <row r="2612">
          <cell r="A2612">
            <v>2019</v>
          </cell>
          <cell r="D2612" t="str">
            <v>DIRECTION CENTRALE DE LA CHAÎNE TAMAZIGHT</v>
          </cell>
          <cell r="V2612">
            <v>78000</v>
          </cell>
          <cell r="W2612" t="str">
            <v>Fonctionnement</v>
          </cell>
        </row>
        <row r="2613">
          <cell r="A2613">
            <v>2019</v>
          </cell>
          <cell r="D2613" t="str">
            <v>DIRECTION CENTRALE DE LA CHAÎNE TAMAZIGHT</v>
          </cell>
          <cell r="V2613">
            <v>456000</v>
          </cell>
          <cell r="W2613" t="str">
            <v>Fonctionnement</v>
          </cell>
        </row>
        <row r="2614">
          <cell r="A2614">
            <v>2019</v>
          </cell>
          <cell r="D2614" t="str">
            <v>DIRECTION CENTRALE DE LA CHAÎNE TAMAZIGHT</v>
          </cell>
          <cell r="V2614">
            <v>96000</v>
          </cell>
          <cell r="W2614" t="str">
            <v>Fonctionnement</v>
          </cell>
        </row>
        <row r="2615">
          <cell r="A2615">
            <v>2019</v>
          </cell>
          <cell r="D2615" t="str">
            <v>DIRECTION CENTRALE DE LA CHAÎNE TAMAZIGHT</v>
          </cell>
          <cell r="V2615">
            <v>84000</v>
          </cell>
          <cell r="W2615" t="str">
            <v>Fonctionnement</v>
          </cell>
        </row>
        <row r="2616">
          <cell r="A2616">
            <v>2019</v>
          </cell>
          <cell r="D2616" t="str">
            <v>DIRECTION CENTRALE DE LA CHAÎNE TAMAZIGHT</v>
          </cell>
          <cell r="V2616">
            <v>120000</v>
          </cell>
          <cell r="W2616" t="str">
            <v>Fonctionnement</v>
          </cell>
        </row>
        <row r="2617">
          <cell r="A2617">
            <v>2019</v>
          </cell>
          <cell r="D2617" t="str">
            <v>DIRECTION CENTRALE DE LA CHAÎNE TAMAZIGHT</v>
          </cell>
          <cell r="V2617">
            <v>140000</v>
          </cell>
          <cell r="W2617" t="str">
            <v>Fonctionnement</v>
          </cell>
        </row>
        <row r="2618">
          <cell r="A2618">
            <v>2019</v>
          </cell>
          <cell r="D2618" t="str">
            <v>DIRECTION CENTRALE DE LA CHAÎNE TAMAZIGHT</v>
          </cell>
          <cell r="V2618">
            <v>140000</v>
          </cell>
          <cell r="W2618" t="str">
            <v>Fonctionnement</v>
          </cell>
        </row>
        <row r="2619">
          <cell r="A2619">
            <v>2019</v>
          </cell>
          <cell r="D2619" t="str">
            <v>DIRECTION CENTRALE DE LA CHAÎNE TAMAZIGHT</v>
          </cell>
          <cell r="V2619">
            <v>140000</v>
          </cell>
          <cell r="W2619" t="str">
            <v>Fonctionnement</v>
          </cell>
        </row>
        <row r="2620">
          <cell r="A2620">
            <v>2019</v>
          </cell>
          <cell r="D2620" t="str">
            <v>DIRECTION CENTRALE DE LA CHAÎNE TAMAZIGHT</v>
          </cell>
          <cell r="V2620">
            <v>140000</v>
          </cell>
          <cell r="W2620" t="str">
            <v>Fonctionnement</v>
          </cell>
        </row>
        <row r="2621">
          <cell r="A2621">
            <v>2019</v>
          </cell>
          <cell r="D2621" t="str">
            <v>DIRECTION CENTRALE DE LA CHAÎNE TAMAZIGHT</v>
          </cell>
          <cell r="V2621">
            <v>140000</v>
          </cell>
          <cell r="W2621" t="str">
            <v>Fonctionnement</v>
          </cell>
        </row>
        <row r="2622">
          <cell r="A2622">
            <v>2019</v>
          </cell>
          <cell r="D2622" t="str">
            <v>DIRECTION CENTRALE DE LA CHAÎNE TAMAZIGHT</v>
          </cell>
          <cell r="V2622">
            <v>140000</v>
          </cell>
          <cell r="W2622" t="str">
            <v>Fonctionnement</v>
          </cell>
        </row>
        <row r="2623">
          <cell r="A2623">
            <v>2019</v>
          </cell>
          <cell r="D2623" t="str">
            <v>DIRECTION CENTRALE DE LA CHAÎNE TAMAZIGHT</v>
          </cell>
          <cell r="V2623">
            <v>140000</v>
          </cell>
          <cell r="W2623" t="str">
            <v>Fonctionnement</v>
          </cell>
        </row>
        <row r="2624">
          <cell r="A2624">
            <v>2019</v>
          </cell>
          <cell r="D2624" t="str">
            <v>DIRECTION CENTRALE DE LA CHAÎNE TAMAZIGHT</v>
          </cell>
          <cell r="V2624">
            <v>140000</v>
          </cell>
          <cell r="W2624" t="str">
            <v>Fonctionnement</v>
          </cell>
        </row>
        <row r="2625">
          <cell r="A2625">
            <v>2019</v>
          </cell>
          <cell r="D2625" t="str">
            <v>DIRECTION CENTRALE DE LA CHAÎNE TAMAZIGHT</v>
          </cell>
          <cell r="V2625">
            <v>140000</v>
          </cell>
          <cell r="W2625" t="str">
            <v>Fonctionnement</v>
          </cell>
        </row>
        <row r="2626">
          <cell r="A2626">
            <v>2019</v>
          </cell>
          <cell r="D2626" t="str">
            <v>DIRECTION CENTRALE DE LA CHAÎNE TAMAZIGHT</v>
          </cell>
          <cell r="V2626">
            <v>140000</v>
          </cell>
          <cell r="W2626" t="str">
            <v>Fonctionnement</v>
          </cell>
        </row>
        <row r="2627">
          <cell r="A2627">
            <v>2020</v>
          </cell>
          <cell r="D2627" t="str">
            <v>DIRECTION CENTRALE DE LA PRODUCTION ET DE L'ANTENNE</v>
          </cell>
          <cell r="V2627">
            <v>2567314.94</v>
          </cell>
          <cell r="W2627" t="str">
            <v>Fonctionnement</v>
          </cell>
        </row>
        <row r="2628">
          <cell r="A2628">
            <v>2020</v>
          </cell>
          <cell r="D2628" t="str">
            <v>DIRECTION CENTRALE DE LA PRODUCTION ET DE L'ANTENNE</v>
          </cell>
          <cell r="V2628">
            <v>154000</v>
          </cell>
          <cell r="W2628" t="str">
            <v>Fonctionnement</v>
          </cell>
        </row>
        <row r="2629">
          <cell r="A2629">
            <v>2020</v>
          </cell>
          <cell r="D2629" t="str">
            <v>DIRECTION CENTRALE DE LA PRODUCTION ET DE L'ANTENNE</v>
          </cell>
          <cell r="V2629">
            <v>238000</v>
          </cell>
          <cell r="W2629" t="str">
            <v>Fonctionnement</v>
          </cell>
        </row>
        <row r="2630">
          <cell r="A2630">
            <v>2020</v>
          </cell>
          <cell r="D2630" t="str">
            <v>DIRECTION CENTRALE DE LA PRODUCTION ET DE L'ANTENNE</v>
          </cell>
          <cell r="V2630">
            <v>68571.839999999997</v>
          </cell>
          <cell r="W2630" t="str">
            <v>Fonctionnement</v>
          </cell>
        </row>
        <row r="2631">
          <cell r="A2631">
            <v>2020</v>
          </cell>
          <cell r="D2631" t="str">
            <v>DIRECTION CENTRALE DE LA PRODUCTION ET DE L'ANTENNE</v>
          </cell>
          <cell r="V2631">
            <v>1123200</v>
          </cell>
          <cell r="W2631" t="str">
            <v>Fonctionnement</v>
          </cell>
        </row>
        <row r="2632">
          <cell r="A2632">
            <v>2020</v>
          </cell>
          <cell r="D2632" t="str">
            <v>DIRECTION CENTRALE DE LA PRODUCTION ET DE L'ANTENNE</v>
          </cell>
          <cell r="V2632">
            <v>204000</v>
          </cell>
          <cell r="W2632" t="str">
            <v>Fonctionnement</v>
          </cell>
        </row>
        <row r="2633">
          <cell r="A2633">
            <v>2020</v>
          </cell>
          <cell r="D2633" t="str">
            <v>DIRECTION CENTRALE DE LA PRODUCTION ET DE L'ANTENNE</v>
          </cell>
          <cell r="V2633">
            <v>170000</v>
          </cell>
          <cell r="W2633" t="str">
            <v>Fonctionnement</v>
          </cell>
        </row>
        <row r="2634">
          <cell r="A2634">
            <v>2020</v>
          </cell>
          <cell r="D2634" t="str">
            <v>DIRECTION CENTRALE DE LA PRODUCTION ET DE L'ANTENNE</v>
          </cell>
          <cell r="V2634">
            <v>890736</v>
          </cell>
          <cell r="W2634" t="str">
            <v>Fonctionnement</v>
          </cell>
        </row>
        <row r="2635">
          <cell r="A2635">
            <v>2020</v>
          </cell>
          <cell r="D2635" t="str">
            <v>DIRECTION CENTRALE DE LA PRODUCTION ET DE L'ANTENNE</v>
          </cell>
          <cell r="V2635">
            <v>192000</v>
          </cell>
          <cell r="W2635" t="str">
            <v>Fonctionnement</v>
          </cell>
        </row>
        <row r="2636">
          <cell r="A2636">
            <v>2020</v>
          </cell>
          <cell r="D2636" t="str">
            <v>DIRECTION CENTRALE DE LA PRODUCTION ET DE L'ANTENNE</v>
          </cell>
          <cell r="V2636">
            <v>6000</v>
          </cell>
          <cell r="W2636" t="str">
            <v>Fonctionnement</v>
          </cell>
        </row>
        <row r="2637">
          <cell r="A2637">
            <v>2020</v>
          </cell>
          <cell r="D2637" t="str">
            <v>DIRECTION CENTRALE DE LA PRODUCTION ET DE L'ANTENNE</v>
          </cell>
          <cell r="V2637">
            <v>10000</v>
          </cell>
          <cell r="W2637" t="str">
            <v>Fonctionnement</v>
          </cell>
        </row>
        <row r="2638">
          <cell r="A2638">
            <v>2020</v>
          </cell>
          <cell r="D2638" t="str">
            <v>DIRECTION CENTRALE DE LA PRODUCTION ET DE L'ANTENNE</v>
          </cell>
          <cell r="V2638">
            <v>20000</v>
          </cell>
          <cell r="W2638" t="str">
            <v>Fonctionnement</v>
          </cell>
        </row>
        <row r="2639">
          <cell r="A2639">
            <v>2020</v>
          </cell>
          <cell r="D2639" t="str">
            <v>DIRECTION CENTRALE DE LA PRODUCTION ET DE L'ANTENNE</v>
          </cell>
          <cell r="V2639">
            <v>20000</v>
          </cell>
          <cell r="W2639" t="str">
            <v>Fonctionnement</v>
          </cell>
        </row>
        <row r="2640">
          <cell r="A2640">
            <v>2020</v>
          </cell>
          <cell r="D2640" t="str">
            <v>DIRECTION CENTRALE DE LA PRODUCTION ET DE L'ANTENNE</v>
          </cell>
          <cell r="V2640">
            <v>15000</v>
          </cell>
          <cell r="W2640" t="str">
            <v>Fonctionnement</v>
          </cell>
        </row>
        <row r="2641">
          <cell r="A2641">
            <v>2020</v>
          </cell>
          <cell r="D2641" t="str">
            <v>DIRECTION CENTRALE DE LA PRODUCTION ET DE L'ANTENNE</v>
          </cell>
          <cell r="V2641">
            <v>25000</v>
          </cell>
          <cell r="W2641" t="str">
            <v>Fonctionnement</v>
          </cell>
        </row>
        <row r="2642">
          <cell r="A2642">
            <v>2020</v>
          </cell>
          <cell r="D2642" t="str">
            <v>DIRECTION CENTRALE DE LA PRODUCTION ET DE L'ANTENNE</v>
          </cell>
          <cell r="V2642">
            <v>10000</v>
          </cell>
          <cell r="W2642" t="str">
            <v>Fonctionnement</v>
          </cell>
        </row>
        <row r="2643">
          <cell r="A2643">
            <v>2020</v>
          </cell>
          <cell r="D2643" t="str">
            <v>DIRECTION CENTRALE DE LA PRODUCTION ET DE L'ANTENNE</v>
          </cell>
          <cell r="V2643">
            <v>20000</v>
          </cell>
          <cell r="W2643" t="str">
            <v>Fonctionnement</v>
          </cell>
        </row>
        <row r="2644">
          <cell r="A2644">
            <v>2020</v>
          </cell>
          <cell r="D2644" t="str">
            <v>DIRECTION CENTRALE DE LA PRODUCTION ET DE L'ANTENNE</v>
          </cell>
          <cell r="V2644">
            <v>25000</v>
          </cell>
          <cell r="W2644" t="str">
            <v>Fonctionnement</v>
          </cell>
        </row>
        <row r="2645">
          <cell r="A2645">
            <v>2020</v>
          </cell>
          <cell r="D2645" t="str">
            <v>DIRECTION CENTRALE DE LA PRODUCTION ET DE L'ANTENNE</v>
          </cell>
          <cell r="V2645">
            <v>35000</v>
          </cell>
          <cell r="W2645" t="str">
            <v>Fonctionnement</v>
          </cell>
        </row>
        <row r="2646">
          <cell r="A2646">
            <v>2020</v>
          </cell>
          <cell r="D2646" t="str">
            <v>DIRECTION CENTRALE DE LA PRODUCTION ET DE L'ANTENNE</v>
          </cell>
          <cell r="V2646">
            <v>15000</v>
          </cell>
          <cell r="W2646" t="str">
            <v>Fonctionnement</v>
          </cell>
        </row>
        <row r="2647">
          <cell r="A2647">
            <v>2020</v>
          </cell>
          <cell r="D2647" t="str">
            <v>DIRECTION CENTRALE DE LA PRODUCTION ET DE L'ANTENNE</v>
          </cell>
          <cell r="V2647">
            <v>20000</v>
          </cell>
          <cell r="W2647" t="str">
            <v>Fonctionnement</v>
          </cell>
        </row>
        <row r="2648">
          <cell r="A2648">
            <v>2020</v>
          </cell>
          <cell r="D2648" t="str">
            <v>DIRECTION CENTRALE DE LA PRODUCTION ET DE L'ANTENNE</v>
          </cell>
          <cell r="V2648">
            <v>15000</v>
          </cell>
          <cell r="W2648" t="str">
            <v>Fonctionnement</v>
          </cell>
        </row>
        <row r="2649">
          <cell r="A2649">
            <v>2020</v>
          </cell>
          <cell r="D2649" t="str">
            <v>DIRECTION CENTRALE DE LA PRODUCTION ET DE L'ANTENNE</v>
          </cell>
          <cell r="V2649">
            <v>50000</v>
          </cell>
          <cell r="W2649" t="str">
            <v>Fonctionnement</v>
          </cell>
        </row>
        <row r="2650">
          <cell r="A2650">
            <v>2020</v>
          </cell>
          <cell r="D2650" t="str">
            <v>DIRECTION CENTRALE DE LA PRODUCTION ET DE L'ANTENNE</v>
          </cell>
          <cell r="V2650">
            <v>50000</v>
          </cell>
          <cell r="W2650" t="str">
            <v>Fonctionnement</v>
          </cell>
        </row>
        <row r="2651">
          <cell r="A2651">
            <v>2020</v>
          </cell>
          <cell r="D2651" t="str">
            <v>DIRECTION CENTRALE DE LA PRODUCTION ET DE L'ANTENNE</v>
          </cell>
          <cell r="V2651">
            <v>662400</v>
          </cell>
          <cell r="W2651" t="str">
            <v>Fonctionnement</v>
          </cell>
        </row>
        <row r="2652">
          <cell r="A2652">
            <v>2020</v>
          </cell>
          <cell r="D2652" t="str">
            <v>DIRECTION CENTRALE DE LA PRODUCTION ET DE L'ANTENNE</v>
          </cell>
          <cell r="V2652">
            <v>170016</v>
          </cell>
          <cell r="W2652" t="str">
            <v>Fonctionnement</v>
          </cell>
        </row>
        <row r="2653">
          <cell r="A2653">
            <v>2020</v>
          </cell>
          <cell r="D2653" t="str">
            <v>DIRECTION CENTRALE DE LA PRODUCTION ET DE L'ANTENNE</v>
          </cell>
          <cell r="V2653">
            <v>285600</v>
          </cell>
          <cell r="W2653" t="str">
            <v>Fonctionnement</v>
          </cell>
        </row>
        <row r="2654">
          <cell r="A2654">
            <v>2020</v>
          </cell>
          <cell r="D2654" t="str">
            <v>DIRECTION CENTRALE DE LA PRODUCTION ET DE L'ANTENNE</v>
          </cell>
          <cell r="V2654">
            <v>200000</v>
          </cell>
          <cell r="W2654" t="str">
            <v>Fonctionnement</v>
          </cell>
        </row>
        <row r="2655">
          <cell r="A2655">
            <v>2020</v>
          </cell>
          <cell r="D2655" t="str">
            <v>DIRECTION CENTRALE DE LA PRODUCTION ET DE L'ANTENNE</v>
          </cell>
          <cell r="V2655">
            <v>132000</v>
          </cell>
          <cell r="W2655" t="str">
            <v>Fonctionnement</v>
          </cell>
        </row>
        <row r="2656">
          <cell r="A2656">
            <v>2020</v>
          </cell>
          <cell r="D2656" t="str">
            <v>DIRECTION CENTRALE DE LA PRODUCTION ET DE L'ANTENNE</v>
          </cell>
          <cell r="V2656">
            <v>122400</v>
          </cell>
          <cell r="W2656" t="str">
            <v>Fonctionnement</v>
          </cell>
        </row>
        <row r="2657">
          <cell r="A2657">
            <v>2020</v>
          </cell>
          <cell r="D2657" t="str">
            <v>DIRECTION CENTRALE DE LA PRODUCTION ET DE L'ANTENNE</v>
          </cell>
          <cell r="V2657">
            <v>600000</v>
          </cell>
          <cell r="W2657" t="str">
            <v>Fonctionnement</v>
          </cell>
        </row>
        <row r="2658">
          <cell r="A2658">
            <v>2020</v>
          </cell>
          <cell r="D2658" t="str">
            <v>DIRECTION CENTRALE DE LA PRODUCTION ET DE L'ANTENNE</v>
          </cell>
          <cell r="V2658">
            <v>30000</v>
          </cell>
          <cell r="W2658" t="str">
            <v>Fonctionnement</v>
          </cell>
        </row>
        <row r="2659">
          <cell r="A2659">
            <v>2020</v>
          </cell>
          <cell r="D2659" t="str">
            <v>DIRECTION CENTRALE DE LA PRODUCTION ET DE L'ANTENNE</v>
          </cell>
          <cell r="V2659">
            <v>90000</v>
          </cell>
          <cell r="W2659" t="str">
            <v>Fonctionnement</v>
          </cell>
        </row>
        <row r="2660">
          <cell r="A2660">
            <v>2020</v>
          </cell>
          <cell r="D2660" t="str">
            <v>DIRECTION CENTRALE DE LA PRODUCTION ET DE L'ANTENNE</v>
          </cell>
          <cell r="V2660">
            <v>90000</v>
          </cell>
          <cell r="W2660" t="str">
            <v>Fonctionnement</v>
          </cell>
        </row>
        <row r="2661">
          <cell r="A2661">
            <v>2020</v>
          </cell>
          <cell r="D2661" t="str">
            <v>DIRECTION CENTRALE DE LA PRODUCTION ET DE L'ANTENNE</v>
          </cell>
          <cell r="V2661">
            <v>90000</v>
          </cell>
          <cell r="W2661" t="str">
            <v>Fonctionnement</v>
          </cell>
        </row>
        <row r="2662">
          <cell r="A2662">
            <v>2020</v>
          </cell>
          <cell r="D2662" t="str">
            <v>DIRECTION CENTRALE DE LA PRODUCTION ET DE L'ANTENNE</v>
          </cell>
          <cell r="V2662">
            <v>30000</v>
          </cell>
          <cell r="W2662" t="str">
            <v>Fonctionnement</v>
          </cell>
        </row>
        <row r="2663">
          <cell r="A2663">
            <v>2020</v>
          </cell>
          <cell r="D2663" t="str">
            <v>DIRECTION CENTRALE DE LA PRODUCTION ET DE L'ANTENNE</v>
          </cell>
          <cell r="V2663">
            <v>30000</v>
          </cell>
          <cell r="W2663" t="str">
            <v>Fonctionnement</v>
          </cell>
        </row>
        <row r="2664">
          <cell r="A2664">
            <v>2020</v>
          </cell>
          <cell r="D2664" t="str">
            <v>DIRECTION CENTRALE DE LA PRODUCTION ET DE L'ANTENNE</v>
          </cell>
          <cell r="V2664">
            <v>30000</v>
          </cell>
          <cell r="W2664" t="str">
            <v>Fonctionnement</v>
          </cell>
        </row>
        <row r="2665">
          <cell r="A2665">
            <v>2020</v>
          </cell>
          <cell r="D2665" t="str">
            <v>DIRECTION CENTRALE DE LA CHAÎNE ARRYADIA</v>
          </cell>
          <cell r="V2665">
            <v>58040.3</v>
          </cell>
          <cell r="W2665" t="str">
            <v>Fonctionnement</v>
          </cell>
        </row>
        <row r="2666">
          <cell r="A2666">
            <v>2020</v>
          </cell>
          <cell r="D2666" t="str">
            <v>DIRECTION CENTRALE DE LA CHAÎNE ARRYADIA</v>
          </cell>
          <cell r="V2666">
            <v>95947.88</v>
          </cell>
          <cell r="W2666" t="str">
            <v>Fonctionnement</v>
          </cell>
        </row>
        <row r="2667">
          <cell r="A2667">
            <v>2020</v>
          </cell>
          <cell r="D2667" t="str">
            <v>DIRECTION CENTRALE DE LA CHAÎNE ARRYADIA</v>
          </cell>
          <cell r="V2667">
            <v>106580</v>
          </cell>
          <cell r="W2667" t="str">
            <v>Fonctionnement</v>
          </cell>
        </row>
        <row r="2668">
          <cell r="A2668">
            <v>2020</v>
          </cell>
          <cell r="D2668" t="str">
            <v>DIRECTION CENTRALE DE LA CHAÎNE ARRYADIA</v>
          </cell>
          <cell r="V2668">
            <v>107329</v>
          </cell>
          <cell r="W2668" t="str">
            <v>Fonctionnement</v>
          </cell>
        </row>
        <row r="2669">
          <cell r="A2669">
            <v>2020</v>
          </cell>
          <cell r="D2669" t="str">
            <v>DIRECTION CENTRALE DE LA CHAÎNE ARRYADIA</v>
          </cell>
          <cell r="V2669">
            <v>210835.39</v>
          </cell>
          <cell r="W2669" t="str">
            <v>Fonctionnement</v>
          </cell>
        </row>
        <row r="2670">
          <cell r="A2670">
            <v>2020</v>
          </cell>
          <cell r="D2670" t="str">
            <v>DIRECTION CENTRALE DE LA CHAÎNE ARRYADIA</v>
          </cell>
          <cell r="V2670">
            <v>337130.5</v>
          </cell>
          <cell r="W2670" t="str">
            <v>Fonctionnement</v>
          </cell>
        </row>
        <row r="2671">
          <cell r="A2671">
            <v>2020</v>
          </cell>
          <cell r="D2671" t="str">
            <v>DIRECTION CENTRALE DE LA CHAÎNE ARRYADIA</v>
          </cell>
          <cell r="V2671">
            <v>337130.5</v>
          </cell>
          <cell r="W2671" t="str">
            <v>Fonctionnement</v>
          </cell>
        </row>
        <row r="2672">
          <cell r="A2672">
            <v>2020</v>
          </cell>
          <cell r="D2672" t="str">
            <v>DIRECTION CENTRALE DE LA CHAÎNE ARRYADIA</v>
          </cell>
          <cell r="V2672">
            <v>2111886</v>
          </cell>
          <cell r="W2672" t="str">
            <v>Fonctionnement</v>
          </cell>
        </row>
        <row r="2673">
          <cell r="A2673">
            <v>2020</v>
          </cell>
          <cell r="D2673" t="str">
            <v>DIRECTION CENTRALE DE LA CHAÎNE ARRYADIA</v>
          </cell>
          <cell r="V2673">
            <v>1162106.3999999999</v>
          </cell>
          <cell r="W2673" t="str">
            <v>Fonctionnement</v>
          </cell>
        </row>
        <row r="2674">
          <cell r="A2674">
            <v>2020</v>
          </cell>
          <cell r="D2674" t="str">
            <v>DIRECTION CENTRALE DE LA CHAÎNE ARRYADIA</v>
          </cell>
          <cell r="V2674">
            <v>594321</v>
          </cell>
          <cell r="W2674" t="str">
            <v>Fonctionnement</v>
          </cell>
        </row>
        <row r="2675">
          <cell r="A2675">
            <v>2020</v>
          </cell>
          <cell r="D2675" t="str">
            <v>DIRECTION CENTRALE DE LA CHAÎNE ARRYADIA</v>
          </cell>
          <cell r="V2675">
            <v>113142.48</v>
          </cell>
          <cell r="W2675" t="str">
            <v>Fonctionnement</v>
          </cell>
        </row>
        <row r="2676">
          <cell r="A2676">
            <v>2020</v>
          </cell>
          <cell r="D2676" t="str">
            <v>DIRECTION CENTRALE DE LA CHAÎNE ARRYADIA</v>
          </cell>
          <cell r="V2676">
            <v>113142.48</v>
          </cell>
          <cell r="W2676" t="str">
            <v>Fonctionnement</v>
          </cell>
        </row>
        <row r="2677">
          <cell r="A2677">
            <v>2020</v>
          </cell>
          <cell r="D2677" t="str">
            <v>DIRECTION CENTRALE DE LA CHAÎNE ARRYADIA</v>
          </cell>
          <cell r="V2677">
            <v>113142.48</v>
          </cell>
          <cell r="W2677" t="str">
            <v>Fonctionnement</v>
          </cell>
        </row>
        <row r="2678">
          <cell r="A2678">
            <v>2020</v>
          </cell>
          <cell r="D2678" t="str">
            <v>DIRECTION CENTRALE DE LA CHAÎNE ARRYADIA</v>
          </cell>
          <cell r="V2678">
            <v>113142.48</v>
          </cell>
          <cell r="W2678" t="str">
            <v>Fonctionnement</v>
          </cell>
        </row>
        <row r="2679">
          <cell r="A2679">
            <v>2020</v>
          </cell>
          <cell r="D2679" t="str">
            <v>DIRECTION CENTRALE DE LA CHAÎNE ARRYADIA</v>
          </cell>
          <cell r="V2679">
            <v>113142.48</v>
          </cell>
          <cell r="W2679" t="str">
            <v>Fonctionnement</v>
          </cell>
        </row>
        <row r="2680">
          <cell r="A2680">
            <v>2020</v>
          </cell>
          <cell r="D2680" t="str">
            <v>DIRECTION CENTRALE DE LA CHAÎNE ARRYADIA</v>
          </cell>
          <cell r="V2680">
            <v>113142.48</v>
          </cell>
          <cell r="W2680" t="str">
            <v>Fonctionnement</v>
          </cell>
        </row>
        <row r="2681">
          <cell r="A2681">
            <v>2020</v>
          </cell>
          <cell r="D2681" t="str">
            <v>DIRECTION CENTRALE DE LA CHAÎNE ARRYADIA</v>
          </cell>
          <cell r="V2681">
            <v>113142.48</v>
          </cell>
          <cell r="W2681" t="str">
            <v>Fonctionnement</v>
          </cell>
        </row>
        <row r="2682">
          <cell r="A2682">
            <v>2020</v>
          </cell>
          <cell r="D2682" t="str">
            <v>DIRECTION CENTRALE DE LA CHAÎNE ARRYADIA</v>
          </cell>
          <cell r="V2682">
            <v>113142.48</v>
          </cell>
          <cell r="W2682" t="str">
            <v>Fonctionnement</v>
          </cell>
        </row>
        <row r="2683">
          <cell r="A2683">
            <v>2020</v>
          </cell>
          <cell r="D2683" t="str">
            <v>DIRECTION CENTRALE DE LA CHAÎNE ARRYADIA</v>
          </cell>
          <cell r="V2683">
            <v>113142.48</v>
          </cell>
          <cell r="W2683" t="str">
            <v>Fonctionnement</v>
          </cell>
        </row>
        <row r="2684">
          <cell r="A2684">
            <v>2020</v>
          </cell>
          <cell r="D2684" t="str">
            <v>DIRECTION CENTRALE DE LA CHAÎNE ARRYADIA</v>
          </cell>
          <cell r="V2684">
            <v>113142.48</v>
          </cell>
          <cell r="W2684" t="str">
            <v>Fonctionnement</v>
          </cell>
        </row>
        <row r="2685">
          <cell r="A2685">
            <v>2020</v>
          </cell>
          <cell r="D2685" t="str">
            <v>DIRECTION CENTRALE DE LA CHAÎNE ARRYADIA</v>
          </cell>
          <cell r="V2685">
            <v>156000</v>
          </cell>
          <cell r="W2685" t="str">
            <v>Fonctionnement</v>
          </cell>
        </row>
        <row r="2686">
          <cell r="A2686">
            <v>2020</v>
          </cell>
          <cell r="D2686" t="str">
            <v>DIRECTION CENTRALE DE LA CHAÎNE ARRYADIA</v>
          </cell>
          <cell r="V2686">
            <v>113142.48</v>
          </cell>
          <cell r="W2686" t="str">
            <v>Fonctionnement</v>
          </cell>
        </row>
        <row r="2687">
          <cell r="A2687">
            <v>2020</v>
          </cell>
          <cell r="D2687" t="str">
            <v>DIRECTION CENTRALE DE LA CHAÎNE ARRYADIA</v>
          </cell>
          <cell r="V2687">
            <v>113142.48</v>
          </cell>
          <cell r="W2687" t="str">
            <v>Fonctionnement</v>
          </cell>
        </row>
        <row r="2688">
          <cell r="A2688">
            <v>2020</v>
          </cell>
          <cell r="D2688" t="str">
            <v>DIRECTION CENTRALE DE LA CHAÎNE ARRYADIA</v>
          </cell>
          <cell r="V2688">
            <v>113142.48</v>
          </cell>
          <cell r="W2688" t="str">
            <v>Fonctionnement</v>
          </cell>
        </row>
        <row r="2689">
          <cell r="A2689">
            <v>2020</v>
          </cell>
          <cell r="D2689" t="str">
            <v>DIRECTION CENTRALE DE LA CHAÎNE ARRYADIA</v>
          </cell>
          <cell r="V2689">
            <v>113142.48</v>
          </cell>
          <cell r="W2689" t="str">
            <v>Fonctionnement</v>
          </cell>
        </row>
        <row r="2690">
          <cell r="A2690">
            <v>2020</v>
          </cell>
          <cell r="D2690" t="str">
            <v>DIRECTION CENTRALE DE LA CHAÎNE ARRYADIA</v>
          </cell>
          <cell r="V2690">
            <v>113142.48</v>
          </cell>
          <cell r="W2690" t="str">
            <v>Fonctionnement</v>
          </cell>
        </row>
        <row r="2691">
          <cell r="A2691">
            <v>2020</v>
          </cell>
          <cell r="D2691" t="str">
            <v>DIRECTION CENTRALE DE LA CHAÎNE ARRYADIA</v>
          </cell>
          <cell r="V2691">
            <v>113142.48</v>
          </cell>
          <cell r="W2691" t="str">
            <v>Fonctionnement</v>
          </cell>
        </row>
        <row r="2692">
          <cell r="A2692">
            <v>2020</v>
          </cell>
          <cell r="D2692" t="str">
            <v>DIRECTION CENTRALE DE LA CHAÎNE ARRYADIA</v>
          </cell>
          <cell r="V2692">
            <v>113142.48</v>
          </cell>
          <cell r="W2692" t="str">
            <v>Fonctionnement</v>
          </cell>
        </row>
        <row r="2693">
          <cell r="A2693">
            <v>2020</v>
          </cell>
          <cell r="D2693" t="str">
            <v>DIRECTION CENTRALE DE LA CHAÎNE ARRYADIA</v>
          </cell>
          <cell r="V2693">
            <v>113142.48</v>
          </cell>
          <cell r="W2693" t="str">
            <v>Fonctionnement</v>
          </cell>
        </row>
        <row r="2694">
          <cell r="A2694">
            <v>2020</v>
          </cell>
          <cell r="D2694" t="str">
            <v>DIRECTION CENTRALE DE LA CHAÎNE ARRYADIA</v>
          </cell>
          <cell r="V2694">
            <v>113142.48</v>
          </cell>
          <cell r="W2694" t="str">
            <v>Fonctionnement</v>
          </cell>
        </row>
        <row r="2695">
          <cell r="A2695">
            <v>2020</v>
          </cell>
          <cell r="D2695" t="str">
            <v>DIRECTION CENTRALE DE LA CHAÎNE ARRYADIA</v>
          </cell>
          <cell r="V2695">
            <v>113142.48</v>
          </cell>
          <cell r="W2695" t="str">
            <v>Fonctionnement</v>
          </cell>
        </row>
        <row r="2696">
          <cell r="A2696">
            <v>2020</v>
          </cell>
          <cell r="D2696" t="str">
            <v>DIRECTION CENTRALE DE LA CHAÎNE ARRYADIA</v>
          </cell>
          <cell r="V2696">
            <v>156000</v>
          </cell>
          <cell r="W2696" t="str">
            <v>Fonctionnement</v>
          </cell>
        </row>
        <row r="2697">
          <cell r="A2697">
            <v>2020</v>
          </cell>
          <cell r="D2697" t="str">
            <v>DIRECTION CENTRALE DE LA CHAÎNE ARRYADIA</v>
          </cell>
          <cell r="V2697">
            <v>180000</v>
          </cell>
          <cell r="W2697" t="str">
            <v>Fonctionnement</v>
          </cell>
        </row>
        <row r="2698">
          <cell r="A2698">
            <v>2020</v>
          </cell>
          <cell r="D2698" t="str">
            <v>DIRECTION CENTRALE DE LA CHAÎNE ARRYADIA</v>
          </cell>
          <cell r="V2698">
            <v>180000</v>
          </cell>
          <cell r="W2698" t="str">
            <v>Fonctionnement</v>
          </cell>
        </row>
        <row r="2699">
          <cell r="A2699">
            <v>2020</v>
          </cell>
          <cell r="D2699" t="str">
            <v>DIRECTION CENTRALE DE LA CHAÎNE ARRYADIA</v>
          </cell>
          <cell r="V2699">
            <v>113142.48</v>
          </cell>
          <cell r="W2699" t="str">
            <v>Fonctionnement</v>
          </cell>
        </row>
        <row r="2700">
          <cell r="A2700">
            <v>2020</v>
          </cell>
          <cell r="D2700" t="str">
            <v>DIRECTION CENTRALE DE LA CHAÎNE ARRYADIA</v>
          </cell>
          <cell r="V2700">
            <v>132000</v>
          </cell>
          <cell r="W2700" t="str">
            <v>Fonctionnement</v>
          </cell>
        </row>
        <row r="2701">
          <cell r="A2701">
            <v>2020</v>
          </cell>
          <cell r="D2701" t="str">
            <v>DIRECTION CENTRALE DE LA CHAÎNE ARRYADIA</v>
          </cell>
          <cell r="V2701">
            <v>113142.48</v>
          </cell>
          <cell r="W2701" t="str">
            <v>Fonctionnement</v>
          </cell>
        </row>
        <row r="2702">
          <cell r="A2702">
            <v>2020</v>
          </cell>
          <cell r="D2702" t="str">
            <v>DIRECTION CENTRALE DE LA CHAÎNE ARRYADIA</v>
          </cell>
          <cell r="V2702">
            <v>113142.48</v>
          </cell>
          <cell r="W2702" t="str">
            <v>Fonctionnement</v>
          </cell>
        </row>
        <row r="2703">
          <cell r="A2703">
            <v>2020</v>
          </cell>
          <cell r="D2703" t="str">
            <v>DIRECTION CENTRALE DE LA CHAÎNE ARRYADIA</v>
          </cell>
          <cell r="V2703">
            <v>113142.48</v>
          </cell>
          <cell r="W2703" t="str">
            <v>Fonctionnement</v>
          </cell>
        </row>
        <row r="2704">
          <cell r="A2704">
            <v>2020</v>
          </cell>
          <cell r="D2704" t="str">
            <v>DIRECTION CENTRALE DE LA CHAÎNE ARRYADIA</v>
          </cell>
          <cell r="V2704">
            <v>113142.48</v>
          </cell>
          <cell r="W2704" t="str">
            <v>Fonctionnement</v>
          </cell>
        </row>
        <row r="2705">
          <cell r="A2705">
            <v>2020</v>
          </cell>
          <cell r="D2705" t="str">
            <v>DIRECTION CENTRALE DE LA CHAÎNE ARRYADIA</v>
          </cell>
          <cell r="V2705">
            <v>113142.48</v>
          </cell>
          <cell r="W2705" t="str">
            <v>Fonctionnement</v>
          </cell>
        </row>
        <row r="2706">
          <cell r="A2706">
            <v>2020</v>
          </cell>
          <cell r="D2706" t="str">
            <v>DIRECTION CENTRALE DE LA CHAÎNE ARRYADIA</v>
          </cell>
          <cell r="V2706">
            <v>171360</v>
          </cell>
          <cell r="W2706" t="str">
            <v>Fonctionnement</v>
          </cell>
        </row>
        <row r="2707">
          <cell r="A2707">
            <v>2020</v>
          </cell>
          <cell r="D2707" t="str">
            <v>DIRECTION CENTRALE DE LA CHAÎNE ARRYADIA</v>
          </cell>
          <cell r="V2707">
            <v>171360</v>
          </cell>
          <cell r="W2707" t="str">
            <v>Fonctionnement</v>
          </cell>
        </row>
        <row r="2708">
          <cell r="A2708">
            <v>2020</v>
          </cell>
          <cell r="D2708" t="str">
            <v>DIRECTION CENTRALE DE LA CHAÎNE ARRYADIA</v>
          </cell>
          <cell r="V2708">
            <v>150000</v>
          </cell>
          <cell r="W2708" t="str">
            <v>Fonctionnement</v>
          </cell>
        </row>
        <row r="2709">
          <cell r="A2709">
            <v>2020</v>
          </cell>
          <cell r="D2709" t="str">
            <v>DIRECTION CENTRALE DE LA CHAÎNE ARRYADIA</v>
          </cell>
          <cell r="V2709">
            <v>150000</v>
          </cell>
          <cell r="W2709" t="str">
            <v>Fonctionnement</v>
          </cell>
        </row>
        <row r="2710">
          <cell r="A2710">
            <v>2020</v>
          </cell>
          <cell r="D2710" t="str">
            <v>DIRECTION CENTRALE DE LA CHAÎNE ARRYADIA</v>
          </cell>
          <cell r="V2710">
            <v>150000</v>
          </cell>
          <cell r="W2710" t="str">
            <v>Fonctionnement</v>
          </cell>
        </row>
        <row r="2711">
          <cell r="A2711">
            <v>2020</v>
          </cell>
          <cell r="D2711" t="str">
            <v>DIRECTION CENTRALE DE LA CHAÎNE ARRYADIA</v>
          </cell>
          <cell r="V2711">
            <v>150000</v>
          </cell>
          <cell r="W2711" t="str">
            <v>Fonctionnement</v>
          </cell>
        </row>
        <row r="2712">
          <cell r="A2712">
            <v>2020</v>
          </cell>
          <cell r="D2712" t="str">
            <v>DIRECTION CENTRALE DE LA CHAÎNE ARRYADIA</v>
          </cell>
          <cell r="V2712">
            <v>150000</v>
          </cell>
          <cell r="W2712" t="str">
            <v>Fonctionnement</v>
          </cell>
        </row>
        <row r="2713">
          <cell r="A2713">
            <v>2020</v>
          </cell>
          <cell r="D2713" t="str">
            <v>DIRECTION CENTRALE DE LA CHAÎNE ARRYADIA</v>
          </cell>
          <cell r="V2713">
            <v>150000</v>
          </cell>
          <cell r="W2713" t="str">
            <v>Fonctionnement</v>
          </cell>
        </row>
        <row r="2714">
          <cell r="A2714">
            <v>2020</v>
          </cell>
          <cell r="D2714" t="str">
            <v>DIRECTION CENTRALE DE LA CHAÎNE ARRYADIA</v>
          </cell>
          <cell r="V2714">
            <v>56571.24</v>
          </cell>
          <cell r="W2714" t="str">
            <v>Fonctionnement</v>
          </cell>
        </row>
        <row r="2715">
          <cell r="A2715">
            <v>2020</v>
          </cell>
          <cell r="D2715" t="str">
            <v>DIRECTION CENTRALE DE LA CHAÎNE ARRYADIA</v>
          </cell>
          <cell r="V2715">
            <v>56571.24</v>
          </cell>
          <cell r="W2715" t="str">
            <v>Fonctionnement</v>
          </cell>
        </row>
        <row r="2716">
          <cell r="A2716">
            <v>2020</v>
          </cell>
          <cell r="D2716" t="str">
            <v>DIRECTION CENTRALE DE LA CHAÎNE ARRYADIA</v>
          </cell>
          <cell r="V2716">
            <v>56571.24</v>
          </cell>
          <cell r="W2716" t="str">
            <v>Fonctionnement</v>
          </cell>
        </row>
        <row r="2717">
          <cell r="A2717">
            <v>2020</v>
          </cell>
          <cell r="D2717" t="str">
            <v>DIRECTION CENTRALE DE LA CHAÎNE ARRYADIA</v>
          </cell>
          <cell r="V2717">
            <v>56571.24</v>
          </cell>
          <cell r="W2717" t="str">
            <v>Fonctionnement</v>
          </cell>
        </row>
        <row r="2718">
          <cell r="A2718">
            <v>2020</v>
          </cell>
          <cell r="D2718" t="str">
            <v>DIRECTION CENTRALE DE LA CHAÎNE ARRYADIA</v>
          </cell>
          <cell r="V2718">
            <v>56571.24</v>
          </cell>
          <cell r="W2718" t="str">
            <v>Fonctionnement</v>
          </cell>
        </row>
        <row r="2719">
          <cell r="A2719">
            <v>2020</v>
          </cell>
          <cell r="D2719" t="str">
            <v>DIRECTION CENTRALE DE LA CHAÎNE ARRYADIA</v>
          </cell>
          <cell r="V2719">
            <v>56571.24</v>
          </cell>
          <cell r="W2719" t="str">
            <v>Fonctionnement</v>
          </cell>
        </row>
        <row r="2720">
          <cell r="A2720">
            <v>2020</v>
          </cell>
          <cell r="D2720" t="str">
            <v>DIRECTION CENTRALE DE LA CHAÎNE ARRYADIA</v>
          </cell>
          <cell r="V2720">
            <v>56571.24</v>
          </cell>
          <cell r="W2720" t="str">
            <v>Fonctionnement</v>
          </cell>
        </row>
        <row r="2721">
          <cell r="A2721">
            <v>2020</v>
          </cell>
          <cell r="D2721" t="str">
            <v>DIRECTION CENTRALE DE LA CHAÎNE ARRYADIA</v>
          </cell>
          <cell r="V2721">
            <v>56571.24</v>
          </cell>
          <cell r="W2721" t="str">
            <v>Fonctionnement</v>
          </cell>
        </row>
        <row r="2722">
          <cell r="A2722">
            <v>2020</v>
          </cell>
          <cell r="D2722" t="str">
            <v>DIRECTION CENTRALE DE LA CHAÎNE ARRYADIA</v>
          </cell>
          <cell r="V2722">
            <v>75000</v>
          </cell>
          <cell r="W2722" t="str">
            <v>Fonctionnement</v>
          </cell>
        </row>
        <row r="2723">
          <cell r="A2723">
            <v>2020</v>
          </cell>
          <cell r="D2723" t="str">
            <v>DIRECTION CENTRALE DE LA CHAÎNE ARRYADIA</v>
          </cell>
          <cell r="V2723">
            <v>75000</v>
          </cell>
          <cell r="W2723" t="str">
            <v>Fonctionnement</v>
          </cell>
        </row>
        <row r="2724">
          <cell r="A2724">
            <v>2020</v>
          </cell>
          <cell r="D2724" t="str">
            <v>DIRECTION CENTRALE DE LA CHAÎNE ARRYADIA</v>
          </cell>
          <cell r="V2724">
            <v>75000</v>
          </cell>
          <cell r="W2724" t="str">
            <v>Fonctionnement</v>
          </cell>
        </row>
        <row r="2725">
          <cell r="A2725">
            <v>2020</v>
          </cell>
          <cell r="D2725" t="str">
            <v>DIRECTION CENTRALE DE LA CHAÎNE ARRYADIA</v>
          </cell>
          <cell r="V2725">
            <v>180000</v>
          </cell>
          <cell r="W2725" t="str">
            <v>Fonctionnement</v>
          </cell>
        </row>
        <row r="2726">
          <cell r="A2726">
            <v>2020</v>
          </cell>
          <cell r="D2726" t="str">
            <v>DIRECTION DES CHAÎNES CORANIQUES TV RADIO</v>
          </cell>
          <cell r="V2726">
            <v>227600</v>
          </cell>
          <cell r="W2726" t="str">
            <v>Fonctionnement</v>
          </cell>
        </row>
        <row r="2727">
          <cell r="A2727">
            <v>2020</v>
          </cell>
          <cell r="D2727" t="str">
            <v>DIRECTION DES CHAÎNES CORANIQUES TV RADIO</v>
          </cell>
          <cell r="V2727">
            <v>204000</v>
          </cell>
          <cell r="W2727" t="str">
            <v>Fonctionnement</v>
          </cell>
        </row>
        <row r="2728">
          <cell r="A2728">
            <v>2020</v>
          </cell>
          <cell r="D2728" t="str">
            <v>DIRECTION DES CHAÎNES CORANIQUES TV RADIO</v>
          </cell>
          <cell r="V2728">
            <v>138960</v>
          </cell>
          <cell r="W2728" t="str">
            <v>Fonctionnement</v>
          </cell>
        </row>
        <row r="2729">
          <cell r="A2729">
            <v>2020</v>
          </cell>
          <cell r="D2729" t="str">
            <v>DIRECTION DES CHAÎNES CORANIQUES TV RADIO</v>
          </cell>
          <cell r="V2729">
            <v>144000</v>
          </cell>
          <cell r="W2729" t="str">
            <v>Fonctionnement</v>
          </cell>
        </row>
        <row r="2730">
          <cell r="A2730">
            <v>2020</v>
          </cell>
          <cell r="D2730" t="str">
            <v>DIRECTION DES CHAÎNES CORANIQUES TV RADIO</v>
          </cell>
          <cell r="V2730">
            <v>110000</v>
          </cell>
          <cell r="W2730" t="str">
            <v>Fonctionnement</v>
          </cell>
        </row>
        <row r="2731">
          <cell r="A2731">
            <v>2020</v>
          </cell>
          <cell r="D2731" t="str">
            <v>DIRECTION DES CHAÎNES CORANIQUES TV RADIO</v>
          </cell>
          <cell r="V2731">
            <v>178000</v>
          </cell>
          <cell r="W2731" t="str">
            <v>Fonctionnement</v>
          </cell>
        </row>
        <row r="2732">
          <cell r="A2732">
            <v>2020</v>
          </cell>
          <cell r="D2732" t="str">
            <v>DIRECTION DES CHAÎNES CORANIQUES TV RADIO</v>
          </cell>
          <cell r="V2732">
            <v>74285.64</v>
          </cell>
          <cell r="W2732" t="str">
            <v>Fonctionnement</v>
          </cell>
        </row>
        <row r="2733">
          <cell r="A2733">
            <v>2020</v>
          </cell>
          <cell r="D2733" t="str">
            <v>DIRECTION DES CHAÎNES CORANIQUES TV RADIO</v>
          </cell>
          <cell r="V2733">
            <v>208000</v>
          </cell>
          <cell r="W2733" t="str">
            <v>Fonctionnement</v>
          </cell>
        </row>
        <row r="2734">
          <cell r="A2734">
            <v>2020</v>
          </cell>
          <cell r="D2734" t="str">
            <v>DIRECTION DES CHAÎNES CORANIQUES TV RADIO</v>
          </cell>
          <cell r="V2734">
            <v>297142.56</v>
          </cell>
          <cell r="W2734" t="str">
            <v>Fonctionnement</v>
          </cell>
        </row>
        <row r="2735">
          <cell r="A2735">
            <v>2020</v>
          </cell>
          <cell r="D2735" t="str">
            <v>DIRECTION DES CHAÎNES CORANIQUES TV RADIO</v>
          </cell>
          <cell r="V2735">
            <v>407383.24</v>
          </cell>
          <cell r="W2735" t="str">
            <v>Fonctionnement</v>
          </cell>
        </row>
        <row r="2736">
          <cell r="A2736">
            <v>2020</v>
          </cell>
          <cell r="D2736" t="str">
            <v>DIRECTION DES CHAÎNES CORANIQUES TV RADIO</v>
          </cell>
          <cell r="V2736">
            <v>57142</v>
          </cell>
          <cell r="W2736" t="str">
            <v>Fonctionnement</v>
          </cell>
        </row>
        <row r="2737">
          <cell r="A2737">
            <v>2020</v>
          </cell>
          <cell r="D2737" t="str">
            <v>DIRECTION DES CHAÎNES CORANIQUES TV RADIO</v>
          </cell>
          <cell r="V2737">
            <v>297142.56</v>
          </cell>
          <cell r="W2737" t="str">
            <v>Fonctionnement</v>
          </cell>
        </row>
        <row r="2738">
          <cell r="A2738">
            <v>2020</v>
          </cell>
          <cell r="D2738" t="str">
            <v>DIRECTION DES CHAÎNES CORANIQUES TV RADIO</v>
          </cell>
          <cell r="V2738">
            <v>297142.56</v>
          </cell>
          <cell r="W2738" t="str">
            <v>Fonctionnement</v>
          </cell>
        </row>
        <row r="2739">
          <cell r="A2739">
            <v>2020</v>
          </cell>
          <cell r="D2739" t="str">
            <v>DIRECTION DES CHAÎNES CORANIQUES TV RADIO</v>
          </cell>
          <cell r="V2739">
            <v>72000</v>
          </cell>
          <cell r="W2739" t="str">
            <v>Fonctionnement</v>
          </cell>
        </row>
        <row r="2740">
          <cell r="A2740">
            <v>2020</v>
          </cell>
          <cell r="D2740" t="str">
            <v>DIRECTION DES CHAÎNES CORANIQUES TV RADIO</v>
          </cell>
          <cell r="V2740">
            <v>393100</v>
          </cell>
          <cell r="W2740" t="str">
            <v>Fonctionnement</v>
          </cell>
        </row>
        <row r="2741">
          <cell r="A2741">
            <v>2020</v>
          </cell>
          <cell r="D2741" t="str">
            <v>DIRECTION DES CHAÎNES CORANIQUES TV RADIO</v>
          </cell>
          <cell r="V2741">
            <v>265000</v>
          </cell>
          <cell r="W2741" t="str">
            <v>Fonctionnement</v>
          </cell>
        </row>
        <row r="2742">
          <cell r="A2742">
            <v>2020</v>
          </cell>
          <cell r="D2742" t="str">
            <v>DIRECTION DES CHAÎNES CORANIQUES TV RADIO</v>
          </cell>
          <cell r="V2742">
            <v>51600</v>
          </cell>
          <cell r="W2742" t="str">
            <v>Fonctionnement</v>
          </cell>
        </row>
        <row r="2743">
          <cell r="A2743">
            <v>2020</v>
          </cell>
          <cell r="D2743" t="str">
            <v>DIRECTION DES CHAÎNES CORANIQUES TV RADIO</v>
          </cell>
          <cell r="V2743">
            <v>297142.56</v>
          </cell>
          <cell r="W2743" t="str">
            <v>Fonctionnement</v>
          </cell>
        </row>
        <row r="2744">
          <cell r="A2744">
            <v>2020</v>
          </cell>
          <cell r="D2744" t="str">
            <v>DIRECTION DES CHAÎNES CORANIQUES TV RADIO</v>
          </cell>
          <cell r="V2744">
            <v>60000</v>
          </cell>
          <cell r="W2744" t="str">
            <v>Fonctionnement</v>
          </cell>
        </row>
        <row r="2745">
          <cell r="A2745">
            <v>2020</v>
          </cell>
          <cell r="D2745" t="str">
            <v>DIRECTION DES CHAÎNES CORANIQUES TV RADIO</v>
          </cell>
          <cell r="V2745">
            <v>60000</v>
          </cell>
          <cell r="W2745" t="str">
            <v>Fonctionnement</v>
          </cell>
        </row>
        <row r="2746">
          <cell r="A2746">
            <v>2020</v>
          </cell>
          <cell r="D2746" t="str">
            <v>DIRECTION DES CHAÎNES CORANIQUES TV RADIO</v>
          </cell>
          <cell r="V2746">
            <v>120000</v>
          </cell>
          <cell r="W2746" t="str">
            <v>Fonctionnement</v>
          </cell>
        </row>
        <row r="2747">
          <cell r="A2747">
            <v>2020</v>
          </cell>
          <cell r="D2747" t="str">
            <v>DIRECTION DES CHAÎNES CORANIQUES TV RADIO</v>
          </cell>
          <cell r="V2747">
            <v>102000</v>
          </cell>
          <cell r="W2747" t="str">
            <v>Fonctionnement</v>
          </cell>
        </row>
        <row r="2748">
          <cell r="A2748">
            <v>2020</v>
          </cell>
          <cell r="D2748" t="str">
            <v>DIRECTION DES CHAÎNES CORANIQUES TV RADIO</v>
          </cell>
          <cell r="V2748">
            <v>70000</v>
          </cell>
          <cell r="W2748" t="str">
            <v>Fonctionnement</v>
          </cell>
        </row>
        <row r="2749">
          <cell r="A2749">
            <v>2020</v>
          </cell>
          <cell r="D2749" t="str">
            <v>DIRECTION DES CHAÎNES CORANIQUES TV RADIO</v>
          </cell>
          <cell r="V2749">
            <v>228571.2</v>
          </cell>
          <cell r="W2749" t="str">
            <v>Fonctionnement</v>
          </cell>
        </row>
        <row r="2750">
          <cell r="A2750">
            <v>2020</v>
          </cell>
          <cell r="D2750" t="str">
            <v>DIRECTION DES CHAÎNES CORANIQUES TV RADIO</v>
          </cell>
          <cell r="V2750">
            <v>228571.2</v>
          </cell>
          <cell r="W2750" t="str">
            <v>Fonctionnement</v>
          </cell>
        </row>
        <row r="2751">
          <cell r="A2751">
            <v>2020</v>
          </cell>
          <cell r="D2751" t="str">
            <v>DIRECTION DES CHAÎNES CORANIQUES TV RADIO</v>
          </cell>
          <cell r="V2751">
            <v>320000</v>
          </cell>
          <cell r="W2751" t="str">
            <v>Fonctionnement</v>
          </cell>
        </row>
        <row r="2752">
          <cell r="A2752">
            <v>2020</v>
          </cell>
          <cell r="D2752" t="str">
            <v>DIRECTION DES CHAÎNES CORANIQUES TV RADIO</v>
          </cell>
          <cell r="V2752">
            <v>342857.1</v>
          </cell>
          <cell r="W2752" t="str">
            <v>Fonctionnement</v>
          </cell>
        </row>
        <row r="2753">
          <cell r="A2753">
            <v>2020</v>
          </cell>
          <cell r="D2753" t="str">
            <v>DIRECTION DES CHAÎNES CORANIQUES TV RADIO</v>
          </cell>
          <cell r="V2753">
            <v>480000</v>
          </cell>
          <cell r="W2753" t="str">
            <v>Fonctionnement</v>
          </cell>
        </row>
        <row r="2754">
          <cell r="A2754">
            <v>2020</v>
          </cell>
          <cell r="D2754" t="str">
            <v>DIRECTION DES CHAÎNES CORANIQUES TV RADIO</v>
          </cell>
          <cell r="V2754">
            <v>200000</v>
          </cell>
          <cell r="W2754" t="str">
            <v>Fonctionnement</v>
          </cell>
        </row>
        <row r="2755">
          <cell r="A2755">
            <v>2020</v>
          </cell>
          <cell r="D2755" t="str">
            <v>DIRECTION DES CHAÎNES CORANIQUES TV RADIO</v>
          </cell>
          <cell r="V2755">
            <v>38700</v>
          </cell>
          <cell r="W2755" t="str">
            <v>Fonctionnement</v>
          </cell>
        </row>
        <row r="2756">
          <cell r="A2756">
            <v>2020</v>
          </cell>
          <cell r="D2756" t="str">
            <v>DIRECTION DES CHAÎNES CORANIQUES TV RADIO</v>
          </cell>
          <cell r="V2756">
            <v>11700</v>
          </cell>
          <cell r="W2756" t="str">
            <v>Fonctionnement</v>
          </cell>
        </row>
        <row r="2757">
          <cell r="A2757">
            <v>2020</v>
          </cell>
          <cell r="D2757" t="str">
            <v>DIRECTION DES CHAÎNES CORANIQUES TV RADIO</v>
          </cell>
          <cell r="V2757">
            <v>27000</v>
          </cell>
          <cell r="W2757" t="str">
            <v>Fonctionnement</v>
          </cell>
        </row>
        <row r="2758">
          <cell r="A2758">
            <v>2020</v>
          </cell>
          <cell r="D2758" t="str">
            <v>DIRECTION DES CHAÎNES CORANIQUES TV RADIO</v>
          </cell>
          <cell r="V2758">
            <v>38700</v>
          </cell>
          <cell r="W2758" t="str">
            <v>Fonctionnement</v>
          </cell>
        </row>
        <row r="2759">
          <cell r="A2759">
            <v>2020</v>
          </cell>
          <cell r="D2759" t="str">
            <v>DIRECTION DES CHAÎNES CORANIQUES TV RADIO</v>
          </cell>
          <cell r="V2759">
            <v>38700</v>
          </cell>
          <cell r="W2759" t="str">
            <v>Fonctionnement</v>
          </cell>
        </row>
        <row r="2760">
          <cell r="A2760">
            <v>2020</v>
          </cell>
          <cell r="D2760" t="str">
            <v>DIRECTION DES CHAÎNES CORANIQUES TV RADIO</v>
          </cell>
          <cell r="V2760">
            <v>38700</v>
          </cell>
          <cell r="W2760" t="str">
            <v>Fonctionnement</v>
          </cell>
        </row>
        <row r="2761">
          <cell r="A2761">
            <v>2020</v>
          </cell>
          <cell r="D2761" t="str">
            <v>DIRECTION DES CHAÎNES CORANIQUES TV RADIO</v>
          </cell>
          <cell r="V2761">
            <v>34285.599999999999</v>
          </cell>
          <cell r="W2761" t="str">
            <v>Fonctionnement</v>
          </cell>
        </row>
        <row r="2762">
          <cell r="A2762">
            <v>2020</v>
          </cell>
          <cell r="D2762" t="str">
            <v>DIRECTION DES CHAÎNES CORANIQUES TV RADIO</v>
          </cell>
          <cell r="V2762">
            <v>34285.14</v>
          </cell>
          <cell r="W2762" t="str">
            <v>Fonctionnement</v>
          </cell>
        </row>
        <row r="2763">
          <cell r="A2763">
            <v>2020</v>
          </cell>
          <cell r="D2763" t="str">
            <v>DIRECTION DES CHAÎNES CORANIQUES TV RADIO</v>
          </cell>
          <cell r="V2763">
            <v>34285.599999999999</v>
          </cell>
          <cell r="W2763" t="str">
            <v>Fonctionnement</v>
          </cell>
        </row>
        <row r="2764">
          <cell r="A2764">
            <v>2020</v>
          </cell>
          <cell r="D2764" t="str">
            <v>DIRECTION DES CHAÎNES CORANIQUES TV RADIO</v>
          </cell>
          <cell r="V2764">
            <v>34285.599999999999</v>
          </cell>
          <cell r="W2764" t="str">
            <v>Fonctionnement</v>
          </cell>
        </row>
        <row r="2765">
          <cell r="A2765">
            <v>2020</v>
          </cell>
          <cell r="D2765" t="str">
            <v>DIRECTION DES CHAÎNES CORANIQUES TV RADIO</v>
          </cell>
          <cell r="V2765">
            <v>34285.599999999999</v>
          </cell>
          <cell r="W2765" t="str">
            <v>Fonctionnement</v>
          </cell>
        </row>
        <row r="2766">
          <cell r="A2766">
            <v>2020</v>
          </cell>
          <cell r="D2766" t="str">
            <v>DIRECTION DES CHAÎNES CORANIQUES TV RADIO</v>
          </cell>
          <cell r="V2766">
            <v>34285.599999999999</v>
          </cell>
          <cell r="W2766" t="str">
            <v>Fonctionnement</v>
          </cell>
        </row>
        <row r="2767">
          <cell r="A2767">
            <v>2020</v>
          </cell>
          <cell r="D2767" t="str">
            <v>DIRECTION DES CHAÎNES CORANIQUES TV RADIO</v>
          </cell>
          <cell r="V2767">
            <v>34285.599999999999</v>
          </cell>
          <cell r="W2767" t="str">
            <v>Fonctionnement</v>
          </cell>
        </row>
        <row r="2768">
          <cell r="A2768">
            <v>2020</v>
          </cell>
          <cell r="D2768" t="str">
            <v>DIRECTION DES CHAÎNES CORANIQUES TV RADIO</v>
          </cell>
          <cell r="V2768">
            <v>34285.599999999999</v>
          </cell>
          <cell r="W2768" t="str">
            <v>Fonctionnement</v>
          </cell>
        </row>
        <row r="2769">
          <cell r="A2769">
            <v>2020</v>
          </cell>
          <cell r="D2769" t="str">
            <v>DIRECTION DES CHAÎNES CORANIQUES TV RADIO</v>
          </cell>
          <cell r="V2769">
            <v>59999.8</v>
          </cell>
          <cell r="W2769" t="str">
            <v>Fonctionnement</v>
          </cell>
        </row>
        <row r="2770">
          <cell r="A2770">
            <v>2020</v>
          </cell>
          <cell r="D2770" t="str">
            <v>DIRECTION DES CHAÎNES CORANIQUES TV RADIO</v>
          </cell>
          <cell r="V2770">
            <v>34285.599999999999</v>
          </cell>
          <cell r="W2770" t="str">
            <v>Fonctionnement</v>
          </cell>
        </row>
        <row r="2771">
          <cell r="A2771">
            <v>2020</v>
          </cell>
          <cell r="D2771" t="str">
            <v>DIRECTION DES CHAÎNES CORANIQUES TV RADIO</v>
          </cell>
          <cell r="V2771">
            <v>22857.119999999999</v>
          </cell>
          <cell r="W2771" t="str">
            <v>Fonctionnement</v>
          </cell>
        </row>
        <row r="2772">
          <cell r="A2772">
            <v>2020</v>
          </cell>
          <cell r="D2772" t="str">
            <v>DIRECTION DES CHAÎNES CORANIQUES TV RADIO</v>
          </cell>
          <cell r="V2772">
            <v>15714.27</v>
          </cell>
          <cell r="W2772" t="str">
            <v>Fonctionnement</v>
          </cell>
        </row>
        <row r="2773">
          <cell r="A2773">
            <v>2020</v>
          </cell>
          <cell r="D2773" t="str">
            <v>DIRECTION DES CHAÎNES CORANIQUES TV RADIO</v>
          </cell>
          <cell r="V2773">
            <v>15714.27</v>
          </cell>
          <cell r="W2773" t="str">
            <v>Fonctionnement</v>
          </cell>
        </row>
        <row r="2774">
          <cell r="A2774">
            <v>2020</v>
          </cell>
          <cell r="D2774" t="str">
            <v>DIRECTION DES CHAÎNES CORANIQUES TV RADIO</v>
          </cell>
          <cell r="V2774">
            <v>25714.26</v>
          </cell>
          <cell r="W2774" t="str">
            <v>Fonctionnement</v>
          </cell>
        </row>
        <row r="2775">
          <cell r="A2775">
            <v>2020</v>
          </cell>
          <cell r="D2775" t="str">
            <v>DIRECTION DES CHAÎNES CORANIQUES TV RADIO</v>
          </cell>
          <cell r="V2775">
            <v>14285.7</v>
          </cell>
          <cell r="W2775" t="str">
            <v>Fonctionnement</v>
          </cell>
        </row>
        <row r="2776">
          <cell r="A2776">
            <v>2020</v>
          </cell>
          <cell r="D2776" t="str">
            <v>DIRECTION DES CHAÎNES CORANIQUES TV RADIO</v>
          </cell>
          <cell r="V2776">
            <v>8571.42</v>
          </cell>
          <cell r="W2776" t="str">
            <v>Fonctionnement</v>
          </cell>
        </row>
        <row r="2777">
          <cell r="A2777">
            <v>2020</v>
          </cell>
          <cell r="D2777" t="str">
            <v>DIRECTION DES CHAÎNES CORANIQUES TV RADIO</v>
          </cell>
          <cell r="V2777">
            <v>864000</v>
          </cell>
          <cell r="W2777" t="str">
            <v>Fonctionnement</v>
          </cell>
        </row>
        <row r="2778">
          <cell r="A2778">
            <v>2020</v>
          </cell>
          <cell r="D2778" t="str">
            <v>DIRECTION DE LA QUATRIEME</v>
          </cell>
          <cell r="V2778">
            <v>152532</v>
          </cell>
          <cell r="W2778" t="str">
            <v>Fonctionnement</v>
          </cell>
        </row>
        <row r="2779">
          <cell r="A2779">
            <v>2020</v>
          </cell>
          <cell r="D2779" t="str">
            <v>DIRECTION DES ACHATS</v>
          </cell>
          <cell r="V2779">
            <v>3600</v>
          </cell>
          <cell r="W2779" t="str">
            <v>Fonctionnement</v>
          </cell>
        </row>
        <row r="2780">
          <cell r="A2780">
            <v>2020</v>
          </cell>
          <cell r="D2780" t="str">
            <v>DIRECTION DES ACHATS</v>
          </cell>
          <cell r="V2780">
            <v>240000</v>
          </cell>
          <cell r="W2780" t="str">
            <v>Fonctionnement</v>
          </cell>
        </row>
        <row r="2781">
          <cell r="A2781">
            <v>2020</v>
          </cell>
          <cell r="D2781" t="str">
            <v>DIRECTION DES ACHATS</v>
          </cell>
          <cell r="V2781">
            <v>240000</v>
          </cell>
          <cell r="W2781" t="str">
            <v>Fonctionnement</v>
          </cell>
        </row>
        <row r="2782">
          <cell r="A2782">
            <v>2020</v>
          </cell>
          <cell r="D2782" t="str">
            <v>DIRECTION DES ACHATS</v>
          </cell>
          <cell r="V2782">
            <v>240000</v>
          </cell>
          <cell r="W2782" t="str">
            <v>Fonctionnement</v>
          </cell>
        </row>
        <row r="2783">
          <cell r="A2783">
            <v>2020</v>
          </cell>
          <cell r="D2783" t="str">
            <v>DIRECTION DES ACHATS</v>
          </cell>
          <cell r="V2783">
            <v>33333.33</v>
          </cell>
          <cell r="W2783" t="str">
            <v>Fonctionnement</v>
          </cell>
        </row>
        <row r="2784">
          <cell r="A2784">
            <v>2020</v>
          </cell>
          <cell r="D2784" t="str">
            <v>DIRECTION DE L'AUDIT ET DU CONTRÔLE DE LA GESTION</v>
          </cell>
          <cell r="V2784">
            <v>99750</v>
          </cell>
          <cell r="W2784" t="str">
            <v>Fonctionnement</v>
          </cell>
        </row>
        <row r="2785">
          <cell r="A2785">
            <v>2020</v>
          </cell>
          <cell r="D2785" t="str">
            <v>DIRECTION JURIDIQUE</v>
          </cell>
          <cell r="V2785">
            <v>4537.5</v>
          </cell>
          <cell r="W2785" t="str">
            <v>Fonctionnement</v>
          </cell>
        </row>
        <row r="2786">
          <cell r="A2786">
            <v>2020</v>
          </cell>
          <cell r="D2786" t="str">
            <v>DIRECTION JURIDIQUE</v>
          </cell>
          <cell r="V2786">
            <v>49912.5</v>
          </cell>
          <cell r="W2786" t="str">
            <v>Fonctionnement</v>
          </cell>
        </row>
        <row r="2787">
          <cell r="A2787">
            <v>2020</v>
          </cell>
          <cell r="D2787" t="str">
            <v>DIRECTION JURIDIQUE</v>
          </cell>
          <cell r="V2787">
            <v>54450</v>
          </cell>
          <cell r="W2787" t="str">
            <v>Fonctionnement</v>
          </cell>
        </row>
        <row r="2788">
          <cell r="A2788">
            <v>2020</v>
          </cell>
          <cell r="D2788" t="str">
            <v>DIRECTION DU PATRIMOINE  ET DES MOYENS GENERAUX</v>
          </cell>
          <cell r="V2788">
            <v>930072</v>
          </cell>
          <cell r="W2788" t="str">
            <v>Fonctionnement</v>
          </cell>
        </row>
        <row r="2789">
          <cell r="A2789">
            <v>2020</v>
          </cell>
          <cell r="D2789" t="str">
            <v>DIRECTION DU PATRIMOINE  ET DES MOYENS GENERAUX</v>
          </cell>
          <cell r="V2789">
            <v>406132.86</v>
          </cell>
          <cell r="W2789" t="str">
            <v>Fonctionnement</v>
          </cell>
        </row>
        <row r="2790">
          <cell r="A2790">
            <v>2020</v>
          </cell>
          <cell r="D2790" t="str">
            <v>DIRECTION DU PATRIMOINE  ET DES MOYENS GENERAUX</v>
          </cell>
          <cell r="V2790">
            <v>7000</v>
          </cell>
          <cell r="W2790" t="str">
            <v>Fonctionnement</v>
          </cell>
        </row>
        <row r="2791">
          <cell r="A2791">
            <v>2020</v>
          </cell>
          <cell r="D2791" t="str">
            <v>DIRECTION DU PATRIMOINE  ET DES MOYENS GENERAUX</v>
          </cell>
          <cell r="V2791">
            <v>318</v>
          </cell>
          <cell r="W2791" t="str">
            <v>Fonctionnement</v>
          </cell>
        </row>
        <row r="2792">
          <cell r="A2792">
            <v>2020</v>
          </cell>
          <cell r="D2792" t="str">
            <v>DIRECTION DU PATRIMOINE  ET DES MOYENS GENERAUX</v>
          </cell>
          <cell r="V2792">
            <v>137142.84</v>
          </cell>
          <cell r="W2792" t="str">
            <v>Fonctionnement</v>
          </cell>
        </row>
        <row r="2793">
          <cell r="A2793">
            <v>2020</v>
          </cell>
          <cell r="D2793" t="str">
            <v>DIRECTION DU PATRIMOINE  ET DES MOYENS GENERAUX</v>
          </cell>
          <cell r="V2793">
            <v>77142.84</v>
          </cell>
          <cell r="W2793" t="str">
            <v>Fonctionnement</v>
          </cell>
        </row>
        <row r="2794">
          <cell r="A2794">
            <v>2020</v>
          </cell>
          <cell r="D2794" t="str">
            <v>DIRECTION DU PATRIMOINE  ET DES MOYENS GENERAUX</v>
          </cell>
          <cell r="V2794">
            <v>102857.16</v>
          </cell>
          <cell r="W2794" t="str">
            <v>Fonctionnement</v>
          </cell>
        </row>
        <row r="2795">
          <cell r="A2795">
            <v>2020</v>
          </cell>
          <cell r="D2795" t="str">
            <v>DIRECTION DU PATRIMOINE  ET DES MOYENS GENERAUX</v>
          </cell>
          <cell r="V2795">
            <v>363895</v>
          </cell>
          <cell r="W2795" t="str">
            <v>Fonctionnement</v>
          </cell>
        </row>
        <row r="2796">
          <cell r="A2796">
            <v>2020</v>
          </cell>
          <cell r="D2796" t="str">
            <v>DIRECTION DU PATRIMOINE  ET DES MOYENS GENERAUX</v>
          </cell>
          <cell r="V2796">
            <v>69996</v>
          </cell>
          <cell r="W2796" t="str">
            <v>Fonctionnement</v>
          </cell>
        </row>
        <row r="2797">
          <cell r="A2797">
            <v>2020</v>
          </cell>
          <cell r="D2797" t="str">
            <v>DIRECTION DU PATRIMOINE  ET DES MOYENS GENERAUX</v>
          </cell>
          <cell r="V2797">
            <v>4701.5999999999995</v>
          </cell>
          <cell r="W2797" t="str">
            <v>Fonctionnement</v>
          </cell>
        </row>
        <row r="2798">
          <cell r="A2798">
            <v>2020</v>
          </cell>
          <cell r="D2798" t="str">
            <v>DIRECTION DE L’INFORMATION TV</v>
          </cell>
          <cell r="V2798">
            <v>74400</v>
          </cell>
          <cell r="W2798" t="str">
            <v>Fonctionnement</v>
          </cell>
        </row>
        <row r="2799">
          <cell r="A2799">
            <v>2020</v>
          </cell>
          <cell r="D2799" t="str">
            <v>DIRECTION DE L’INFORMATION TV</v>
          </cell>
          <cell r="V2799">
            <v>105000</v>
          </cell>
          <cell r="W2799" t="str">
            <v>Fonctionnement</v>
          </cell>
        </row>
        <row r="2800">
          <cell r="A2800">
            <v>2020</v>
          </cell>
          <cell r="D2800" t="str">
            <v>DIRECTION DE L’INFORMATION TV</v>
          </cell>
          <cell r="V2800">
            <v>107375.65</v>
          </cell>
          <cell r="W2800" t="str">
            <v>Fonctionnement</v>
          </cell>
        </row>
        <row r="2801">
          <cell r="A2801">
            <v>2020</v>
          </cell>
          <cell r="D2801" t="str">
            <v>DIRECTION DE L’INFORMATION TV</v>
          </cell>
          <cell r="V2801">
            <v>107375.65</v>
          </cell>
          <cell r="W2801" t="str">
            <v>Fonctionnement</v>
          </cell>
        </row>
        <row r="2802">
          <cell r="A2802">
            <v>2020</v>
          </cell>
          <cell r="D2802" t="str">
            <v>DIRECTION DE L’INFORMATION TV</v>
          </cell>
          <cell r="V2802">
            <v>105000</v>
          </cell>
          <cell r="W2802" t="str">
            <v>Fonctionnement</v>
          </cell>
        </row>
        <row r="2803">
          <cell r="A2803">
            <v>2020</v>
          </cell>
          <cell r="D2803" t="str">
            <v>DIRECTION DE L’INFORMATION TV</v>
          </cell>
          <cell r="V2803">
            <v>74400</v>
          </cell>
          <cell r="W2803" t="str">
            <v>Fonctionnement</v>
          </cell>
        </row>
        <row r="2804">
          <cell r="A2804">
            <v>2020</v>
          </cell>
          <cell r="D2804" t="str">
            <v>DIRECTION TECHNIQUE</v>
          </cell>
          <cell r="V2804">
            <v>84000</v>
          </cell>
          <cell r="W2804" t="str">
            <v>Fonctionnement</v>
          </cell>
        </row>
        <row r="2805">
          <cell r="A2805">
            <v>2020</v>
          </cell>
          <cell r="D2805" t="str">
            <v>DIRECTION TECHNIQUE</v>
          </cell>
          <cell r="V2805">
            <v>74400</v>
          </cell>
          <cell r="W2805" t="str">
            <v>Fonctionnement</v>
          </cell>
        </row>
        <row r="2806">
          <cell r="A2806">
            <v>2020</v>
          </cell>
          <cell r="D2806" t="str">
            <v>DIRECTION TECHNIQUE</v>
          </cell>
          <cell r="V2806">
            <v>37200</v>
          </cell>
          <cell r="W2806" t="str">
            <v>Fonctionnement</v>
          </cell>
        </row>
        <row r="2807">
          <cell r="A2807">
            <v>2020</v>
          </cell>
          <cell r="D2807" t="str">
            <v>DIRECTION DES RESSOURCES HUMAINES</v>
          </cell>
          <cell r="V2807">
            <v>1955800</v>
          </cell>
          <cell r="W2807" t="str">
            <v>Fonctionnement</v>
          </cell>
        </row>
        <row r="2808">
          <cell r="A2808">
            <v>2020</v>
          </cell>
          <cell r="D2808" t="str">
            <v>DIRECTION DES RESSOURCES HUMAINES</v>
          </cell>
          <cell r="V2808">
            <v>516240</v>
          </cell>
          <cell r="W2808" t="str">
            <v>Fonctionnement</v>
          </cell>
        </row>
        <row r="2809">
          <cell r="A2809">
            <v>2020</v>
          </cell>
          <cell r="D2809" t="str">
            <v>DIRECTION DES RESSOURCES HUMAINES</v>
          </cell>
          <cell r="W2809" t="str">
            <v>Fonctionnement</v>
          </cell>
        </row>
        <row r="2810">
          <cell r="A2810">
            <v>2020</v>
          </cell>
          <cell r="D2810" t="str">
            <v>DIRECTION DES RESSOURCES HUMAINES</v>
          </cell>
          <cell r="V2810">
            <v>651367.19999999995</v>
          </cell>
          <cell r="W2810" t="str">
            <v>Fonctionnement</v>
          </cell>
        </row>
        <row r="2811">
          <cell r="A2811">
            <v>2020</v>
          </cell>
          <cell r="D2811" t="str">
            <v>DIRECTION DES RESSOURCES HUMAINES</v>
          </cell>
          <cell r="V2811">
            <v>579600</v>
          </cell>
          <cell r="W2811" t="str">
            <v>Fonctionnement</v>
          </cell>
        </row>
        <row r="2812">
          <cell r="A2812">
            <v>2020</v>
          </cell>
          <cell r="D2812" t="str">
            <v>DIRECTION DES RESSOURCES HUMAINES</v>
          </cell>
          <cell r="W2812" t="str">
            <v>Fonctionnement</v>
          </cell>
        </row>
        <row r="2813">
          <cell r="A2813">
            <v>2020</v>
          </cell>
          <cell r="D2813" t="str">
            <v>DIRECTION CHARGEE DES RELATIONS INTERNATIONALES</v>
          </cell>
          <cell r="V2813">
            <v>12338.94</v>
          </cell>
          <cell r="W2813" t="str">
            <v>Fonctionnement</v>
          </cell>
        </row>
        <row r="2814">
          <cell r="A2814">
            <v>2020</v>
          </cell>
          <cell r="D2814" t="str">
            <v>DIRECTION CHARGEE DES RELATIONS INTERNATIONALES</v>
          </cell>
          <cell r="V2814">
            <v>2432718.88</v>
          </cell>
          <cell r="W2814" t="str">
            <v>Fonctionnement</v>
          </cell>
        </row>
        <row r="2815">
          <cell r="A2815">
            <v>2020</v>
          </cell>
          <cell r="D2815" t="str">
            <v>DIRECTION CHARGEE DES RELATIONS INTERNATIONALES</v>
          </cell>
          <cell r="V2815">
            <v>1094832.71</v>
          </cell>
          <cell r="W2815" t="str">
            <v>Fonctionnement</v>
          </cell>
        </row>
        <row r="2816">
          <cell r="A2816">
            <v>2020</v>
          </cell>
          <cell r="D2816" t="str">
            <v>DIRECTION CHARGEE DES RELATIONS INTERNATIONALES</v>
          </cell>
          <cell r="V2816">
            <v>139574.5</v>
          </cell>
          <cell r="W2816" t="str">
            <v>Fonctionnement</v>
          </cell>
        </row>
        <row r="2817">
          <cell r="A2817">
            <v>2020</v>
          </cell>
          <cell r="D2817" t="str">
            <v>DIRECTION CHARGEE DES RELATIONS INTERNATIONALES</v>
          </cell>
          <cell r="V2817">
            <v>287637</v>
          </cell>
          <cell r="W2817" t="str">
            <v>Fonctionnement</v>
          </cell>
        </row>
        <row r="2818">
          <cell r="A2818">
            <v>2020</v>
          </cell>
          <cell r="D2818" t="str">
            <v>DIRECTION CHARGEE DES RELATIONS INTERNATIONALES</v>
          </cell>
          <cell r="V2818">
            <v>67216.59</v>
          </cell>
          <cell r="W2818" t="str">
            <v>Fonctionnement</v>
          </cell>
        </row>
        <row r="2819">
          <cell r="A2819">
            <v>2020</v>
          </cell>
          <cell r="D2819" t="str">
            <v>DIRECTION CHARGEE DES RELATIONS INTERNATIONALES</v>
          </cell>
          <cell r="V2819">
            <v>26129.38</v>
          </cell>
          <cell r="W2819" t="str">
            <v>Fonctionnement</v>
          </cell>
        </row>
        <row r="2820">
          <cell r="A2820">
            <v>2020</v>
          </cell>
          <cell r="D2820" t="str">
            <v>DIRECTION CHARGEE DES RELATIONS INTERNATIONALES</v>
          </cell>
          <cell r="V2820">
            <v>89404.4</v>
          </cell>
          <cell r="W2820" t="str">
            <v>Fonctionnement</v>
          </cell>
        </row>
        <row r="2821">
          <cell r="A2821">
            <v>2020</v>
          </cell>
          <cell r="D2821" t="str">
            <v>DIRECTION CHARGEE DES RELATIONS INTERNATIONALES</v>
          </cell>
          <cell r="V2821">
            <v>11939.05</v>
          </cell>
          <cell r="W2821" t="str">
            <v>Fonctionnement</v>
          </cell>
        </row>
        <row r="2822">
          <cell r="A2822">
            <v>2020</v>
          </cell>
          <cell r="D2822" t="str">
            <v>DIRECTION CHARGEE DES RELATIONS INTERNATIONALES</v>
          </cell>
          <cell r="V2822">
            <v>383611.88</v>
          </cell>
          <cell r="W2822" t="str">
            <v>Fonctionnement</v>
          </cell>
        </row>
        <row r="2823">
          <cell r="A2823">
            <v>2020</v>
          </cell>
          <cell r="D2823" t="str">
            <v>DIRECTION DES SYSTEMES D'INFORMATION</v>
          </cell>
          <cell r="V2823">
            <v>598800</v>
          </cell>
          <cell r="W2823" t="str">
            <v>Fonctionnement</v>
          </cell>
        </row>
        <row r="2824">
          <cell r="A2824">
            <v>2020</v>
          </cell>
          <cell r="D2824" t="str">
            <v>DIRECTION DE L’INFORMATION RADIO</v>
          </cell>
          <cell r="V2824">
            <v>132000</v>
          </cell>
          <cell r="W2824" t="str">
            <v>Fonctionnement</v>
          </cell>
        </row>
        <row r="2825">
          <cell r="A2825">
            <v>2020</v>
          </cell>
          <cell r="D2825" t="str">
            <v>DIRECTION DE L’INFORMATION RADIO</v>
          </cell>
          <cell r="V2825">
            <v>156000</v>
          </cell>
          <cell r="W2825" t="str">
            <v>Fonctionnement</v>
          </cell>
        </row>
        <row r="2826">
          <cell r="A2826">
            <v>2020</v>
          </cell>
          <cell r="D2826" t="str">
            <v>DIRECTION DE L’INFORMATION RADIO</v>
          </cell>
          <cell r="V2826">
            <v>120000</v>
          </cell>
          <cell r="W2826" t="str">
            <v>Fonctionnement</v>
          </cell>
        </row>
        <row r="2827">
          <cell r="A2827">
            <v>2020</v>
          </cell>
          <cell r="D2827" t="str">
            <v>DIRECTION DE L’INFORMATION TV</v>
          </cell>
          <cell r="V2827">
            <v>63635.76</v>
          </cell>
          <cell r="W2827" t="str">
            <v>Fonctionnement</v>
          </cell>
        </row>
        <row r="2828">
          <cell r="A2828">
            <v>2020</v>
          </cell>
          <cell r="D2828" t="str">
            <v>DIRECTION DE L’INFORMATION TV</v>
          </cell>
          <cell r="V2828">
            <v>2473788.56</v>
          </cell>
          <cell r="W2828" t="str">
            <v>Fonctionnement</v>
          </cell>
        </row>
        <row r="2829">
          <cell r="A2829">
            <v>2020</v>
          </cell>
          <cell r="D2829" t="str">
            <v>DIRECTION DE L’INFORMATION TV</v>
          </cell>
          <cell r="V2829">
            <v>2270232.5499999998</v>
          </cell>
          <cell r="W2829" t="str">
            <v>Fonctionnement</v>
          </cell>
        </row>
        <row r="2830">
          <cell r="A2830">
            <v>2020</v>
          </cell>
          <cell r="D2830" t="str">
            <v>DIRECTION DE L’INFORMATION TV</v>
          </cell>
          <cell r="V2830">
            <v>2697127.68</v>
          </cell>
          <cell r="W2830" t="str">
            <v>Fonctionnement</v>
          </cell>
        </row>
        <row r="2831">
          <cell r="A2831">
            <v>2020</v>
          </cell>
          <cell r="D2831" t="str">
            <v>DIRECTION DE L’INFORMATION TV</v>
          </cell>
          <cell r="V2831">
            <v>957025.83</v>
          </cell>
          <cell r="W2831" t="str">
            <v>Fonctionnement</v>
          </cell>
        </row>
        <row r="2832">
          <cell r="A2832">
            <v>2020</v>
          </cell>
          <cell r="D2832" t="str">
            <v>DIRECTION DE L’INFORMATION TV</v>
          </cell>
          <cell r="V2832">
            <v>214800</v>
          </cell>
          <cell r="W2832" t="str">
            <v>Fonctionnement</v>
          </cell>
        </row>
        <row r="2833">
          <cell r="A2833">
            <v>2020</v>
          </cell>
          <cell r="D2833" t="str">
            <v>DIRECTION DE L’INFORMATION TV</v>
          </cell>
          <cell r="V2833">
            <v>72000</v>
          </cell>
          <cell r="W2833" t="str">
            <v>Fonctionnement</v>
          </cell>
        </row>
        <row r="2834">
          <cell r="A2834">
            <v>2020</v>
          </cell>
          <cell r="D2834" t="str">
            <v>DIRECTION DE L’INFORMATION TV</v>
          </cell>
          <cell r="V2834">
            <v>96000</v>
          </cell>
          <cell r="W2834" t="str">
            <v>Fonctionnement</v>
          </cell>
        </row>
        <row r="2835">
          <cell r="A2835">
            <v>2020</v>
          </cell>
          <cell r="D2835" t="str">
            <v>DIRECTION DE L’INFORMATION TV</v>
          </cell>
          <cell r="V2835">
            <v>148800</v>
          </cell>
          <cell r="W2835" t="str">
            <v>Fonctionnement</v>
          </cell>
        </row>
        <row r="2836">
          <cell r="A2836">
            <v>2020</v>
          </cell>
          <cell r="D2836" t="str">
            <v>DIRECTION DE L’INFORMATION TV</v>
          </cell>
          <cell r="V2836">
            <v>44571.360000000001</v>
          </cell>
          <cell r="W2836" t="str">
            <v>Fonctionnement</v>
          </cell>
        </row>
        <row r="2837">
          <cell r="A2837">
            <v>2020</v>
          </cell>
          <cell r="D2837" t="str">
            <v>DIRECTION DE L’INFORMATION TV</v>
          </cell>
          <cell r="V2837">
            <v>72000</v>
          </cell>
          <cell r="W2837" t="str">
            <v>Fonctionnement</v>
          </cell>
        </row>
        <row r="2838">
          <cell r="A2838">
            <v>2020</v>
          </cell>
          <cell r="D2838" t="str">
            <v>DIRECTION DE L’INFORMATION TV</v>
          </cell>
          <cell r="V2838">
            <v>72000</v>
          </cell>
          <cell r="W2838" t="str">
            <v>Fonctionnement</v>
          </cell>
        </row>
        <row r="2839">
          <cell r="A2839">
            <v>2020</v>
          </cell>
          <cell r="D2839" t="str">
            <v>DIRECTION DE L’INFORMATION TV</v>
          </cell>
          <cell r="V2839">
            <v>72000</v>
          </cell>
          <cell r="W2839" t="str">
            <v>Fonctionnement</v>
          </cell>
        </row>
        <row r="2840">
          <cell r="A2840">
            <v>2020</v>
          </cell>
          <cell r="D2840" t="str">
            <v>DIRECTION DE L’INFORMATION TV</v>
          </cell>
          <cell r="V2840">
            <v>278709.62</v>
          </cell>
          <cell r="W2840" t="str">
            <v>Fonctionnement</v>
          </cell>
        </row>
        <row r="2841">
          <cell r="A2841">
            <v>2020</v>
          </cell>
          <cell r="D2841" t="str">
            <v xml:space="preserve">DIRECTION CENTRALE DE LA CHAINE TV LAAYOUNE </v>
          </cell>
          <cell r="V2841">
            <v>280000</v>
          </cell>
          <cell r="W2841" t="str">
            <v>Fonctionnement</v>
          </cell>
        </row>
        <row r="2842">
          <cell r="A2842">
            <v>2020</v>
          </cell>
          <cell r="D2842" t="str">
            <v xml:space="preserve">DIRECTION CENTRALE DE LA CHAINE TV LAAYOUNE </v>
          </cell>
          <cell r="V2842">
            <v>205714.94</v>
          </cell>
          <cell r="W2842" t="str">
            <v>Fonctionnement</v>
          </cell>
        </row>
        <row r="2843">
          <cell r="A2843">
            <v>2020</v>
          </cell>
          <cell r="D2843" t="str">
            <v xml:space="preserve">DIRECTION CENTRALE DE LA CHAINE TV LAAYOUNE </v>
          </cell>
          <cell r="V2843">
            <v>257142.9</v>
          </cell>
          <cell r="W2843" t="str">
            <v>Fonctionnement</v>
          </cell>
        </row>
        <row r="2844">
          <cell r="A2844">
            <v>2020</v>
          </cell>
          <cell r="D2844" t="str">
            <v xml:space="preserve">DIRECTION CENTRALE DE LA CHAINE TV LAAYOUNE </v>
          </cell>
          <cell r="V2844">
            <v>171428.64</v>
          </cell>
          <cell r="W2844" t="str">
            <v>Fonctionnement</v>
          </cell>
        </row>
        <row r="2845">
          <cell r="A2845">
            <v>2020</v>
          </cell>
          <cell r="D2845" t="str">
            <v>DIRECTION MARKETING ET PROGRAMATION TV</v>
          </cell>
          <cell r="V2845">
            <v>186677</v>
          </cell>
          <cell r="W2845" t="str">
            <v>Fonctionnement</v>
          </cell>
        </row>
        <row r="2846">
          <cell r="A2846">
            <v>2020</v>
          </cell>
          <cell r="D2846" t="str">
            <v>DIRECTION MARKETING ET PROGRAMATION TV</v>
          </cell>
          <cell r="V2846">
            <v>150000</v>
          </cell>
          <cell r="W2846" t="str">
            <v>Fonctionnement</v>
          </cell>
        </row>
        <row r="2847">
          <cell r="A2847">
            <v>2020</v>
          </cell>
          <cell r="D2847" t="str">
            <v>DIRECTION MARKETING ET PROGRAMATION TV</v>
          </cell>
          <cell r="V2847">
            <v>126000</v>
          </cell>
          <cell r="W2847" t="str">
            <v>Fonctionnement</v>
          </cell>
        </row>
        <row r="2848">
          <cell r="A2848">
            <v>2020</v>
          </cell>
          <cell r="D2848" t="str">
            <v>DIRECTION MARKETING ET PROGRAMATION TV</v>
          </cell>
          <cell r="V2848">
            <v>192857.13</v>
          </cell>
          <cell r="W2848" t="str">
            <v>Fonctionnement</v>
          </cell>
        </row>
        <row r="2849">
          <cell r="A2849">
            <v>2020</v>
          </cell>
          <cell r="D2849" t="str">
            <v>DIRECTION MARKETING ET PROGRAMATION TV</v>
          </cell>
          <cell r="V2849">
            <v>252000</v>
          </cell>
          <cell r="W2849" t="str">
            <v>Fonctionnement</v>
          </cell>
        </row>
        <row r="2850">
          <cell r="A2850">
            <v>2020</v>
          </cell>
          <cell r="D2850" t="str">
            <v>DIRECTION MARKETING ET PROGRAMATION TV</v>
          </cell>
          <cell r="V2850">
            <v>96000</v>
          </cell>
          <cell r="W2850" t="str">
            <v>Fonctionnement</v>
          </cell>
        </row>
        <row r="2851">
          <cell r="A2851">
            <v>2020</v>
          </cell>
          <cell r="D2851" t="str">
            <v>DIRECTION MARKETING ET PROGRAMATION TV</v>
          </cell>
          <cell r="V2851">
            <v>120000</v>
          </cell>
          <cell r="W2851" t="str">
            <v>Fonctionnement</v>
          </cell>
        </row>
        <row r="2852">
          <cell r="A2852">
            <v>2020</v>
          </cell>
          <cell r="D2852" t="str">
            <v>DIRECTION MARKETING ET PROGRAMATION TV</v>
          </cell>
          <cell r="V2852">
            <v>180000</v>
          </cell>
          <cell r="W2852" t="str">
            <v>Fonctionnement</v>
          </cell>
        </row>
        <row r="2853">
          <cell r="A2853">
            <v>2020</v>
          </cell>
          <cell r="D2853" t="str">
            <v>DIRECTION MARKETING ET PROGRAMATION TV</v>
          </cell>
          <cell r="V2853">
            <v>132000</v>
          </cell>
          <cell r="W2853" t="str">
            <v>Fonctionnement</v>
          </cell>
        </row>
        <row r="2854">
          <cell r="A2854">
            <v>2020</v>
          </cell>
          <cell r="D2854" t="str">
            <v>DIRECTION MARKETING ET PROGRAMATION TV</v>
          </cell>
          <cell r="V2854">
            <v>75000</v>
          </cell>
          <cell r="W2854" t="str">
            <v>Fonctionnement</v>
          </cell>
        </row>
        <row r="2855">
          <cell r="A2855">
            <v>2020</v>
          </cell>
          <cell r="D2855" t="str">
            <v>DIRECTION DE LA PRODUCTION ET DE LA PROGRAMMATION RADIO</v>
          </cell>
          <cell r="V2855">
            <v>120000</v>
          </cell>
          <cell r="W2855" t="str">
            <v>Fonctionnement</v>
          </cell>
        </row>
        <row r="2856">
          <cell r="A2856">
            <v>2020</v>
          </cell>
          <cell r="D2856" t="str">
            <v>DIRECTION DES CHAÎNES CORANIQUES TV RADIO</v>
          </cell>
          <cell r="V2856">
            <v>126000</v>
          </cell>
          <cell r="W2856" t="str">
            <v>Fonctionnement</v>
          </cell>
        </row>
        <row r="2857">
          <cell r="A2857">
            <v>2020</v>
          </cell>
          <cell r="D2857" t="str">
            <v>DIRECTION DES CHAÎNES CORANIQUES TV RADIO</v>
          </cell>
          <cell r="V2857">
            <v>126000</v>
          </cell>
          <cell r="W2857" t="str">
            <v>Fonctionnement</v>
          </cell>
        </row>
        <row r="2858">
          <cell r="A2858">
            <v>2020</v>
          </cell>
          <cell r="D2858" t="str">
            <v>DIRECTION DES CHAÎNES CORANIQUES TV RADIO</v>
          </cell>
          <cell r="V2858">
            <v>156000</v>
          </cell>
          <cell r="W2858" t="str">
            <v>Fonctionnement</v>
          </cell>
        </row>
        <row r="2859">
          <cell r="A2859">
            <v>2020</v>
          </cell>
          <cell r="D2859" t="str">
            <v>DIRECTION DES CHAÎNES CORANIQUES TV RADIO</v>
          </cell>
          <cell r="V2859">
            <v>200000</v>
          </cell>
          <cell r="W2859" t="str">
            <v>Fonctionnement</v>
          </cell>
        </row>
        <row r="2860">
          <cell r="A2860">
            <v>2020</v>
          </cell>
          <cell r="D2860" t="str">
            <v>DIRECTION DES CHAÎNES CORANIQUES TV RADIO</v>
          </cell>
          <cell r="V2860">
            <v>74285.64</v>
          </cell>
          <cell r="W2860" t="str">
            <v>Fonctionnement</v>
          </cell>
        </row>
        <row r="2861">
          <cell r="A2861">
            <v>2020</v>
          </cell>
          <cell r="D2861" t="str">
            <v>DIRECTION DES CHAÎNES CORANIQUES TV RADIO</v>
          </cell>
          <cell r="V2861">
            <v>74285.64</v>
          </cell>
          <cell r="W2861" t="str">
            <v>Fonctionnement</v>
          </cell>
        </row>
        <row r="2862">
          <cell r="A2862">
            <v>2020</v>
          </cell>
          <cell r="D2862" t="str">
            <v>DIRECTION DES CHAÎNES CORANIQUES TV RADIO</v>
          </cell>
          <cell r="V2862">
            <v>102857.04</v>
          </cell>
          <cell r="W2862" t="str">
            <v>Fonctionnement</v>
          </cell>
        </row>
        <row r="2863">
          <cell r="A2863">
            <v>2020</v>
          </cell>
          <cell r="D2863" t="str">
            <v>DIRECTION DES CHAÎNES CORANIQUES TV RADIO</v>
          </cell>
          <cell r="V2863">
            <v>40000</v>
          </cell>
          <cell r="W2863" t="str">
            <v>Fonctionnement</v>
          </cell>
        </row>
        <row r="2864">
          <cell r="A2864">
            <v>2020</v>
          </cell>
          <cell r="D2864" t="str">
            <v>DIRECTION DES CHAÎNES CORANIQUES TV RADIO</v>
          </cell>
          <cell r="V2864">
            <v>40000</v>
          </cell>
          <cell r="W2864" t="str">
            <v>Fonctionnement</v>
          </cell>
        </row>
        <row r="2865">
          <cell r="A2865">
            <v>2020</v>
          </cell>
          <cell r="D2865" t="str">
            <v>DIRECTION DES CHAÎNES CORANIQUES TV RADIO</v>
          </cell>
          <cell r="V2865">
            <v>132000</v>
          </cell>
          <cell r="W2865" t="str">
            <v>Fonctionnement</v>
          </cell>
        </row>
        <row r="2866">
          <cell r="A2866">
            <v>2020</v>
          </cell>
          <cell r="D2866" t="str">
            <v>DIRECTION DES CHAÎNES CORANIQUES TV RADIO</v>
          </cell>
          <cell r="V2866">
            <v>74285.64</v>
          </cell>
          <cell r="W2866" t="str">
            <v>Fonctionnement</v>
          </cell>
        </row>
        <row r="2867">
          <cell r="A2867">
            <v>2020</v>
          </cell>
          <cell r="D2867" t="str">
            <v>DIRECTION DES CHAÎNES CORANIQUES TV RADIO</v>
          </cell>
          <cell r="V2867">
            <v>74285.64</v>
          </cell>
          <cell r="W2867" t="str">
            <v>Fonctionnement</v>
          </cell>
        </row>
        <row r="2868">
          <cell r="A2868">
            <v>2020</v>
          </cell>
          <cell r="D2868" t="str">
            <v>DIRECTION DES CHAÎNES CORANIQUES TV RADIO</v>
          </cell>
          <cell r="V2868">
            <v>40000</v>
          </cell>
          <cell r="W2868" t="str">
            <v>Fonctionnement</v>
          </cell>
        </row>
        <row r="2869">
          <cell r="A2869">
            <v>2020</v>
          </cell>
          <cell r="D2869" t="str">
            <v>DIRECTION DES CHAÎNES CORANIQUES TV RADIO</v>
          </cell>
          <cell r="V2869">
            <v>19200</v>
          </cell>
          <cell r="W2869" t="str">
            <v>Fonctionnement</v>
          </cell>
        </row>
        <row r="2870">
          <cell r="A2870">
            <v>2020</v>
          </cell>
          <cell r="D2870" t="str">
            <v>DIRECTION DES CHAÎNES CORANIQUES TV RADIO</v>
          </cell>
          <cell r="V2870">
            <v>31500</v>
          </cell>
          <cell r="W2870" t="str">
            <v>Fonctionnement</v>
          </cell>
        </row>
        <row r="2871">
          <cell r="A2871">
            <v>2020</v>
          </cell>
          <cell r="D2871" t="str">
            <v>DIRECTION DES CHAÎNES CORANIQUES TV RADIO</v>
          </cell>
          <cell r="V2871">
            <v>90000</v>
          </cell>
          <cell r="W2871" t="str">
            <v>Fonctionnement</v>
          </cell>
        </row>
        <row r="2872">
          <cell r="A2872">
            <v>2020</v>
          </cell>
          <cell r="D2872" t="str">
            <v>DIRECTION DES CHAÎNES CORANIQUES TV RADIO</v>
          </cell>
          <cell r="V2872">
            <v>66000</v>
          </cell>
          <cell r="W2872" t="str">
            <v>Fonctionnement</v>
          </cell>
        </row>
        <row r="2873">
          <cell r="A2873">
            <v>2020</v>
          </cell>
          <cell r="D2873" t="str">
            <v>DIRECTION DES CHAÎNES CORANIQUES TV RADIO</v>
          </cell>
          <cell r="V2873">
            <v>60000</v>
          </cell>
          <cell r="W2873" t="str">
            <v>Fonctionnement</v>
          </cell>
        </row>
        <row r="2874">
          <cell r="A2874">
            <v>2020</v>
          </cell>
          <cell r="D2874" t="str">
            <v>DIRECTION DES CHAÎNES CORANIQUES TV RADIO</v>
          </cell>
          <cell r="V2874">
            <v>40000</v>
          </cell>
          <cell r="W2874" t="str">
            <v>Fonctionnement</v>
          </cell>
        </row>
        <row r="2875">
          <cell r="A2875">
            <v>2020</v>
          </cell>
          <cell r="D2875" t="str">
            <v>DIRECTION DES CHAÎNES CORANIQUES TV RADIO</v>
          </cell>
          <cell r="V2875">
            <v>84000</v>
          </cell>
          <cell r="W2875" t="str">
            <v>Fonctionnement</v>
          </cell>
        </row>
        <row r="2876">
          <cell r="A2876">
            <v>2020</v>
          </cell>
          <cell r="D2876" t="str">
            <v>DIRECTION DE LA PRODUCTION ET DE LA PROGRAMMATION RADIO</v>
          </cell>
          <cell r="V2876">
            <v>70000</v>
          </cell>
          <cell r="W2876" t="str">
            <v>Fonctionnement</v>
          </cell>
        </row>
        <row r="2877">
          <cell r="A2877">
            <v>2020</v>
          </cell>
          <cell r="D2877" t="str">
            <v>DIRECTION DE LA PRODUCTION ET DE LA PROGRAMMATION RADIO</v>
          </cell>
          <cell r="V2877">
            <v>120000</v>
          </cell>
          <cell r="W2877" t="str">
            <v>Fonctionnement</v>
          </cell>
        </row>
        <row r="2878">
          <cell r="A2878">
            <v>2020</v>
          </cell>
          <cell r="D2878" t="str">
            <v>DIRECTION DE LA PRODUCTION ET DE LA PROGRAMMATION RADIO</v>
          </cell>
          <cell r="V2878">
            <v>96000</v>
          </cell>
          <cell r="W2878" t="str">
            <v>Fonctionnement</v>
          </cell>
        </row>
        <row r="2879">
          <cell r="A2879">
            <v>2020</v>
          </cell>
          <cell r="D2879" t="str">
            <v>DIRECTION DE LA PRODUCTION ET DE LA PROGRAMMATION RADIO</v>
          </cell>
          <cell r="V2879">
            <v>180000</v>
          </cell>
          <cell r="W2879" t="str">
            <v>Fonctionnement</v>
          </cell>
        </row>
        <row r="2880">
          <cell r="A2880">
            <v>2020</v>
          </cell>
          <cell r="D2880" t="str">
            <v>DIRECTION DE LA PRODUCTION ET DE LA PROGRAMMATION RADIO</v>
          </cell>
          <cell r="V2880">
            <v>120000</v>
          </cell>
          <cell r="W2880" t="str">
            <v>Fonctionnement</v>
          </cell>
        </row>
        <row r="2881">
          <cell r="A2881">
            <v>2020</v>
          </cell>
          <cell r="D2881" t="str">
            <v>DIRECTION DE LA PRODUCTION ET DE LA PROGRAMMATION RADIO</v>
          </cell>
          <cell r="V2881">
            <v>130000</v>
          </cell>
          <cell r="W2881" t="str">
            <v>Fonctionnement</v>
          </cell>
        </row>
        <row r="2882">
          <cell r="A2882">
            <v>2020</v>
          </cell>
          <cell r="D2882" t="str">
            <v>DIRECTION DE LA PRODUCTION ET DE LA PROGRAMMATION RADIO</v>
          </cell>
          <cell r="V2882">
            <v>120000</v>
          </cell>
          <cell r="W2882" t="str">
            <v>Fonctionnement</v>
          </cell>
        </row>
        <row r="2883">
          <cell r="A2883">
            <v>2020</v>
          </cell>
          <cell r="D2883" t="str">
            <v>DIRECTION DE LA PRODUCTION ET DE LA PROGRAMMATION RADIO</v>
          </cell>
          <cell r="V2883">
            <v>216000</v>
          </cell>
          <cell r="W2883" t="str">
            <v>Fonctionnement</v>
          </cell>
        </row>
        <row r="2884">
          <cell r="A2884">
            <v>2020</v>
          </cell>
          <cell r="D2884" t="str">
            <v>DIRECTION DE LA PRODUCTION ET DE LA PROGRAMMATION RADIO</v>
          </cell>
          <cell r="V2884">
            <v>240000</v>
          </cell>
          <cell r="W2884" t="str">
            <v>Fonctionnement</v>
          </cell>
        </row>
        <row r="2885">
          <cell r="A2885">
            <v>2020</v>
          </cell>
          <cell r="D2885" t="str">
            <v>DIRECTION DE LA PRODUCTION ET DE LA PROGRAMMATION RADIO</v>
          </cell>
          <cell r="V2885">
            <v>130000</v>
          </cell>
          <cell r="W2885" t="str">
            <v>Fonctionnement</v>
          </cell>
        </row>
        <row r="2886">
          <cell r="A2886">
            <v>2020</v>
          </cell>
          <cell r="D2886" t="str">
            <v>DIRECTION DE LA PRODUCTION ET DE LA PROGRAMMATION RADIO</v>
          </cell>
          <cell r="V2886">
            <v>120000</v>
          </cell>
          <cell r="W2886" t="str">
            <v>Fonctionnement</v>
          </cell>
        </row>
        <row r="2887">
          <cell r="A2887">
            <v>2020</v>
          </cell>
          <cell r="D2887" t="str">
            <v>DIRECTION DE LA PRODUCTION ET DE LA PROGRAMMATION RADIO</v>
          </cell>
          <cell r="V2887">
            <v>120000</v>
          </cell>
          <cell r="W2887" t="str">
            <v>Fonctionnement</v>
          </cell>
        </row>
        <row r="2888">
          <cell r="A2888">
            <v>2020</v>
          </cell>
          <cell r="D2888" t="str">
            <v>DIRECTION DE LA PRODUCTION ET DE LA PROGRAMMATION RADIO</v>
          </cell>
          <cell r="V2888">
            <v>48000</v>
          </cell>
          <cell r="W2888" t="str">
            <v>Fonctionnement</v>
          </cell>
        </row>
        <row r="2889">
          <cell r="A2889">
            <v>2020</v>
          </cell>
          <cell r="D2889" t="str">
            <v>DIRECTION DE LA PRODUCTION ET DE LA PROGRAMMATION RADIO</v>
          </cell>
          <cell r="V2889">
            <v>96000</v>
          </cell>
          <cell r="W2889" t="str">
            <v>Fonctionnement</v>
          </cell>
        </row>
        <row r="2890">
          <cell r="A2890">
            <v>2020</v>
          </cell>
          <cell r="D2890" t="str">
            <v>DIRECTION DE LA PRODUCTION ET DE LA PROGRAMMATION RADIO</v>
          </cell>
          <cell r="V2890">
            <v>24000</v>
          </cell>
          <cell r="W2890" t="str">
            <v>Fonctionnement</v>
          </cell>
        </row>
        <row r="2891">
          <cell r="A2891">
            <v>2020</v>
          </cell>
          <cell r="D2891" t="str">
            <v>DIRECTION DE LA PRODUCTION ET DE LA PROGRAMMATION RADIO</v>
          </cell>
          <cell r="V2891">
            <v>96000</v>
          </cell>
          <cell r="W2891" t="str">
            <v>Fonctionnement</v>
          </cell>
        </row>
        <row r="2892">
          <cell r="A2892">
            <v>2020</v>
          </cell>
          <cell r="D2892" t="str">
            <v>DIRECTION DE LA PRODUCTION ET DE LA PROGRAMMATION RADIO</v>
          </cell>
          <cell r="V2892">
            <v>96000</v>
          </cell>
          <cell r="W2892" t="str">
            <v>Fonctionnement</v>
          </cell>
        </row>
        <row r="2893">
          <cell r="A2893">
            <v>2020</v>
          </cell>
          <cell r="D2893" t="str">
            <v>DIRECTION DE LA PRODUCTION ET DE LA PROGRAMMATION RADIO</v>
          </cell>
          <cell r="V2893">
            <v>54000</v>
          </cell>
          <cell r="W2893" t="str">
            <v>Fonctionnement</v>
          </cell>
        </row>
        <row r="2894">
          <cell r="A2894">
            <v>2020</v>
          </cell>
          <cell r="D2894" t="str">
            <v>DIRECTION DE LA PRODUCTION ET DE LA PROGRAMMATION RADIO</v>
          </cell>
          <cell r="V2894">
            <v>54000</v>
          </cell>
          <cell r="W2894" t="str">
            <v>Fonctionnement</v>
          </cell>
        </row>
        <row r="2895">
          <cell r="A2895">
            <v>2020</v>
          </cell>
          <cell r="D2895" t="str">
            <v>DIRECTION DE LA PRODUCTION ET DE LA PROGRAMMATION RADIO</v>
          </cell>
          <cell r="V2895">
            <v>60000</v>
          </cell>
          <cell r="W2895" t="str">
            <v>Fonctionnement</v>
          </cell>
        </row>
        <row r="2896">
          <cell r="A2896">
            <v>2020</v>
          </cell>
          <cell r="D2896" t="str">
            <v>DIRECTION DE LA PRODUCTION ET DE LA PROGRAMMATION RADIO</v>
          </cell>
          <cell r="V2896">
            <v>180000</v>
          </cell>
          <cell r="W2896" t="str">
            <v>Fonctionnement</v>
          </cell>
        </row>
        <row r="2897">
          <cell r="A2897">
            <v>2020</v>
          </cell>
          <cell r="D2897" t="str">
            <v>DIRECTION DE LA PRODUCTION ET DE LA PROGRAMMATION RADIO</v>
          </cell>
          <cell r="V2897">
            <v>96000</v>
          </cell>
          <cell r="W2897" t="str">
            <v>Fonctionnement</v>
          </cell>
        </row>
        <row r="2898">
          <cell r="A2898">
            <v>2020</v>
          </cell>
          <cell r="D2898" t="str">
            <v>DIRECTION DE LA PRODUCTION ET DE LA PROGRAMMATION RADIO</v>
          </cell>
          <cell r="V2898">
            <v>84000</v>
          </cell>
          <cell r="W2898" t="str">
            <v>Fonctionnement</v>
          </cell>
        </row>
        <row r="2899">
          <cell r="A2899">
            <v>2020</v>
          </cell>
          <cell r="D2899" t="str">
            <v>DIRECTION DE LA PRODUCTION ET DE LA PROGRAMMATION RADIO</v>
          </cell>
          <cell r="V2899">
            <v>78000</v>
          </cell>
          <cell r="W2899" t="str">
            <v>Fonctionnement</v>
          </cell>
        </row>
        <row r="2900">
          <cell r="A2900">
            <v>2020</v>
          </cell>
          <cell r="D2900" t="str">
            <v>DIRECTION DE LA PRODUCTION ET DE LA PROGRAMMATION RADIO</v>
          </cell>
          <cell r="V2900">
            <v>78000</v>
          </cell>
          <cell r="W2900" t="str">
            <v>Fonctionnement</v>
          </cell>
        </row>
        <row r="2901">
          <cell r="A2901">
            <v>2020</v>
          </cell>
          <cell r="D2901" t="str">
            <v>DIRECTION DE LA PRODUCTION ET DE LA PROGRAMMATION RADIO</v>
          </cell>
          <cell r="V2901">
            <v>96000</v>
          </cell>
          <cell r="W2901" t="str">
            <v>Fonctionnement</v>
          </cell>
        </row>
        <row r="2902">
          <cell r="A2902">
            <v>2020</v>
          </cell>
          <cell r="D2902" t="str">
            <v>DIRECTION DE LA PRODUCTION ET DE LA PROGRAMMATION RADIO</v>
          </cell>
          <cell r="V2902">
            <v>96000</v>
          </cell>
          <cell r="W2902" t="str">
            <v>Fonctionnement</v>
          </cell>
        </row>
        <row r="2903">
          <cell r="A2903">
            <v>2020</v>
          </cell>
          <cell r="D2903" t="str">
            <v>DIRECTION DE LA PRODUCTION ET DE LA PROGRAMMATION RADIO</v>
          </cell>
          <cell r="V2903">
            <v>96000</v>
          </cell>
          <cell r="W2903" t="str">
            <v>Fonctionnement</v>
          </cell>
        </row>
        <row r="2904">
          <cell r="A2904">
            <v>2020</v>
          </cell>
          <cell r="D2904" t="str">
            <v>DIRECTION DE LA PRODUCTION ET DE LA PROGRAMMATION RADIO</v>
          </cell>
          <cell r="V2904">
            <v>96000</v>
          </cell>
          <cell r="W2904" t="str">
            <v>Fonctionnement</v>
          </cell>
        </row>
        <row r="2905">
          <cell r="A2905">
            <v>2020</v>
          </cell>
          <cell r="D2905" t="str">
            <v>DIRECTION DE LA PRODUCTION ET DE LA PROGRAMMATION RADIO</v>
          </cell>
          <cell r="V2905">
            <v>48000</v>
          </cell>
          <cell r="W2905" t="str">
            <v>Fonctionnement</v>
          </cell>
        </row>
        <row r="2906">
          <cell r="A2906">
            <v>2020</v>
          </cell>
          <cell r="D2906" t="str">
            <v>DIRECTION DE LA PRODUCTION ET DE LA PROGRAMMATION RADIO</v>
          </cell>
          <cell r="V2906">
            <v>60000</v>
          </cell>
          <cell r="W2906" t="str">
            <v>Fonctionnement</v>
          </cell>
        </row>
        <row r="2907">
          <cell r="A2907">
            <v>2020</v>
          </cell>
          <cell r="D2907" t="str">
            <v>DIRECTION DE LA PRODUCTION ET DE LA PROGRAMMATION RADIO</v>
          </cell>
          <cell r="V2907">
            <v>72000</v>
          </cell>
          <cell r="W2907" t="str">
            <v>Fonctionnement</v>
          </cell>
        </row>
        <row r="2908">
          <cell r="A2908">
            <v>2020</v>
          </cell>
          <cell r="D2908" t="str">
            <v>DIRECTION DE LA PRODUCTION ET DE LA PROGRAMMATION RADIO</v>
          </cell>
          <cell r="V2908">
            <v>96000</v>
          </cell>
          <cell r="W2908" t="str">
            <v>Fonctionnement</v>
          </cell>
        </row>
        <row r="2909">
          <cell r="A2909">
            <v>2020</v>
          </cell>
          <cell r="D2909" t="str">
            <v>DIRECTION DE LA PRODUCTION ET DE LA PROGRAMMATION RADIO</v>
          </cell>
          <cell r="V2909">
            <v>72000</v>
          </cell>
          <cell r="W2909" t="str">
            <v>Fonctionnement</v>
          </cell>
        </row>
        <row r="2910">
          <cell r="A2910">
            <v>2020</v>
          </cell>
          <cell r="D2910" t="str">
            <v>DIRECTION DE LA PRODUCTION ET DE LA PROGRAMMATION RADIO</v>
          </cell>
          <cell r="V2910">
            <v>96000</v>
          </cell>
          <cell r="W2910" t="str">
            <v>Fonctionnement</v>
          </cell>
        </row>
        <row r="2911">
          <cell r="A2911">
            <v>2020</v>
          </cell>
          <cell r="D2911" t="str">
            <v>DIRECTION DE LA PRODUCTION ET DE LA PROGRAMMATION RADIO</v>
          </cell>
          <cell r="V2911">
            <v>96000</v>
          </cell>
          <cell r="W2911" t="str">
            <v>Fonctionnement</v>
          </cell>
        </row>
        <row r="2912">
          <cell r="A2912">
            <v>2020</v>
          </cell>
          <cell r="D2912" t="str">
            <v>DIRECTION DE LA PRODUCTION ET DE LA PROGRAMMATION RADIO</v>
          </cell>
          <cell r="V2912">
            <v>60000</v>
          </cell>
          <cell r="W2912" t="str">
            <v>Fonctionnement</v>
          </cell>
        </row>
        <row r="2913">
          <cell r="A2913">
            <v>2020</v>
          </cell>
          <cell r="D2913" t="str">
            <v>DIRECTION DE LA PRODUCTION ET DE LA PROGRAMMATION RADIO</v>
          </cell>
          <cell r="V2913">
            <v>96000</v>
          </cell>
          <cell r="W2913" t="str">
            <v>Fonctionnement</v>
          </cell>
        </row>
        <row r="2914">
          <cell r="A2914">
            <v>2020</v>
          </cell>
          <cell r="D2914" t="str">
            <v>DIRECTION DE LA PRODUCTION ET DE LA PROGRAMMATION RADIO</v>
          </cell>
          <cell r="V2914">
            <v>96000</v>
          </cell>
          <cell r="W2914" t="str">
            <v>Fonctionnement</v>
          </cell>
        </row>
        <row r="2915">
          <cell r="A2915">
            <v>2020</v>
          </cell>
          <cell r="D2915" t="str">
            <v>DIRECTION DE LA PRODUCTION ET DE LA PROGRAMMATION RADIO</v>
          </cell>
          <cell r="V2915">
            <v>96000</v>
          </cell>
          <cell r="W2915" t="str">
            <v>Fonctionnement</v>
          </cell>
        </row>
        <row r="2916">
          <cell r="A2916">
            <v>2020</v>
          </cell>
          <cell r="D2916" t="str">
            <v>DIRECTION DE LA PRODUCTION ET DE LA PROGRAMMATION RADIO</v>
          </cell>
          <cell r="V2916">
            <v>96000</v>
          </cell>
          <cell r="W2916" t="str">
            <v>Fonctionnement</v>
          </cell>
        </row>
        <row r="2917">
          <cell r="A2917">
            <v>2020</v>
          </cell>
          <cell r="D2917" t="str">
            <v>DIRECTION DE LA PRODUCTION ET DE LA PROGRAMMATION RADIO</v>
          </cell>
          <cell r="V2917">
            <v>300000</v>
          </cell>
          <cell r="W2917" t="str">
            <v>Fonctionnement</v>
          </cell>
        </row>
        <row r="2918">
          <cell r="A2918">
            <v>2020</v>
          </cell>
          <cell r="D2918" t="str">
            <v>DIRECTION DE LA PRODUCTION ET DE LA PROGRAMMATION RADIO</v>
          </cell>
          <cell r="V2918">
            <v>130000</v>
          </cell>
          <cell r="W2918" t="str">
            <v>Fonctionnement</v>
          </cell>
        </row>
        <row r="2919">
          <cell r="A2919">
            <v>2020</v>
          </cell>
          <cell r="D2919" t="str">
            <v>DIRECTION DE LA REGIE PUBLICITAIRE ET DES SOLUTIONS DIGITALES</v>
          </cell>
          <cell r="V2919">
            <v>175980</v>
          </cell>
          <cell r="W2919" t="str">
            <v>Fonctionnement</v>
          </cell>
        </row>
        <row r="2920">
          <cell r="A2920">
            <v>2020</v>
          </cell>
          <cell r="D2920" t="str">
            <v>DIRECTION DE LA REGIE PUBLICITAIRE ET DES SOLUTIONS DIGITALES</v>
          </cell>
          <cell r="V2920">
            <v>216000</v>
          </cell>
          <cell r="W2920" t="str">
            <v>Fonctionnement</v>
          </cell>
        </row>
        <row r="2921">
          <cell r="A2921">
            <v>2020</v>
          </cell>
          <cell r="D2921" t="str">
            <v>DIRECTION DE LA REGIE PUBLICITAIRE ET DES SOLUTIONS DIGITALES</v>
          </cell>
          <cell r="V2921">
            <v>216000</v>
          </cell>
          <cell r="W2921" t="str">
            <v>Fonctionnement</v>
          </cell>
        </row>
        <row r="2922">
          <cell r="A2922">
            <v>2020</v>
          </cell>
          <cell r="D2922" t="str">
            <v>DIRECTION DE LA REGIE PUBLICITAIRE ET DES SOLUTIONS DIGITALES</v>
          </cell>
          <cell r="V2922">
            <v>486000</v>
          </cell>
          <cell r="W2922" t="str">
            <v>Fonctionnement</v>
          </cell>
        </row>
        <row r="2923">
          <cell r="A2923">
            <v>2020</v>
          </cell>
          <cell r="D2923" t="str">
            <v>DIRECTION DE LA REGIE PUBLICITAIRE ET DES SOLUTIONS DIGITALES</v>
          </cell>
          <cell r="V2923">
            <v>216000</v>
          </cell>
          <cell r="W2923" t="str">
            <v>Fonctionnement</v>
          </cell>
        </row>
        <row r="2924">
          <cell r="A2924">
            <v>2020</v>
          </cell>
          <cell r="D2924" t="str">
            <v>DIRECTION DE LA REGIE PUBLICITAIRE ET DES SOLUTIONS DIGITALES</v>
          </cell>
          <cell r="V2924">
            <v>216000</v>
          </cell>
          <cell r="W2924" t="str">
            <v>Fonctionnement</v>
          </cell>
        </row>
        <row r="2925">
          <cell r="A2925">
            <v>2020</v>
          </cell>
          <cell r="D2925" t="str">
            <v>DIRECTION DE LA REGIE PUBLICITAIRE ET DES SOLUTIONS DIGITALES</v>
          </cell>
          <cell r="V2925">
            <v>292320</v>
          </cell>
          <cell r="W2925" t="str">
            <v>Fonctionnement</v>
          </cell>
        </row>
        <row r="2926">
          <cell r="A2926">
            <v>2020</v>
          </cell>
          <cell r="D2926" t="str">
            <v>DIRECTION DE LA REGIE PUBLICITAIRE ET DES SOLUTIONS DIGITALES</v>
          </cell>
          <cell r="V2926">
            <v>127272.73</v>
          </cell>
          <cell r="W2926" t="str">
            <v>Fonctionnement</v>
          </cell>
        </row>
        <row r="2927">
          <cell r="A2927">
            <v>2020</v>
          </cell>
          <cell r="D2927" t="str">
            <v>DIRECTION DE LA REGIE PUBLICITAIRE ET DES SOLUTIONS DIGITALES</v>
          </cell>
          <cell r="V2927">
            <v>127272.73</v>
          </cell>
          <cell r="W2927" t="str">
            <v>Fonctionnement</v>
          </cell>
        </row>
        <row r="2928">
          <cell r="A2928">
            <v>2020</v>
          </cell>
          <cell r="D2928" t="str">
            <v>DIRECTION DE LA REGIE PUBLICITAIRE ET DES SOLUTIONS DIGITALES</v>
          </cell>
          <cell r="V2928">
            <v>127272.73</v>
          </cell>
          <cell r="W2928" t="str">
            <v>Fonctionnement</v>
          </cell>
        </row>
        <row r="2929">
          <cell r="A2929">
            <v>2020</v>
          </cell>
          <cell r="D2929" t="str">
            <v>DIRECTION DE LA REGIE PUBLICITAIRE ET DES SOLUTIONS DIGITALES</v>
          </cell>
          <cell r="V2929">
            <v>145454.54999999999</v>
          </cell>
          <cell r="W2929" t="str">
            <v>Fonctionnement</v>
          </cell>
        </row>
        <row r="2930">
          <cell r="A2930">
            <v>2020</v>
          </cell>
          <cell r="D2930" t="str">
            <v>DIRECTION DE LA REGIE PUBLICITAIRE ET DES SOLUTIONS DIGITALES</v>
          </cell>
          <cell r="V2930">
            <v>181818.18</v>
          </cell>
          <cell r="W2930" t="str">
            <v>Fonctionnement</v>
          </cell>
        </row>
        <row r="2931">
          <cell r="A2931">
            <v>2020</v>
          </cell>
          <cell r="D2931" t="str">
            <v>DIRECTION DE LA REGIE PUBLICITAIRE ET DES SOLUTIONS DIGITALES</v>
          </cell>
          <cell r="V2931">
            <v>121212.12</v>
          </cell>
          <cell r="W2931" t="str">
            <v>Fonctionnement</v>
          </cell>
        </row>
        <row r="2932">
          <cell r="A2932">
            <v>2020</v>
          </cell>
          <cell r="D2932" t="str">
            <v>DIRECTION DE LA REGIE PUBLICITAIRE ET DES SOLUTIONS DIGITALES</v>
          </cell>
          <cell r="V2932">
            <v>127272.73</v>
          </cell>
          <cell r="W2932" t="str">
            <v>Fonctionnement</v>
          </cell>
        </row>
        <row r="2933">
          <cell r="A2933">
            <v>2020</v>
          </cell>
          <cell r="D2933" t="str">
            <v>DIRECTION DE LA REGIE PUBLICITAIRE ET DES SOLUTIONS DIGITALES</v>
          </cell>
          <cell r="V2933">
            <v>145454.54999999999</v>
          </cell>
          <cell r="W2933" t="str">
            <v>Fonctionnement</v>
          </cell>
        </row>
        <row r="2934">
          <cell r="A2934">
            <v>2020</v>
          </cell>
          <cell r="D2934" t="str">
            <v>DIRECTION DE LA REGIE PUBLICITAIRE ET DES SOLUTIONS DIGITALES</v>
          </cell>
          <cell r="V2934">
            <v>342857.04</v>
          </cell>
          <cell r="W2934" t="str">
            <v>Fonctionnement</v>
          </cell>
        </row>
        <row r="2935">
          <cell r="A2935">
            <v>2020</v>
          </cell>
          <cell r="D2935" t="str">
            <v>DIRECTION DE LA REGIE PUBLICITAIRE ET DES SOLUTIONS DIGITALES</v>
          </cell>
          <cell r="V2935">
            <v>127272.73</v>
          </cell>
          <cell r="W2935" t="str">
            <v>Fonctionnement</v>
          </cell>
        </row>
        <row r="2936">
          <cell r="A2936">
            <v>2020</v>
          </cell>
          <cell r="D2936" t="str">
            <v>DIRECTION DE LA REGIE PUBLICITAIRE ET DES SOLUTIONS DIGITALES</v>
          </cell>
          <cell r="V2936">
            <v>377142.72</v>
          </cell>
          <cell r="W2936" t="str">
            <v>Fonctionnement</v>
          </cell>
        </row>
        <row r="2937">
          <cell r="A2937">
            <v>2020</v>
          </cell>
          <cell r="D2937" t="str">
            <v>DIRECTION DE LA REGIE PUBLICITAIRE ET DES SOLUTIONS DIGITALES</v>
          </cell>
          <cell r="V2937">
            <v>127272.73</v>
          </cell>
          <cell r="W2937" t="str">
            <v>Fonctionnement</v>
          </cell>
        </row>
        <row r="2938">
          <cell r="A2938">
            <v>2020</v>
          </cell>
          <cell r="D2938" t="str">
            <v>DIRECTION DE LA REGIE PUBLICITAIRE ET DES SOLUTIONS DIGITALES</v>
          </cell>
          <cell r="V2938">
            <v>127272.73</v>
          </cell>
          <cell r="W2938" t="str">
            <v>Fonctionnement</v>
          </cell>
        </row>
        <row r="2939">
          <cell r="A2939">
            <v>2020</v>
          </cell>
          <cell r="D2939" t="str">
            <v>DIRECTION DE LA REGIE PUBLICITAIRE ET DES SOLUTIONS DIGITALES</v>
          </cell>
          <cell r="V2939">
            <v>342857.04</v>
          </cell>
          <cell r="W2939" t="str">
            <v>Fonctionnement</v>
          </cell>
        </row>
        <row r="2940">
          <cell r="A2940">
            <v>2020</v>
          </cell>
          <cell r="D2940" t="str">
            <v>DIRECTION DE LA REGIE PUBLICITAIRE ET DES SOLUTIONS DIGITALES</v>
          </cell>
          <cell r="V2940">
            <v>127272.73</v>
          </cell>
          <cell r="W2940" t="str">
            <v>Fonctionnement</v>
          </cell>
        </row>
        <row r="2941">
          <cell r="A2941">
            <v>2020</v>
          </cell>
          <cell r="D2941" t="str">
            <v>DIRECTION DE LA REGIE PUBLICITAIRE ET DES SOLUTIONS DIGITALES</v>
          </cell>
          <cell r="V2941">
            <v>127272.73</v>
          </cell>
          <cell r="W2941" t="str">
            <v>Fonctionnement</v>
          </cell>
        </row>
        <row r="2942">
          <cell r="A2942">
            <v>2020</v>
          </cell>
          <cell r="D2942" t="str">
            <v>DIRECTION DE LA REGIE PUBLICITAIRE ET DES SOLUTIONS DIGITALES</v>
          </cell>
          <cell r="V2942">
            <v>193939.39</v>
          </cell>
          <cell r="W2942" t="str">
            <v>Fonctionnement</v>
          </cell>
        </row>
        <row r="2943">
          <cell r="A2943">
            <v>2020</v>
          </cell>
          <cell r="D2943" t="str">
            <v>DIRECTION DE LA REGIE PUBLICITAIRE ET DES SOLUTIONS DIGITALES</v>
          </cell>
          <cell r="V2943">
            <v>100800</v>
          </cell>
          <cell r="W2943" t="str">
            <v>Fonctionnement</v>
          </cell>
        </row>
        <row r="2944">
          <cell r="A2944">
            <v>2020</v>
          </cell>
          <cell r="D2944" t="str">
            <v>DIRECTION DE LA REGIE PUBLICITAIRE ET DES SOLUTIONS DIGITALES</v>
          </cell>
          <cell r="V2944">
            <v>127272.73</v>
          </cell>
          <cell r="W2944" t="str">
            <v>Fonctionnement</v>
          </cell>
        </row>
        <row r="2945">
          <cell r="A2945">
            <v>2020</v>
          </cell>
          <cell r="D2945" t="str">
            <v>DIRECTION DE LA REGIE PUBLICITAIRE ET DES SOLUTIONS DIGITALES</v>
          </cell>
          <cell r="V2945">
            <v>127272.73</v>
          </cell>
          <cell r="W2945" t="str">
            <v>Fonctionnement</v>
          </cell>
        </row>
        <row r="2946">
          <cell r="A2946">
            <v>2020</v>
          </cell>
          <cell r="D2946" t="str">
            <v>DIRECTION DE LA REGIE PUBLICITAIRE ET DES SOLUTIONS DIGITALES</v>
          </cell>
          <cell r="V2946">
            <v>193939.39</v>
          </cell>
          <cell r="W2946" t="str">
            <v>Fonctionnement</v>
          </cell>
        </row>
        <row r="2947">
          <cell r="A2947">
            <v>2020</v>
          </cell>
          <cell r="D2947" t="str">
            <v>DIRECTION DE LA REGIE PUBLICITAIRE ET DES SOLUTIONS DIGITALES</v>
          </cell>
          <cell r="V2947">
            <v>145454.54999999999</v>
          </cell>
          <cell r="W2947" t="str">
            <v>Fonctionnement</v>
          </cell>
        </row>
        <row r="2948">
          <cell r="A2948">
            <v>2020</v>
          </cell>
          <cell r="D2948" t="str">
            <v>DIRECTION DE LA REGIE PUBLICITAIRE ET DES SOLUTIONS DIGITALES</v>
          </cell>
          <cell r="V2948">
            <v>37950</v>
          </cell>
          <cell r="W2948" t="str">
            <v>Fonctionnement</v>
          </cell>
        </row>
        <row r="2949">
          <cell r="A2949">
            <v>2020</v>
          </cell>
          <cell r="D2949" t="str">
            <v>DIRECTION CENTRALE DE LA CHAÎNE TAMAZIGHT</v>
          </cell>
          <cell r="V2949">
            <v>126000</v>
          </cell>
          <cell r="W2949" t="str">
            <v>Fonctionnement</v>
          </cell>
        </row>
        <row r="2950">
          <cell r="A2950">
            <v>2020</v>
          </cell>
          <cell r="D2950" t="str">
            <v>DIRECTION CENTRALE DE LA CHAÎNE TAMAZIGHT</v>
          </cell>
          <cell r="V2950">
            <v>72000</v>
          </cell>
          <cell r="W2950" t="str">
            <v>Fonctionnement</v>
          </cell>
        </row>
        <row r="2951">
          <cell r="A2951">
            <v>2020</v>
          </cell>
          <cell r="D2951" t="str">
            <v>DIRECTION CENTRALE DE LA CHAÎNE TAMAZIGHT</v>
          </cell>
          <cell r="V2951">
            <v>109200</v>
          </cell>
          <cell r="W2951" t="str">
            <v>Fonctionnement</v>
          </cell>
        </row>
        <row r="2952">
          <cell r="A2952">
            <v>2020</v>
          </cell>
          <cell r="D2952" t="str">
            <v>DIRECTION CENTRALE DE LA CHAÎNE TAMAZIGHT</v>
          </cell>
          <cell r="V2952">
            <v>84000</v>
          </cell>
          <cell r="W2952" t="str">
            <v>Fonctionnement</v>
          </cell>
        </row>
        <row r="2953">
          <cell r="A2953">
            <v>2020</v>
          </cell>
          <cell r="D2953" t="str">
            <v>DIRECTION CENTRALE DE LA CHAÎNE TAMAZIGHT</v>
          </cell>
          <cell r="V2953">
            <v>108000</v>
          </cell>
          <cell r="W2953" t="str">
            <v>Fonctionnement</v>
          </cell>
        </row>
        <row r="2954">
          <cell r="A2954">
            <v>2020</v>
          </cell>
          <cell r="D2954" t="str">
            <v>DIRECTION CENTRALE DE LA CHAÎNE TAMAZIGHT</v>
          </cell>
          <cell r="V2954">
            <v>41600</v>
          </cell>
          <cell r="W2954" t="str">
            <v>Fonctionnement</v>
          </cell>
        </row>
        <row r="2955">
          <cell r="A2955">
            <v>2020</v>
          </cell>
          <cell r="D2955" t="str">
            <v>DIRECTION CENTRALE DE LA CHAÎNE TAMAZIGHT</v>
          </cell>
          <cell r="V2955">
            <v>96000</v>
          </cell>
          <cell r="W2955" t="str">
            <v>Fonctionnement</v>
          </cell>
        </row>
        <row r="2956">
          <cell r="A2956">
            <v>2020</v>
          </cell>
          <cell r="D2956" t="str">
            <v>DIRECTION CENTRALE DE LA CHAÎNE TAMAZIGHT</v>
          </cell>
          <cell r="V2956">
            <v>96000</v>
          </cell>
          <cell r="W2956" t="str">
            <v>Fonctionnement</v>
          </cell>
        </row>
        <row r="2957">
          <cell r="A2957">
            <v>2020</v>
          </cell>
          <cell r="D2957" t="str">
            <v>DIRECTION CENTRALE DE LA CHAÎNE TAMAZIGHT</v>
          </cell>
          <cell r="V2957">
            <v>96000</v>
          </cell>
          <cell r="W2957" t="str">
            <v>Fonctionnement</v>
          </cell>
        </row>
        <row r="2958">
          <cell r="A2958">
            <v>2020</v>
          </cell>
          <cell r="D2958" t="str">
            <v>DIRECTION CENTRALE DE LA CHAÎNE TAMAZIGHT</v>
          </cell>
          <cell r="V2958">
            <v>96000</v>
          </cell>
          <cell r="W2958" t="str">
            <v>Fonctionnement</v>
          </cell>
        </row>
        <row r="2959">
          <cell r="A2959">
            <v>2020</v>
          </cell>
          <cell r="D2959" t="str">
            <v>DIRECTION CENTRALE DE LA CHAÎNE TAMAZIGHT</v>
          </cell>
          <cell r="V2959">
            <v>96000</v>
          </cell>
          <cell r="W2959" t="str">
            <v>Fonctionnement</v>
          </cell>
        </row>
        <row r="2960">
          <cell r="A2960">
            <v>2020</v>
          </cell>
          <cell r="D2960" t="str">
            <v>DIRECTION CENTRALE DE LA CHAÎNE TAMAZIGHT</v>
          </cell>
          <cell r="V2960">
            <v>41600</v>
          </cell>
          <cell r="W2960" t="str">
            <v>Fonctionnement</v>
          </cell>
        </row>
        <row r="2961">
          <cell r="A2961">
            <v>2020</v>
          </cell>
          <cell r="D2961" t="str">
            <v>DIRECTION CENTRALE DE LA CHAÎNE TAMAZIGHT</v>
          </cell>
          <cell r="V2961">
            <v>71400</v>
          </cell>
          <cell r="W2961" t="str">
            <v>Fonctionnement</v>
          </cell>
        </row>
        <row r="2962">
          <cell r="A2962">
            <v>2020</v>
          </cell>
          <cell r="D2962" t="str">
            <v>DIRECTION CENTRALE DE LA CHAÎNE TAMAZIGHT</v>
          </cell>
          <cell r="V2962">
            <v>96000</v>
          </cell>
          <cell r="W2962" t="str">
            <v>Fonctionnement</v>
          </cell>
        </row>
        <row r="2963">
          <cell r="A2963">
            <v>2020</v>
          </cell>
          <cell r="D2963" t="str">
            <v>DIRECTION CENTRALE DE LA CHAÎNE TAMAZIGHT</v>
          </cell>
          <cell r="V2963">
            <v>96000</v>
          </cell>
          <cell r="W2963" t="str">
            <v>Fonctionnement</v>
          </cell>
        </row>
        <row r="2964">
          <cell r="A2964">
            <v>2020</v>
          </cell>
          <cell r="D2964" t="str">
            <v>DIRECTION CENTRALE DE LA CHAÎNE TAMAZIGHT</v>
          </cell>
          <cell r="V2964">
            <v>96000</v>
          </cell>
          <cell r="W2964" t="str">
            <v>Fonctionnement</v>
          </cell>
        </row>
        <row r="2965">
          <cell r="A2965">
            <v>2020</v>
          </cell>
          <cell r="D2965" t="str">
            <v>DIRECTION CENTRALE DE LA CHAÎNE TAMAZIGHT</v>
          </cell>
          <cell r="V2965">
            <v>96000</v>
          </cell>
          <cell r="W2965" t="str">
            <v>Fonctionnement</v>
          </cell>
        </row>
        <row r="2966">
          <cell r="A2966">
            <v>2020</v>
          </cell>
          <cell r="D2966" t="str">
            <v>DIRECTION CENTRALE DE LA CHAÎNE TAMAZIGHT</v>
          </cell>
          <cell r="V2966">
            <v>71400</v>
          </cell>
          <cell r="W2966" t="str">
            <v>Fonctionnement</v>
          </cell>
        </row>
        <row r="2967">
          <cell r="A2967">
            <v>2020</v>
          </cell>
          <cell r="D2967" t="str">
            <v>DIRECTION CENTRALE DE LA CHAÎNE TAMAZIGHT</v>
          </cell>
          <cell r="V2967">
            <v>96000</v>
          </cell>
          <cell r="W2967" t="str">
            <v>Fonctionnement</v>
          </cell>
        </row>
        <row r="2968">
          <cell r="A2968">
            <v>2020</v>
          </cell>
          <cell r="D2968" t="str">
            <v>DIRECTION CENTRALE DE LA CHAÎNE TAMAZIGHT</v>
          </cell>
          <cell r="V2968">
            <v>96000</v>
          </cell>
          <cell r="W2968" t="str">
            <v>Fonctionnement</v>
          </cell>
        </row>
        <row r="2969">
          <cell r="A2969">
            <v>2020</v>
          </cell>
          <cell r="D2969" t="str">
            <v>DIRECTION CENTRALE DE LA CHAÎNE TAMAZIGHT</v>
          </cell>
          <cell r="V2969">
            <v>41600</v>
          </cell>
          <cell r="W2969" t="str">
            <v>Fonctionnement</v>
          </cell>
        </row>
        <row r="2970">
          <cell r="A2970">
            <v>2020</v>
          </cell>
          <cell r="D2970" t="str">
            <v>DIRECTION CENTRALE DE LA CHAÎNE TAMAZIGHT</v>
          </cell>
          <cell r="V2970">
            <v>96000</v>
          </cell>
          <cell r="W2970" t="str">
            <v>Fonctionnement</v>
          </cell>
        </row>
        <row r="2971">
          <cell r="A2971">
            <v>2020</v>
          </cell>
          <cell r="D2971" t="str">
            <v>DIRECTION CENTRALE DE LA CHAÎNE TAMAZIGHT</v>
          </cell>
          <cell r="V2971">
            <v>96000</v>
          </cell>
          <cell r="W2971" t="str">
            <v>Fonctionnement</v>
          </cell>
        </row>
        <row r="2972">
          <cell r="A2972">
            <v>2020</v>
          </cell>
          <cell r="D2972" t="str">
            <v>DIRECTION CENTRALE DE LA CHAÎNE TAMAZIGHT</v>
          </cell>
          <cell r="V2972">
            <v>120000</v>
          </cell>
          <cell r="W2972" t="str">
            <v>Fonctionnement</v>
          </cell>
        </row>
        <row r="2973">
          <cell r="A2973">
            <v>2020</v>
          </cell>
          <cell r="D2973" t="str">
            <v>DIRECTION CENTRALE DE LA CHAÎNE TAMAZIGHT</v>
          </cell>
          <cell r="V2973">
            <v>96000</v>
          </cell>
          <cell r="W2973" t="str">
            <v>Fonctionnement</v>
          </cell>
        </row>
        <row r="2974">
          <cell r="A2974">
            <v>2020</v>
          </cell>
          <cell r="D2974" t="str">
            <v>DIRECTION CENTRALE DE LA CHAÎNE TAMAZIGHT</v>
          </cell>
          <cell r="V2974">
            <v>71400</v>
          </cell>
          <cell r="W2974" t="str">
            <v>Fonctionnement</v>
          </cell>
        </row>
        <row r="2975">
          <cell r="A2975">
            <v>2020</v>
          </cell>
          <cell r="D2975" t="str">
            <v>DIRECTION CENTRALE DE LA CHAÎNE TAMAZIGHT</v>
          </cell>
          <cell r="V2975">
            <v>96000</v>
          </cell>
          <cell r="W2975" t="str">
            <v>Fonctionnement</v>
          </cell>
        </row>
        <row r="2976">
          <cell r="A2976">
            <v>2020</v>
          </cell>
          <cell r="D2976" t="str">
            <v>DIRECTION CENTRALE DE LA CHAÎNE TAMAZIGHT</v>
          </cell>
          <cell r="V2976">
            <v>71400</v>
          </cell>
          <cell r="W2976" t="str">
            <v>Fonctionnement</v>
          </cell>
        </row>
        <row r="2977">
          <cell r="A2977">
            <v>2020</v>
          </cell>
          <cell r="D2977" t="str">
            <v>DIRECTION CENTRALE DE LA CHAÎNE TAMAZIGHT</v>
          </cell>
          <cell r="V2977">
            <v>96000</v>
          </cell>
          <cell r="W2977" t="str">
            <v>Fonctionnement</v>
          </cell>
        </row>
        <row r="2978">
          <cell r="A2978">
            <v>2020</v>
          </cell>
          <cell r="D2978" t="str">
            <v>DIRECTION CENTRALE DE LA CHAÎNE TAMAZIGHT</v>
          </cell>
          <cell r="V2978">
            <v>96000</v>
          </cell>
          <cell r="W2978" t="str">
            <v>Fonctionnement</v>
          </cell>
        </row>
        <row r="2979">
          <cell r="A2979">
            <v>2020</v>
          </cell>
          <cell r="D2979" t="str">
            <v>DIRECTION CENTRALE DE LA CHAÎNE TAMAZIGHT</v>
          </cell>
          <cell r="V2979">
            <v>96000</v>
          </cell>
          <cell r="W2979" t="str">
            <v>Fonctionnement</v>
          </cell>
        </row>
        <row r="2980">
          <cell r="A2980">
            <v>2020</v>
          </cell>
          <cell r="D2980" t="str">
            <v>DIRECTION CENTRALE DE LA CHAÎNE TAMAZIGHT</v>
          </cell>
          <cell r="V2980">
            <v>132000</v>
          </cell>
          <cell r="W2980" t="str">
            <v>Fonctionnement</v>
          </cell>
        </row>
        <row r="2981">
          <cell r="A2981">
            <v>2020</v>
          </cell>
          <cell r="D2981" t="str">
            <v>DIRECTION CENTRALE DE LA CHAÎNE TAMAZIGHT</v>
          </cell>
          <cell r="V2981">
            <v>5000</v>
          </cell>
          <cell r="W2981" t="str">
            <v>Fonctionnement</v>
          </cell>
        </row>
        <row r="2982">
          <cell r="A2982">
            <v>2020</v>
          </cell>
          <cell r="D2982" t="str">
            <v>DIRECTION CENTRALE DE LA CHAÎNE TAMAZIGHT</v>
          </cell>
          <cell r="V2982">
            <v>20000</v>
          </cell>
          <cell r="W2982" t="str">
            <v>Fonctionnement</v>
          </cell>
        </row>
        <row r="2983">
          <cell r="A2983">
            <v>2020</v>
          </cell>
          <cell r="D2983" t="str">
            <v>DIRECTION CENTRALE DE LA CHAÎNE TAMAZIGHT</v>
          </cell>
          <cell r="V2983">
            <v>20000</v>
          </cell>
          <cell r="W2983" t="str">
            <v>Fonctionnement</v>
          </cell>
        </row>
        <row r="2984">
          <cell r="A2984">
            <v>2020</v>
          </cell>
          <cell r="D2984" t="str">
            <v>DIRECTION CENTRALE DE LA CHAÎNE TAMAZIGHT</v>
          </cell>
          <cell r="V2984">
            <v>10000</v>
          </cell>
          <cell r="W2984" t="str">
            <v>Fonctionnement</v>
          </cell>
        </row>
        <row r="2985">
          <cell r="A2985">
            <v>2020</v>
          </cell>
          <cell r="D2985" t="str">
            <v>DIRECTION CENTRALE DE LA CHAÎNE TAMAZIGHT</v>
          </cell>
          <cell r="V2985">
            <v>5000</v>
          </cell>
          <cell r="W2985" t="str">
            <v>Fonctionnement</v>
          </cell>
        </row>
        <row r="2986">
          <cell r="A2986">
            <v>2020</v>
          </cell>
          <cell r="D2986" t="str">
            <v>DIRECTION CENTRALE DE LA CHAÎNE TAMAZIGHT</v>
          </cell>
          <cell r="V2986">
            <v>2500</v>
          </cell>
          <cell r="W2986" t="str">
            <v>Fonctionnement</v>
          </cell>
        </row>
        <row r="2987">
          <cell r="A2987">
            <v>2020</v>
          </cell>
          <cell r="D2987" t="str">
            <v>DIRECTION CENTRALE DE LA CHAÎNE TAMAZIGHT</v>
          </cell>
          <cell r="V2987">
            <v>5000</v>
          </cell>
          <cell r="W2987" t="str">
            <v>Fonctionnement</v>
          </cell>
        </row>
        <row r="2988">
          <cell r="A2988">
            <v>2020</v>
          </cell>
          <cell r="D2988" t="str">
            <v>DIRECTION CENTRALE DE LA CHAÎNE TAMAZIGHT</v>
          </cell>
          <cell r="V2988">
            <v>5000</v>
          </cell>
          <cell r="W2988" t="str">
            <v>Fonctionnement</v>
          </cell>
        </row>
        <row r="2989">
          <cell r="A2989">
            <v>2020</v>
          </cell>
          <cell r="D2989" t="str">
            <v>DIRECTION CENTRALE DE LA CHAÎNE TAMAZIGHT</v>
          </cell>
          <cell r="V2989">
            <v>20000</v>
          </cell>
          <cell r="W2989" t="str">
            <v>Fonctionnement</v>
          </cell>
        </row>
        <row r="2990">
          <cell r="A2990">
            <v>2020</v>
          </cell>
          <cell r="D2990" t="str">
            <v>DIRECTION CENTRALE DE LA CHAÎNE TAMAZIGHT</v>
          </cell>
          <cell r="V2990">
            <v>5000</v>
          </cell>
          <cell r="W2990" t="str">
            <v>Fonctionnement</v>
          </cell>
        </row>
        <row r="2991">
          <cell r="A2991">
            <v>2020</v>
          </cell>
          <cell r="D2991" t="str">
            <v>DIRECTION CENTRALE DE LA CHAÎNE TAMAZIGHT</v>
          </cell>
          <cell r="V2991">
            <v>2500</v>
          </cell>
          <cell r="W2991" t="str">
            <v>Fonctionnement</v>
          </cell>
        </row>
        <row r="2992">
          <cell r="A2992">
            <v>2020</v>
          </cell>
          <cell r="D2992" t="str">
            <v>DIRECTION CENTRALE DE LA CHAÎNE TAMAZIGHT</v>
          </cell>
          <cell r="V2992">
            <v>2500</v>
          </cell>
          <cell r="W2992" t="str">
            <v>Fonctionnement</v>
          </cell>
        </row>
        <row r="2993">
          <cell r="A2993">
            <v>2020</v>
          </cell>
          <cell r="D2993" t="str">
            <v>DIRECTION CENTRALE DE LA CHAÎNE TAMAZIGHT</v>
          </cell>
          <cell r="V2993">
            <v>20000</v>
          </cell>
          <cell r="W2993" t="str">
            <v>Fonctionnement</v>
          </cell>
        </row>
        <row r="2994">
          <cell r="A2994">
            <v>2020</v>
          </cell>
          <cell r="D2994" t="str">
            <v>DIRECTION CENTRALE DE LA CHAÎNE TAMAZIGHT</v>
          </cell>
          <cell r="V2994">
            <v>5000</v>
          </cell>
          <cell r="W2994" t="str">
            <v>Fonctionnement</v>
          </cell>
        </row>
        <row r="2995">
          <cell r="A2995">
            <v>2020</v>
          </cell>
          <cell r="D2995" t="str">
            <v>DIRECTION CENTRALE DE LA CHAÎNE TAMAZIGHT</v>
          </cell>
          <cell r="V2995">
            <v>10000</v>
          </cell>
          <cell r="W2995" t="str">
            <v>Fonctionnement</v>
          </cell>
        </row>
        <row r="2996">
          <cell r="A2996">
            <v>2020</v>
          </cell>
          <cell r="D2996" t="str">
            <v>DIRECTION CENTRALE DE LA CHAÎNE TAMAZIGHT</v>
          </cell>
          <cell r="V2996">
            <v>10000</v>
          </cell>
          <cell r="W2996" t="str">
            <v>Fonctionnement</v>
          </cell>
        </row>
        <row r="2997">
          <cell r="A2997">
            <v>2020</v>
          </cell>
          <cell r="D2997" t="str">
            <v>DIRECTION CENTRALE DE LA CHAÎNE TAMAZIGHT</v>
          </cell>
          <cell r="V2997">
            <v>10000</v>
          </cell>
          <cell r="W2997" t="str">
            <v>Fonctionnement</v>
          </cell>
        </row>
        <row r="2998">
          <cell r="A2998">
            <v>2020</v>
          </cell>
          <cell r="D2998" t="str">
            <v>DIRECTION CENTRALE DE LA CHAÎNE TAMAZIGHT</v>
          </cell>
          <cell r="V2998">
            <v>5000</v>
          </cell>
          <cell r="W2998" t="str">
            <v>Fonctionnement</v>
          </cell>
        </row>
        <row r="2999">
          <cell r="A2999">
            <v>2020</v>
          </cell>
          <cell r="D2999" t="str">
            <v>DIRECTION CENTRALE DE LA CHAÎNE TAMAZIGHT</v>
          </cell>
          <cell r="V2999">
            <v>5000</v>
          </cell>
          <cell r="W2999" t="str">
            <v>Fonctionnement</v>
          </cell>
        </row>
        <row r="3000">
          <cell r="A3000">
            <v>2020</v>
          </cell>
          <cell r="D3000" t="str">
            <v>DIRECTION CENTRALE DE LA CHAÎNE TAMAZIGHT</v>
          </cell>
          <cell r="V3000">
            <v>20000</v>
          </cell>
          <cell r="W3000" t="str">
            <v>Fonctionnement</v>
          </cell>
        </row>
        <row r="3001">
          <cell r="A3001">
            <v>2020</v>
          </cell>
          <cell r="D3001" t="str">
            <v>DIRECTION CENTRALE DE LA CHAÎNE TAMAZIGHT</v>
          </cell>
          <cell r="V3001">
            <v>5000</v>
          </cell>
          <cell r="W3001" t="str">
            <v>Fonctionnement</v>
          </cell>
        </row>
        <row r="3002">
          <cell r="A3002">
            <v>2020</v>
          </cell>
          <cell r="D3002" t="str">
            <v>DIRECTION CENTRALE DE LA CHAÎNE TAMAZIGHT</v>
          </cell>
          <cell r="V3002">
            <v>5000</v>
          </cell>
          <cell r="W3002" t="str">
            <v>Fonctionnement</v>
          </cell>
        </row>
        <row r="3003">
          <cell r="A3003">
            <v>2020</v>
          </cell>
          <cell r="D3003" t="str">
            <v>DIRECTION CENTRALE DE LA CHAÎNE TAMAZIGHT</v>
          </cell>
          <cell r="V3003">
            <v>20000</v>
          </cell>
          <cell r="W3003" t="str">
            <v>Fonctionnement</v>
          </cell>
        </row>
        <row r="3004">
          <cell r="A3004">
            <v>2020</v>
          </cell>
          <cell r="D3004" t="str">
            <v>DIRECTION CENTRALE DE LA CHAÎNE TAMAZIGHT</v>
          </cell>
          <cell r="V3004">
            <v>5000</v>
          </cell>
          <cell r="W3004" t="str">
            <v>Fonctionnement</v>
          </cell>
        </row>
        <row r="3005">
          <cell r="A3005">
            <v>2020</v>
          </cell>
          <cell r="D3005" t="str">
            <v>DIRECTION CENTRALE DE LA CHAÎNE TAMAZIGHT</v>
          </cell>
          <cell r="V3005">
            <v>5000</v>
          </cell>
          <cell r="W3005" t="str">
            <v>Fonctionnement</v>
          </cell>
        </row>
        <row r="3006">
          <cell r="A3006">
            <v>2020</v>
          </cell>
          <cell r="D3006" t="str">
            <v>DIRECTION CENTRALE DE LA CHAÎNE TAMAZIGHT</v>
          </cell>
          <cell r="V3006">
            <v>20000</v>
          </cell>
          <cell r="W3006" t="str">
            <v>Fonctionnement</v>
          </cell>
        </row>
        <row r="3007">
          <cell r="A3007">
            <v>2020</v>
          </cell>
          <cell r="D3007" t="str">
            <v>DIRECTION CENTRALE DE LA CHAÎNE TAMAZIGHT</v>
          </cell>
          <cell r="V3007">
            <v>48000</v>
          </cell>
          <cell r="W3007" t="str">
            <v>Fonctionnement</v>
          </cell>
        </row>
        <row r="3008">
          <cell r="A3008">
            <v>2020</v>
          </cell>
          <cell r="D3008" t="str">
            <v>DIRECTION CENTRALE DE LA CHAÎNE TAMAZIGHT</v>
          </cell>
          <cell r="V3008">
            <v>50000</v>
          </cell>
          <cell r="W3008" t="str">
            <v>Fonctionnement</v>
          </cell>
        </row>
        <row r="3009">
          <cell r="A3009">
            <v>2020</v>
          </cell>
          <cell r="D3009" t="str">
            <v>DIRECTION CENTRALE DE LA CHAÎNE TAMAZIGHT</v>
          </cell>
          <cell r="V3009">
            <v>35000</v>
          </cell>
          <cell r="W3009" t="str">
            <v>Fonctionnement</v>
          </cell>
        </row>
        <row r="3010">
          <cell r="A3010">
            <v>2020</v>
          </cell>
          <cell r="D3010" t="str">
            <v>DIRECTION CENTRALE DE LA CHAÎNE TAMAZIGHT</v>
          </cell>
          <cell r="V3010">
            <v>35000</v>
          </cell>
          <cell r="W3010" t="str">
            <v>Fonctionnement</v>
          </cell>
        </row>
        <row r="3011">
          <cell r="A3011">
            <v>2020</v>
          </cell>
          <cell r="D3011" t="str">
            <v>DIRECTION CENTRALE DE LA CHAÎNE TAMAZIGHT</v>
          </cell>
          <cell r="V3011">
            <v>35000</v>
          </cell>
          <cell r="W3011" t="str">
            <v>Fonctionnement</v>
          </cell>
        </row>
        <row r="3012">
          <cell r="A3012">
            <v>2020</v>
          </cell>
          <cell r="D3012" t="str">
            <v>DIRECTION CENTRALE DE LA CHAÎNE TAMAZIGHT</v>
          </cell>
          <cell r="V3012">
            <v>1555193.64</v>
          </cell>
          <cell r="W3012" t="str">
            <v>Fonctionnement</v>
          </cell>
        </row>
        <row r="3013">
          <cell r="A3013">
            <v>2020</v>
          </cell>
          <cell r="D3013" t="str">
            <v>DIRECTION CENTRALE DE LA CHAÎNE TAMAZIGHT</v>
          </cell>
          <cell r="V3013">
            <v>62400</v>
          </cell>
          <cell r="W3013" t="str">
            <v>Fonctionnement</v>
          </cell>
        </row>
        <row r="3014">
          <cell r="A3014">
            <v>2020</v>
          </cell>
          <cell r="D3014" t="str">
            <v>DIRECTION CENTRALE DE LA CHAÎNE TAMAZIGHT</v>
          </cell>
          <cell r="V3014">
            <v>36000</v>
          </cell>
          <cell r="W3014" t="str">
            <v>Fonctionnement</v>
          </cell>
        </row>
        <row r="3015">
          <cell r="A3015">
            <v>2020</v>
          </cell>
          <cell r="D3015" t="str">
            <v>DIRECTION CENTRALE DE LA CHAÎNE TAMAZIGHT</v>
          </cell>
          <cell r="V3015">
            <v>144000</v>
          </cell>
          <cell r="W3015" t="str">
            <v>Fonctionnement</v>
          </cell>
        </row>
        <row r="3016">
          <cell r="A3016">
            <v>2020</v>
          </cell>
          <cell r="D3016" t="str">
            <v>DIRECTION CENTRALE DE LA CHAÎNE TAMAZIGHT</v>
          </cell>
          <cell r="V3016">
            <v>84000</v>
          </cell>
          <cell r="W3016" t="str">
            <v>Fonctionnement</v>
          </cell>
        </row>
        <row r="3017">
          <cell r="A3017">
            <v>2020</v>
          </cell>
          <cell r="D3017" t="str">
            <v>DIRECTION CENTRALE DE LA CHAÎNE TAMAZIGHT</v>
          </cell>
          <cell r="V3017">
            <v>109200</v>
          </cell>
          <cell r="W3017" t="str">
            <v>Fonctionnement</v>
          </cell>
        </row>
        <row r="3018">
          <cell r="A3018">
            <v>2020</v>
          </cell>
          <cell r="D3018" t="str">
            <v>DIRECTION CENTRALE DE LA CHAÎNE TAMAZIGHT</v>
          </cell>
          <cell r="V3018">
            <v>84000</v>
          </cell>
          <cell r="W3018" t="str">
            <v>Fonctionnement</v>
          </cell>
        </row>
        <row r="3019">
          <cell r="A3019">
            <v>2020</v>
          </cell>
          <cell r="D3019" t="str">
            <v>DIRECTION CENTRALE DE LA CHAÎNE TAMAZIGHT</v>
          </cell>
          <cell r="V3019">
            <v>124800</v>
          </cell>
          <cell r="W3019" t="str">
            <v>Fonctionnement</v>
          </cell>
        </row>
        <row r="3020">
          <cell r="A3020">
            <v>2020</v>
          </cell>
          <cell r="D3020" t="str">
            <v>DIRECTION CENTRALE DE LA CHAÎNE TAMAZIGHT</v>
          </cell>
          <cell r="V3020">
            <v>84000</v>
          </cell>
          <cell r="W3020" t="str">
            <v>Fonctionnement</v>
          </cell>
        </row>
        <row r="3021">
          <cell r="A3021">
            <v>2020</v>
          </cell>
          <cell r="D3021" t="str">
            <v>DIRECTION CENTRALE DE LA CHAÎNE TAMAZIGHT</v>
          </cell>
          <cell r="V3021">
            <v>96000</v>
          </cell>
          <cell r="W3021" t="str">
            <v>Fonctionnement</v>
          </cell>
        </row>
        <row r="3022">
          <cell r="A3022">
            <v>2020</v>
          </cell>
          <cell r="D3022" t="str">
            <v>DIRECTION CENTRALE DE LA CHAÎNE TAMAZIGHT</v>
          </cell>
          <cell r="V3022">
            <v>72000</v>
          </cell>
          <cell r="W3022" t="str">
            <v>Fonctionnement</v>
          </cell>
        </row>
        <row r="3023">
          <cell r="A3023">
            <v>2020</v>
          </cell>
          <cell r="D3023" t="str">
            <v>DIRECTION CENTRALE DE LA CHAÎNE TAMAZIGHT</v>
          </cell>
          <cell r="V3023">
            <v>72000</v>
          </cell>
          <cell r="W3023" t="str">
            <v>Fonctionnement</v>
          </cell>
        </row>
        <row r="3024">
          <cell r="A3024">
            <v>2020</v>
          </cell>
          <cell r="D3024" t="str">
            <v>DIRECTION CENTRALE DE LA CHAÎNE TAMAZIGHT</v>
          </cell>
          <cell r="V3024">
            <v>109200</v>
          </cell>
          <cell r="W3024" t="str">
            <v>Fonctionnement</v>
          </cell>
        </row>
        <row r="3025">
          <cell r="A3025">
            <v>2020</v>
          </cell>
          <cell r="D3025" t="str">
            <v>DIRECTION CENTRALE DE LA CHAÎNE TAMAZIGHT</v>
          </cell>
          <cell r="V3025">
            <v>124800</v>
          </cell>
          <cell r="W3025" t="str">
            <v>Fonctionnement</v>
          </cell>
        </row>
        <row r="3026">
          <cell r="A3026">
            <v>2020</v>
          </cell>
          <cell r="D3026" t="str">
            <v>DIRECTION CENTRALE DE LA CHAÎNE TAMAZIGHT</v>
          </cell>
          <cell r="V3026">
            <v>78000</v>
          </cell>
          <cell r="W3026" t="str">
            <v>Fonctionnement</v>
          </cell>
        </row>
        <row r="3027">
          <cell r="A3027">
            <v>2020</v>
          </cell>
          <cell r="D3027" t="str">
            <v>DIRECTION CENTRALE DE LA CHAÎNE TAMAZIGHT</v>
          </cell>
          <cell r="V3027">
            <v>96000</v>
          </cell>
          <cell r="W3027" t="str">
            <v>Fonctionnement</v>
          </cell>
        </row>
        <row r="3028">
          <cell r="A3028">
            <v>2020</v>
          </cell>
          <cell r="D3028" t="str">
            <v>DIRECTION CENTRALE DE LA CHAÎNE TAMAZIGHT</v>
          </cell>
          <cell r="V3028">
            <v>90000</v>
          </cell>
          <cell r="W3028" t="str">
            <v>Fonctionnement</v>
          </cell>
        </row>
        <row r="3029">
          <cell r="A3029">
            <v>2020</v>
          </cell>
          <cell r="D3029" t="str">
            <v>DIRECTION CENTRALE DE LA CHAÎNE TAMAZIGHT</v>
          </cell>
          <cell r="V3029">
            <v>85800</v>
          </cell>
          <cell r="W3029" t="str">
            <v>Fonctionnement</v>
          </cell>
        </row>
        <row r="3030">
          <cell r="A3030">
            <v>2020</v>
          </cell>
          <cell r="D3030" t="str">
            <v>DIRECTION CENTRALE DE LA CHAÎNE TAMAZIGHT</v>
          </cell>
          <cell r="V3030">
            <v>84000</v>
          </cell>
          <cell r="W3030" t="str">
            <v>Fonctionnement</v>
          </cell>
        </row>
        <row r="3031">
          <cell r="A3031">
            <v>2020</v>
          </cell>
          <cell r="D3031" t="str">
            <v>DIRECTION CENTRALE DE LA CHAÎNE TAMAZIGHT</v>
          </cell>
          <cell r="V3031">
            <v>78000</v>
          </cell>
          <cell r="W3031" t="str">
            <v>Fonctionnement</v>
          </cell>
        </row>
        <row r="3032">
          <cell r="A3032">
            <v>2020</v>
          </cell>
          <cell r="D3032" t="str">
            <v>DIRECTION CENTRALE DE LA CHAÎNE TAMAZIGHT</v>
          </cell>
          <cell r="V3032">
            <v>84000</v>
          </cell>
          <cell r="W3032" t="str">
            <v>Fonctionnement</v>
          </cell>
        </row>
        <row r="3033">
          <cell r="A3033">
            <v>2020</v>
          </cell>
          <cell r="D3033" t="str">
            <v>DIRECTION CENTRALE DE LA CHAÎNE TAMAZIGHT</v>
          </cell>
          <cell r="V3033">
            <v>96000</v>
          </cell>
          <cell r="W3033" t="str">
            <v>Fonctionnement</v>
          </cell>
        </row>
        <row r="3034">
          <cell r="A3034">
            <v>2020</v>
          </cell>
          <cell r="D3034" t="str">
            <v>DIRECTION CENTRALE DE LA CHAÎNE TAMAZIGHT</v>
          </cell>
          <cell r="V3034">
            <v>16000</v>
          </cell>
          <cell r="W3034" t="str">
            <v>Fonctionnement</v>
          </cell>
        </row>
        <row r="3035">
          <cell r="A3035">
            <v>2020</v>
          </cell>
          <cell r="D3035" t="str">
            <v>DIRECTION DE LA TELEDIFFUSION</v>
          </cell>
          <cell r="V3035">
            <v>2823.68</v>
          </cell>
          <cell r="W3035" t="str">
            <v>Fonctionnement</v>
          </cell>
        </row>
        <row r="3036">
          <cell r="A3036">
            <v>2020</v>
          </cell>
          <cell r="D3036" t="str">
            <v>DIRECTION DE LA TELEDIFFUSION</v>
          </cell>
          <cell r="V3036">
            <v>2823.68</v>
          </cell>
          <cell r="W3036" t="str">
            <v>Fonctionnement</v>
          </cell>
        </row>
        <row r="3037">
          <cell r="A3037">
            <v>2020</v>
          </cell>
          <cell r="D3037" t="str">
            <v>DIRECTION DE LA TELEDIFFUSION</v>
          </cell>
          <cell r="V3037">
            <v>1136.46</v>
          </cell>
          <cell r="W3037" t="str">
            <v>Fonctionnement</v>
          </cell>
        </row>
        <row r="3038">
          <cell r="A3038">
            <v>2020</v>
          </cell>
          <cell r="D3038" t="str">
            <v>DIRECTION DE LA TELEDIFFUSION</v>
          </cell>
          <cell r="V3038">
            <v>1515.16</v>
          </cell>
          <cell r="W3038" t="str">
            <v>Fonctionnement</v>
          </cell>
        </row>
        <row r="3039">
          <cell r="A3039">
            <v>2020</v>
          </cell>
          <cell r="D3039" t="str">
            <v>DIRECTION DE LA TELEDIFFUSION</v>
          </cell>
          <cell r="V3039">
            <v>115588.37</v>
          </cell>
          <cell r="W3039" t="str">
            <v>Investissement</v>
          </cell>
        </row>
        <row r="3040">
          <cell r="A3040">
            <v>2020</v>
          </cell>
          <cell r="D3040" t="str">
            <v>DIRECTION DE LA TELEDIFFUSION</v>
          </cell>
          <cell r="V3040">
            <v>156910.26</v>
          </cell>
          <cell r="W3040" t="str">
            <v>Investissement</v>
          </cell>
        </row>
        <row r="3041">
          <cell r="A3041">
            <v>2020</v>
          </cell>
          <cell r="D3041" t="str">
            <v>DIRECTION DE LA TELEDIFFUSION</v>
          </cell>
          <cell r="V3041">
            <v>656344.63</v>
          </cell>
          <cell r="W3041" t="str">
            <v>Fonctionnement</v>
          </cell>
        </row>
        <row r="3042">
          <cell r="A3042">
            <v>2016</v>
          </cell>
          <cell r="D3042" t="str">
            <v>DIRECTION CHARGEE DES RELATIONS INTERNATIONALES</v>
          </cell>
          <cell r="V3042">
            <v>951403.21</v>
          </cell>
          <cell r="W3042" t="str">
            <v>Fonctionnement</v>
          </cell>
        </row>
        <row r="3043">
          <cell r="A3043">
            <v>2016</v>
          </cell>
          <cell r="D3043" t="str">
            <v>DIRECTION DE L’INFORMATION TV</v>
          </cell>
          <cell r="V3043">
            <v>1773637.83</v>
          </cell>
          <cell r="W3043" t="str">
            <v>Fonctionnement</v>
          </cell>
        </row>
        <row r="3044">
          <cell r="A3044">
            <v>2017</v>
          </cell>
          <cell r="D3044" t="str">
            <v>DIRECTION CHARGEE DES RELATIONS INTERNATIONALES</v>
          </cell>
          <cell r="V3044">
            <v>912002.99</v>
          </cell>
          <cell r="W3044" t="str">
            <v>Fonctionnement</v>
          </cell>
        </row>
        <row r="3045">
          <cell r="A3045">
            <v>2017</v>
          </cell>
          <cell r="D3045" t="str">
            <v>DIRECTION CENTRALE DE LA CHAÎNE ARRYADIA</v>
          </cell>
          <cell r="V3045">
            <v>1120013.3500000001</v>
          </cell>
          <cell r="W3045" t="str">
            <v>Fonctionnement</v>
          </cell>
        </row>
        <row r="3046">
          <cell r="A3046">
            <v>2017</v>
          </cell>
          <cell r="D3046" t="str">
            <v>DIRECTION CENTRALE DE LA CHAÎNE ARRYADIA</v>
          </cell>
          <cell r="V3046">
            <v>839525.16</v>
          </cell>
          <cell r="W3046" t="str">
            <v>Fonctionnement</v>
          </cell>
        </row>
        <row r="3047">
          <cell r="A3047">
            <v>2016</v>
          </cell>
          <cell r="D3047" t="str">
            <v>DIRECTION CHARGEE DES RELATIONS INTERNATIONALES</v>
          </cell>
          <cell r="V3047">
            <v>1332277.74</v>
          </cell>
          <cell r="W3047" t="str">
            <v>Fonctionnement</v>
          </cell>
        </row>
        <row r="3048">
          <cell r="A3048">
            <v>2016</v>
          </cell>
          <cell r="D3048" t="str">
            <v>DIRECTION CHARGEE DES RELATIONS INTERNATIONALES</v>
          </cell>
          <cell r="V3048">
            <v>1342849.88</v>
          </cell>
          <cell r="W3048" t="str">
            <v>Fonctionnement</v>
          </cell>
        </row>
        <row r="3049">
          <cell r="A3049">
            <v>2017</v>
          </cell>
          <cell r="D3049" t="str">
            <v>DIRECTION CHARGEE DES RELATIONS INTERNATIONALES</v>
          </cell>
          <cell r="V3049">
            <v>2287303.84</v>
          </cell>
          <cell r="W3049" t="str">
            <v>Fonctionnement</v>
          </cell>
        </row>
        <row r="3050">
          <cell r="A3050">
            <v>2017</v>
          </cell>
          <cell r="D3050" t="str">
            <v>DIRECTION DE L’INFORMATION TV</v>
          </cell>
          <cell r="V3050">
            <v>1867727.09</v>
          </cell>
          <cell r="W3050" t="str">
            <v>Fonctionnement</v>
          </cell>
        </row>
        <row r="3051">
          <cell r="A3051">
            <v>2017</v>
          </cell>
          <cell r="D3051" t="str">
            <v>DIRECTION CENTRALE DE LA CHAÎNE ARRYADIA</v>
          </cell>
          <cell r="V3051">
            <v>518809.64</v>
          </cell>
          <cell r="W3051" t="str">
            <v>Fonctionnement</v>
          </cell>
        </row>
        <row r="3052">
          <cell r="A3052">
            <v>2017</v>
          </cell>
          <cell r="D3052" t="str">
            <v>DIRECTION DE L’INFORMATION TV</v>
          </cell>
          <cell r="V3052">
            <v>1332277.74</v>
          </cell>
          <cell r="W3052" t="str">
            <v>Fonctionnement</v>
          </cell>
        </row>
        <row r="3053">
          <cell r="A3053">
            <v>2017</v>
          </cell>
          <cell r="D3053" t="str">
            <v>DIRECTION DE L’INFORMATION TV</v>
          </cell>
          <cell r="V3053">
            <v>1342849.88</v>
          </cell>
          <cell r="W3053" t="str">
            <v>Fonctionnement</v>
          </cell>
        </row>
        <row r="3054">
          <cell r="A3054">
            <v>2017</v>
          </cell>
          <cell r="D3054" t="str">
            <v>DIRECTION CENTRALE DE LA CHAÎNE ARRYADIA</v>
          </cell>
          <cell r="V3054">
            <v>301890</v>
          </cell>
          <cell r="W3054" t="str">
            <v>Fonctionnement</v>
          </cell>
        </row>
        <row r="3055">
          <cell r="A3055">
            <v>2018</v>
          </cell>
          <cell r="D3055" t="str">
            <v>DIRECTION DE LA TELEDIFFUSION</v>
          </cell>
          <cell r="V3055">
            <v>6231956.1799999997</v>
          </cell>
          <cell r="W3055" t="str">
            <v>Fonctionnement</v>
          </cell>
        </row>
        <row r="3056">
          <cell r="A3056">
            <v>2018</v>
          </cell>
          <cell r="D3056" t="str">
            <v>DIRECTION DE LA TELEDIFFUSION</v>
          </cell>
          <cell r="V3056">
            <v>134880</v>
          </cell>
          <cell r="W3056" t="str">
            <v>Fonctionnement</v>
          </cell>
        </row>
        <row r="3057">
          <cell r="A3057">
            <v>2018</v>
          </cell>
          <cell r="D3057" t="str">
            <v>DIRECTION DE LA TELEDIFFUSION</v>
          </cell>
          <cell r="V3057">
            <v>894480.99840000004</v>
          </cell>
          <cell r="W3057" t="str">
            <v>Fonctionnement</v>
          </cell>
        </row>
        <row r="3058">
          <cell r="A3058">
            <v>2018</v>
          </cell>
          <cell r="D3058" t="str">
            <v>DIRECTION DE LA TELEDIFFUSION</v>
          </cell>
          <cell r="V3058">
            <v>94416</v>
          </cell>
          <cell r="W3058" t="str">
            <v>Fonctionnement</v>
          </cell>
        </row>
        <row r="3059">
          <cell r="A3059">
            <v>2018</v>
          </cell>
          <cell r="D3059" t="str">
            <v>DIRECTION DE LA TELEDIFFUSION</v>
          </cell>
          <cell r="V3059">
            <v>38215999.550400004</v>
          </cell>
          <cell r="W3059" t="str">
            <v>Fonctionnement</v>
          </cell>
        </row>
        <row r="3060">
          <cell r="A3060">
            <v>2018</v>
          </cell>
          <cell r="D3060" t="str">
            <v>DIRECTION DE LA TELEDIFFUSION</v>
          </cell>
          <cell r="V3060">
            <v>11910011.904000001</v>
          </cell>
          <cell r="W3060" t="str">
            <v>Fonctionnement</v>
          </cell>
        </row>
        <row r="3061">
          <cell r="A3061">
            <v>2018</v>
          </cell>
          <cell r="D3061" t="str">
            <v>DIRECTION DE LA TELEDIFFUSION</v>
          </cell>
          <cell r="V3061">
            <v>2697600</v>
          </cell>
          <cell r="W3061" t="str">
            <v>Fonctionnement</v>
          </cell>
        </row>
        <row r="3062">
          <cell r="A3062">
            <v>2018</v>
          </cell>
          <cell r="D3062" t="str">
            <v>DIRECTION DE LA TELEDIFFUSION</v>
          </cell>
          <cell r="V3062">
            <v>4316160</v>
          </cell>
          <cell r="W3062" t="str">
            <v>Fonctionnement</v>
          </cell>
        </row>
        <row r="3063">
          <cell r="A3063">
            <v>2018</v>
          </cell>
          <cell r="D3063" t="str">
            <v>DIRECTION DE LA TELEDIFFUSION</v>
          </cell>
          <cell r="V3063">
            <v>1348800</v>
          </cell>
          <cell r="W3063" t="str">
            <v>Fonctionnement</v>
          </cell>
        </row>
        <row r="3064">
          <cell r="A3064">
            <v>2018</v>
          </cell>
          <cell r="D3064" t="str">
            <v>DIRECTION DE LA TELEDIFFUSION</v>
          </cell>
          <cell r="V3064">
            <v>7867375.0559999989</v>
          </cell>
          <cell r="W3064" t="str">
            <v>Fonctionnement</v>
          </cell>
        </row>
        <row r="3065">
          <cell r="A3065">
            <v>2018</v>
          </cell>
          <cell r="D3065" t="str">
            <v>DIRECTION DE LA TELEDIFFUSION</v>
          </cell>
          <cell r="V3065">
            <v>3078537.5375999999</v>
          </cell>
          <cell r="W3065" t="str">
            <v>Fonctionnement</v>
          </cell>
        </row>
        <row r="3066">
          <cell r="A3066">
            <v>2018</v>
          </cell>
          <cell r="D3066" t="str">
            <v>DIRECTION DE LA TELEDIFFUSION</v>
          </cell>
          <cell r="V3066">
            <v>3098900</v>
          </cell>
          <cell r="W3066" t="str">
            <v>Fonctionnement</v>
          </cell>
        </row>
        <row r="3067">
          <cell r="A3067">
            <v>2018</v>
          </cell>
          <cell r="D3067" t="str">
            <v>DIRECTION DE LA TELEDIFFUSION</v>
          </cell>
          <cell r="V3067">
            <v>1342080</v>
          </cell>
          <cell r="W3067" t="str">
            <v>Fonctionnement</v>
          </cell>
        </row>
        <row r="3068">
          <cell r="A3068">
            <v>2018</v>
          </cell>
          <cell r="D3068" t="str">
            <v>DIRECTION DE LA TELEDIFFUSION</v>
          </cell>
          <cell r="V3068">
            <v>15145000</v>
          </cell>
          <cell r="W3068" t="str">
            <v>Fonctionnement</v>
          </cell>
        </row>
        <row r="3069">
          <cell r="A3069">
            <v>2018</v>
          </cell>
          <cell r="D3069" t="str">
            <v>DIRECTION DE LA TELEDIFFUSION</v>
          </cell>
          <cell r="W3069" t="str">
            <v>Fonctionnement</v>
          </cell>
        </row>
        <row r="3070">
          <cell r="A3070">
            <v>2019</v>
          </cell>
          <cell r="D3070" t="str">
            <v>DIRECTION DE LA TELEDIFFUSION</v>
          </cell>
          <cell r="V3070">
            <v>7159622.7205999997</v>
          </cell>
          <cell r="W3070" t="str">
            <v>Fonctionnement</v>
          </cell>
        </row>
        <row r="3071">
          <cell r="A3071">
            <v>2019</v>
          </cell>
          <cell r="D3071" t="str">
            <v>DIRECTION DE LA TELEDIFFUSION</v>
          </cell>
          <cell r="V3071">
            <v>131280</v>
          </cell>
          <cell r="W3071" t="str">
            <v>Fonctionnement</v>
          </cell>
        </row>
        <row r="3072">
          <cell r="A3072">
            <v>2019</v>
          </cell>
          <cell r="D3072" t="str">
            <v>DIRECTION DE LA TELEDIFFUSION</v>
          </cell>
          <cell r="V3072">
            <v>870606.95039999997</v>
          </cell>
          <cell r="W3072" t="str">
            <v>Fonctionnement</v>
          </cell>
        </row>
        <row r="3073">
          <cell r="A3073">
            <v>2019</v>
          </cell>
          <cell r="D3073" t="str">
            <v>DIRECTION DE LA TELEDIFFUSION</v>
          </cell>
          <cell r="V3073">
            <v>91896</v>
          </cell>
          <cell r="W3073" t="str">
            <v>Fonctionnement</v>
          </cell>
        </row>
        <row r="3074">
          <cell r="A3074">
            <v>2019</v>
          </cell>
          <cell r="D3074" t="str">
            <v>DIRECTION DE LA TELEDIFFUSION</v>
          </cell>
          <cell r="V3074">
            <v>37195999.562399998</v>
          </cell>
          <cell r="W3074" t="str">
            <v>Fonctionnement</v>
          </cell>
        </row>
        <row r="3075">
          <cell r="A3075">
            <v>2019</v>
          </cell>
          <cell r="D3075" t="str">
            <v>DIRECTION DE LA TELEDIFFUSION</v>
          </cell>
          <cell r="V3075">
            <v>11592129.024</v>
          </cell>
          <cell r="W3075" t="str">
            <v>Fonctionnement</v>
          </cell>
        </row>
        <row r="3076">
          <cell r="A3076">
            <v>2019</v>
          </cell>
          <cell r="D3076" t="str">
            <v>DIRECTION DE LA TELEDIFFUSION</v>
          </cell>
          <cell r="V3076">
            <v>2625600</v>
          </cell>
          <cell r="W3076" t="str">
            <v>Fonctionnement</v>
          </cell>
        </row>
        <row r="3077">
          <cell r="A3077">
            <v>2019</v>
          </cell>
          <cell r="D3077" t="str">
            <v>DIRECTION DE LA TELEDIFFUSION</v>
          </cell>
          <cell r="V3077">
            <v>4200960</v>
          </cell>
          <cell r="W3077" t="str">
            <v>Fonctionnement</v>
          </cell>
        </row>
        <row r="3078">
          <cell r="A3078">
            <v>2019</v>
          </cell>
          <cell r="D3078" t="str">
            <v>DIRECTION DE LA TELEDIFFUSION</v>
          </cell>
          <cell r="V3078">
            <v>1312800</v>
          </cell>
          <cell r="W3078" t="str">
            <v>Fonctionnement</v>
          </cell>
        </row>
        <row r="3079">
          <cell r="A3079">
            <v>2019</v>
          </cell>
          <cell r="D3079" t="str">
            <v>DIRECTION DE LA TELEDIFFUSION</v>
          </cell>
          <cell r="V3079">
            <v>7657391.7359999986</v>
          </cell>
          <cell r="W3079" t="str">
            <v>Fonctionnement</v>
          </cell>
        </row>
        <row r="3080">
          <cell r="A3080">
            <v>2019</v>
          </cell>
          <cell r="D3080" t="str">
            <v>DIRECTION DE LA TELEDIFFUSION</v>
          </cell>
          <cell r="V3080">
            <v>2996370.1655999999</v>
          </cell>
          <cell r="W3080" t="str">
            <v>Fonctionnement</v>
          </cell>
        </row>
        <row r="3081">
          <cell r="A3081">
            <v>2019</v>
          </cell>
          <cell r="D3081" t="str">
            <v>DIRECTION DE LA TELEDIFFUSION</v>
          </cell>
          <cell r="V3081">
            <v>3182025</v>
          </cell>
          <cell r="W3081" t="str">
            <v>Fonctionnement</v>
          </cell>
        </row>
        <row r="3082">
          <cell r="A3082">
            <v>2019</v>
          </cell>
          <cell r="D3082" t="str">
            <v>DIRECTION DE LA TELEDIFFUSION</v>
          </cell>
          <cell r="V3082">
            <v>1378080</v>
          </cell>
          <cell r="W3082" t="str">
            <v>Fonctionnement</v>
          </cell>
        </row>
        <row r="3083">
          <cell r="A3083">
            <v>2019</v>
          </cell>
          <cell r="D3083" t="str">
            <v>DIRECTION DE LA TELEDIFFUSION</v>
          </cell>
          <cell r="V3083">
            <v>15551250</v>
          </cell>
          <cell r="W3083" t="str">
            <v>Fonctionnement</v>
          </cell>
        </row>
        <row r="3084">
          <cell r="A3084">
            <v>2019</v>
          </cell>
          <cell r="D3084" t="str">
            <v>DIRECTION DE LA TELEDIFFUSION</v>
          </cell>
          <cell r="V3084">
            <v>861300</v>
          </cell>
          <cell r="W3084" t="str">
            <v>Fonctionnement</v>
          </cell>
        </row>
        <row r="3085">
          <cell r="A3085">
            <v>2020</v>
          </cell>
          <cell r="D3085" t="str">
            <v>DIRECTION DE LA TELEDIFFUSION</v>
          </cell>
          <cell r="V3085">
            <v>128760</v>
          </cell>
          <cell r="W3085" t="str">
            <v>Fonctionnement</v>
          </cell>
        </row>
        <row r="3086">
          <cell r="A3086">
            <v>2020</v>
          </cell>
          <cell r="D3086" t="str">
            <v>DIRECTION DE LA TELEDIFFUSION</v>
          </cell>
          <cell r="V3086">
            <v>853895.11680000008</v>
          </cell>
          <cell r="W3086" t="str">
            <v>Fonctionnement</v>
          </cell>
        </row>
        <row r="3087">
          <cell r="A3087">
            <v>2020</v>
          </cell>
          <cell r="D3087" t="str">
            <v>DIRECTION DE LA TELEDIFFUSION</v>
          </cell>
          <cell r="V3087">
            <v>90132</v>
          </cell>
          <cell r="W3087" t="str">
            <v>Fonctionnement</v>
          </cell>
        </row>
        <row r="3088">
          <cell r="A3088">
            <v>2020</v>
          </cell>
          <cell r="D3088" t="str">
            <v>DIRECTION DE LA TELEDIFFUSION</v>
          </cell>
          <cell r="V3088">
            <v>36481999.570799999</v>
          </cell>
          <cell r="W3088" t="str">
            <v>Fonctionnement</v>
          </cell>
        </row>
        <row r="3089">
          <cell r="A3089">
            <v>2020</v>
          </cell>
          <cell r="D3089" t="str">
            <v>DIRECTION DE LA TELEDIFFUSION</v>
          </cell>
          <cell r="V3089">
            <v>11369611.008000001</v>
          </cell>
          <cell r="W3089" t="str">
            <v>Fonctionnement</v>
          </cell>
        </row>
        <row r="3090">
          <cell r="A3090">
            <v>2020</v>
          </cell>
          <cell r="D3090" t="str">
            <v>DIRECTION DE LA TELEDIFFUSION</v>
          </cell>
          <cell r="V3090">
            <v>2575200</v>
          </cell>
          <cell r="W3090" t="str">
            <v>Fonctionnement</v>
          </cell>
        </row>
        <row r="3091">
          <cell r="A3091">
            <v>2020</v>
          </cell>
          <cell r="D3091" t="str">
            <v>DIRECTION DE LA TELEDIFFUSION</v>
          </cell>
          <cell r="V3091">
            <v>4120320</v>
          </cell>
          <cell r="W3091" t="str">
            <v>Fonctionnement</v>
          </cell>
        </row>
        <row r="3092">
          <cell r="A3092">
            <v>2020</v>
          </cell>
          <cell r="D3092" t="str">
            <v>DIRECTION DE LA TELEDIFFUSION</v>
          </cell>
          <cell r="V3092">
            <v>1287600</v>
          </cell>
          <cell r="W3092" t="str">
            <v>Fonctionnement</v>
          </cell>
        </row>
        <row r="3093">
          <cell r="A3093">
            <v>2020</v>
          </cell>
          <cell r="D3093" t="str">
            <v>DIRECTION DE LA TELEDIFFUSION</v>
          </cell>
          <cell r="V3093">
            <v>7510403.4119999995</v>
          </cell>
          <cell r="W3093" t="str">
            <v>Fonctionnement</v>
          </cell>
        </row>
        <row r="3094">
          <cell r="A3094">
            <v>2020</v>
          </cell>
          <cell r="D3094" t="str">
            <v>DIRECTION DE LA TELEDIFFUSION</v>
          </cell>
          <cell r="V3094">
            <v>2938853.0052</v>
          </cell>
          <cell r="W3094" t="str">
            <v>Fonctionnement</v>
          </cell>
        </row>
        <row r="3095">
          <cell r="A3095">
            <v>2020</v>
          </cell>
          <cell r="D3095" t="str">
            <v>DIRECTION DE LA TELEDIFFUSION</v>
          </cell>
          <cell r="V3095">
            <v>3185350</v>
          </cell>
          <cell r="W3095" t="str">
            <v>Fonctionnement</v>
          </cell>
        </row>
        <row r="3096">
          <cell r="A3096">
            <v>2020</v>
          </cell>
          <cell r="D3096" t="str">
            <v>DIRECTION DE LA TELEDIFFUSION</v>
          </cell>
          <cell r="V3096">
            <v>1379520</v>
          </cell>
          <cell r="W3096" t="str">
            <v>Fonctionnement</v>
          </cell>
        </row>
        <row r="3097">
          <cell r="A3097">
            <v>2020</v>
          </cell>
          <cell r="D3097" t="str">
            <v>DIRECTION DE LA TELEDIFFUSION</v>
          </cell>
          <cell r="V3097">
            <v>15567500</v>
          </cell>
          <cell r="W3097" t="str">
            <v>Fonctionnement</v>
          </cell>
        </row>
        <row r="3098">
          <cell r="A3098">
            <v>2020</v>
          </cell>
          <cell r="D3098" t="str">
            <v>DIRECTION DE LA TELEDIFFUSION</v>
          </cell>
          <cell r="V3098">
            <v>862200</v>
          </cell>
          <cell r="W3098" t="str">
            <v>Fonctionnement</v>
          </cell>
        </row>
        <row r="3099">
          <cell r="A3099">
            <v>2018</v>
          </cell>
          <cell r="D3099" t="str">
            <v>DIRECTION DE L’INFORMATION TV</v>
          </cell>
          <cell r="V3099">
            <v>18000</v>
          </cell>
          <cell r="W3099" t="str">
            <v>Fonctionnement</v>
          </cell>
        </row>
        <row r="3100">
          <cell r="A3100">
            <v>2018</v>
          </cell>
          <cell r="D3100" t="str">
            <v>DIRECTION DE L’INFORMATION TV</v>
          </cell>
          <cell r="V3100">
            <v>183732</v>
          </cell>
          <cell r="W3100" t="str">
            <v>Fonctionnement</v>
          </cell>
        </row>
        <row r="3101">
          <cell r="A3101">
            <v>2018</v>
          </cell>
          <cell r="D3101" t="str">
            <v>DIRECTION DE L’INFORMATION TV</v>
          </cell>
          <cell r="V3101">
            <v>106088.4</v>
          </cell>
          <cell r="W3101" t="str">
            <v>Fonctionnement</v>
          </cell>
        </row>
        <row r="3102">
          <cell r="A3102">
            <v>2019</v>
          </cell>
          <cell r="D3102" t="str">
            <v>DIRECTION DE L’INFORMATION TV</v>
          </cell>
          <cell r="V3102">
            <v>18000</v>
          </cell>
          <cell r="W3102" t="str">
            <v>Fonctionnement</v>
          </cell>
        </row>
        <row r="3103">
          <cell r="A3103">
            <v>2019</v>
          </cell>
          <cell r="D3103" t="str">
            <v>DIRECTION DE L’INFORMATION TV</v>
          </cell>
          <cell r="V3103">
            <v>156172</v>
          </cell>
          <cell r="W3103" t="str">
            <v>Fonctionnement</v>
          </cell>
        </row>
        <row r="3104">
          <cell r="A3104">
            <v>2020</v>
          </cell>
          <cell r="D3104" t="str">
            <v>DIRECTION DE L’INFORMATION TV</v>
          </cell>
          <cell r="V3104">
            <v>18000</v>
          </cell>
          <cell r="W3104" t="str">
            <v>Fonctionnement</v>
          </cell>
        </row>
        <row r="3105">
          <cell r="A3105">
            <v>2020</v>
          </cell>
          <cell r="D3105" t="str">
            <v>DIRECTION DE L’INFORMATION TV</v>
          </cell>
          <cell r="V3105">
            <v>132746</v>
          </cell>
          <cell r="W3105" t="str">
            <v>Fonctionnement</v>
          </cell>
        </row>
        <row r="3106">
          <cell r="A3106">
            <v>2016</v>
          </cell>
          <cell r="D3106" t="str">
            <v>DIRECTION DE LA TELEDIFFUSION</v>
          </cell>
          <cell r="V3106">
            <v>17074198.330000002</v>
          </cell>
          <cell r="W3106" t="str">
            <v>Fonctionnement</v>
          </cell>
        </row>
        <row r="3107">
          <cell r="A3107">
            <v>2016</v>
          </cell>
          <cell r="D3107" t="str">
            <v>DIRECTION DE LA TELEDIFFUSION</v>
          </cell>
          <cell r="V3107">
            <v>67073330.560000025</v>
          </cell>
          <cell r="W3107" t="str">
            <v>Fonctionnement</v>
          </cell>
        </row>
        <row r="3108">
          <cell r="A3108">
            <v>2016</v>
          </cell>
          <cell r="D3108" t="str">
            <v>DIRECTION DE LA TELEDIFFUSION</v>
          </cell>
          <cell r="V3108">
            <v>3868617.63</v>
          </cell>
          <cell r="W3108" t="str">
            <v>Fonctionnement</v>
          </cell>
        </row>
        <row r="3109">
          <cell r="A3109">
            <v>2017</v>
          </cell>
          <cell r="D3109" t="str">
            <v>DIRECTION DE LA TELEDIFFUSION</v>
          </cell>
          <cell r="V3109">
            <v>2115158.5</v>
          </cell>
          <cell r="W3109" t="str">
            <v>Fonctionnement</v>
          </cell>
        </row>
        <row r="3110">
          <cell r="A3110">
            <v>2018</v>
          </cell>
          <cell r="D3110" t="str">
            <v>DIRECTION DE LA TELEDIFFUSION</v>
          </cell>
          <cell r="V3110">
            <v>6654996.8700000001</v>
          </cell>
          <cell r="W3110" t="str">
            <v>Fonctionnement</v>
          </cell>
        </row>
        <row r="3111">
          <cell r="A3111">
            <v>2019</v>
          </cell>
          <cell r="D3111" t="str">
            <v>DIRECTION DE LA TELEDIFFUSION</v>
          </cell>
          <cell r="V3111">
            <v>6786395.0300000003</v>
          </cell>
          <cell r="W3111" t="str">
            <v>Fonctionnement</v>
          </cell>
        </row>
        <row r="3112">
          <cell r="A3112">
            <v>2020</v>
          </cell>
          <cell r="D3112" t="str">
            <v>DIRECTION DE LA TELEDIFFUSION</v>
          </cell>
          <cell r="V3112">
            <v>4659342.6500000004</v>
          </cell>
          <cell r="W3112" t="str">
            <v>Fonctionnement</v>
          </cell>
        </row>
        <row r="3113">
          <cell r="A3113">
            <v>2016</v>
          </cell>
          <cell r="D3113" t="str">
            <v>DIRECTION DE LA TELEDIFFUSION</v>
          </cell>
          <cell r="V3113">
            <v>6893355</v>
          </cell>
          <cell r="W3113" t="str">
            <v>Fonctionnement</v>
          </cell>
        </row>
        <row r="3114">
          <cell r="A3114">
            <v>2017</v>
          </cell>
          <cell r="D3114" t="str">
            <v>DIRECTION DE LA TELEDIFFUSION</v>
          </cell>
          <cell r="V3114">
            <v>17558673.884010009</v>
          </cell>
          <cell r="W3114" t="str">
            <v>Fonctionnement</v>
          </cell>
        </row>
        <row r="3115">
          <cell r="A3115">
            <v>2017</v>
          </cell>
          <cell r="D3115" t="str">
            <v>DIRECTION DE LA TELEDIFFUSION</v>
          </cell>
          <cell r="V3115">
            <v>68548604.090000004</v>
          </cell>
          <cell r="W3115" t="str">
            <v>Fonctionnement</v>
          </cell>
        </row>
        <row r="3116">
          <cell r="A3116">
            <v>2017</v>
          </cell>
          <cell r="D3116" t="str">
            <v>DIRECTION DES SYSTEMES D'INFORMATION</v>
          </cell>
          <cell r="V3116">
            <v>2000000</v>
          </cell>
          <cell r="W3116" t="str">
            <v>Fonctionnement</v>
          </cell>
        </row>
        <row r="3117">
          <cell r="A3117">
            <v>2018</v>
          </cell>
          <cell r="D3117" t="str">
            <v>DIRECTION DES SYSTEMES D'INFORMATION</v>
          </cell>
          <cell r="V3117">
            <v>2000000</v>
          </cell>
          <cell r="W3117" t="str">
            <v>Fonctionnement</v>
          </cell>
        </row>
        <row r="3118">
          <cell r="A3118">
            <v>2019</v>
          </cell>
          <cell r="D3118" t="str">
            <v>DIRECTION DES SYSTEMES D'INFORMATION</v>
          </cell>
          <cell r="V3118">
            <v>2000000</v>
          </cell>
          <cell r="W3118" t="str">
            <v>Fonctionnement</v>
          </cell>
        </row>
        <row r="3119">
          <cell r="A3119">
            <v>2020</v>
          </cell>
          <cell r="D3119" t="str">
            <v>DIRECTION DES SYSTEMES D'INFORMATION</v>
          </cell>
          <cell r="V3119">
            <v>2000000</v>
          </cell>
          <cell r="W3119" t="str">
            <v>Fonctionnement</v>
          </cell>
        </row>
        <row r="3120">
          <cell r="A3120">
            <v>2017</v>
          </cell>
          <cell r="D3120" t="str">
            <v>DIRECTION DE LA TELEDIFFUSION</v>
          </cell>
          <cell r="V3120">
            <v>6496890.0415818198</v>
          </cell>
          <cell r="W3120" t="str">
            <v>Fonctionnement</v>
          </cell>
        </row>
        <row r="3121">
          <cell r="A3121">
            <v>2016</v>
          </cell>
          <cell r="D3121" t="str">
            <v>DIRECTION CENTRALE DE LA CHAÎNE ARRYADIA</v>
          </cell>
          <cell r="V3121">
            <v>101000000</v>
          </cell>
          <cell r="W3121" t="str">
            <v>Fonctionnement</v>
          </cell>
        </row>
        <row r="3122">
          <cell r="A3122">
            <v>2016</v>
          </cell>
          <cell r="D3122" t="str">
            <v>DIRECTION CENTRALE DE LA CHAÎNE ARRYADIA</v>
          </cell>
          <cell r="V3122">
            <v>3000000</v>
          </cell>
          <cell r="W3122" t="str">
            <v>Fonctionnement</v>
          </cell>
        </row>
        <row r="3123">
          <cell r="A3123">
            <v>2017</v>
          </cell>
          <cell r="D3123" t="str">
            <v>DIRECTION CENTRALE DE LA CHAÎNE ARRYADIA</v>
          </cell>
          <cell r="V3123">
            <v>101000000</v>
          </cell>
          <cell r="W3123" t="str">
            <v>Fonctionnement</v>
          </cell>
        </row>
        <row r="3124">
          <cell r="A3124">
            <v>2019</v>
          </cell>
          <cell r="D3124" t="str">
            <v>DIRECTION CENTRALE DE LA CHAÎNE ARRYADIA</v>
          </cell>
          <cell r="V3124">
            <v>105000000</v>
          </cell>
          <cell r="W3124" t="str">
            <v>Fonctionnement</v>
          </cell>
        </row>
        <row r="3125">
          <cell r="A3125">
            <v>2020</v>
          </cell>
          <cell r="D3125" t="str">
            <v>DIRECTION CENTRALE DE LA CHAÎNE ARRYADIA</v>
          </cell>
          <cell r="V3125">
            <v>105000000</v>
          </cell>
          <cell r="W3125" t="str">
            <v>Fonctionnement</v>
          </cell>
        </row>
        <row r="3126">
          <cell r="A3126">
            <v>2017</v>
          </cell>
          <cell r="D3126" t="str">
            <v>DIRECTION CENTRALE DE LA CHAÎNE ARRYADIA</v>
          </cell>
          <cell r="V3126">
            <v>1560000</v>
          </cell>
          <cell r="W3126" t="str">
            <v>Fonctionnement</v>
          </cell>
        </row>
        <row r="3127">
          <cell r="A3127">
            <v>2017</v>
          </cell>
          <cell r="D3127" t="str">
            <v>DIRECTION CENTRALE DE LA CHAÎNE ARRYADIA</v>
          </cell>
          <cell r="V3127">
            <v>1920000</v>
          </cell>
          <cell r="W3127" t="str">
            <v>Fonctionnement</v>
          </cell>
        </row>
        <row r="3128">
          <cell r="A3128">
            <v>2018</v>
          </cell>
          <cell r="D3128" t="str">
            <v>DIRECTION CENTRALE DE LA CHAÎNE ARRYADIA</v>
          </cell>
          <cell r="V3128">
            <v>1560000</v>
          </cell>
          <cell r="W3128" t="str">
            <v>Fonctionnement</v>
          </cell>
        </row>
        <row r="3129">
          <cell r="A3129">
            <v>2018</v>
          </cell>
          <cell r="D3129" t="str">
            <v>DIRECTION CENTRALE DE LA CHAÎNE ARRYADIA</v>
          </cell>
          <cell r="V3129">
            <v>1920000</v>
          </cell>
          <cell r="W3129" t="str">
            <v>Fonctionnement</v>
          </cell>
        </row>
        <row r="3130">
          <cell r="A3130">
            <v>2019</v>
          </cell>
          <cell r="D3130" t="str">
            <v>DIRECTION CENTRALE DE LA CHAÎNE ARRYADIA</v>
          </cell>
          <cell r="V3130">
            <v>1560000</v>
          </cell>
          <cell r="W3130" t="str">
            <v>Fonctionnement</v>
          </cell>
        </row>
        <row r="3131">
          <cell r="A3131">
            <v>2019</v>
          </cell>
          <cell r="D3131" t="str">
            <v>DIRECTION CENTRALE DE LA CHAÎNE ARRYADIA</v>
          </cell>
          <cell r="V3131">
            <v>1920000</v>
          </cell>
          <cell r="W3131" t="str">
            <v>Fonctionnement</v>
          </cell>
        </row>
        <row r="3132">
          <cell r="A3132">
            <v>2020</v>
          </cell>
          <cell r="D3132" t="str">
            <v>DIRECTION CENTRALE DE LA CHAÎNE ARRYADIA</v>
          </cell>
          <cell r="V3132">
            <v>1560000</v>
          </cell>
          <cell r="W3132" t="str">
            <v>Fonctionnement</v>
          </cell>
        </row>
        <row r="3133">
          <cell r="A3133">
            <v>2020</v>
          </cell>
          <cell r="D3133" t="str">
            <v>DIRECTION CENTRALE DE LA CHAÎNE ARRYADIA</v>
          </cell>
          <cell r="V3133">
            <v>1920000</v>
          </cell>
          <cell r="W3133" t="str">
            <v>Fonctionnement</v>
          </cell>
        </row>
        <row r="3134">
          <cell r="A3134">
            <v>2017</v>
          </cell>
          <cell r="D3134" t="str">
            <v>DIRECTION CENTRALE DE LA PRODUCTION ET DE L'ANTENNE</v>
          </cell>
          <cell r="V3134">
            <v>9661934.2599999998</v>
          </cell>
          <cell r="W3134" t="str">
            <v>Fonctionnement</v>
          </cell>
        </row>
        <row r="3135">
          <cell r="A3135">
            <v>2019</v>
          </cell>
          <cell r="D3135" t="str">
            <v>DIRECTION MARKETING ET PROGRAMATION TV</v>
          </cell>
          <cell r="V3135">
            <v>8400000</v>
          </cell>
          <cell r="W3135" t="str">
            <v>Fonctionnement</v>
          </cell>
        </row>
        <row r="3136">
          <cell r="A3136">
            <v>2019</v>
          </cell>
          <cell r="D3136" t="str">
            <v>DIRECTION CENTRALE DE LA PRODUCTION ET DE L'ANTENNE</v>
          </cell>
          <cell r="V3136">
            <v>9600000</v>
          </cell>
          <cell r="W3136" t="str">
            <v>Fonctionnement</v>
          </cell>
        </row>
        <row r="3137">
          <cell r="A3137">
            <v>2019</v>
          </cell>
          <cell r="D3137" t="str">
            <v>DIRECTION DE LA REGIE PUBLICITAIRE ET DES SOLUTIONS DIGITALES</v>
          </cell>
          <cell r="V3137">
            <v>6815239.6600000001</v>
          </cell>
          <cell r="W3137" t="str">
            <v>Fonctionnement</v>
          </cell>
        </row>
      </sheetData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1">
          <cell r="A1" t="str">
            <v>Année</v>
          </cell>
          <cell r="H1" t="str">
            <v>MONTANT TTC</v>
          </cell>
          <cell r="J1" t="str">
            <v>DIRECTION</v>
          </cell>
          <cell r="K1" t="str">
            <v>BUDGET</v>
          </cell>
        </row>
        <row r="2">
          <cell r="A2">
            <v>2016</v>
          </cell>
          <cell r="H2">
            <v>62400</v>
          </cell>
          <cell r="J2" t="str">
            <v>DIRECTION CENTRALE DE LA CHAÎNE ARRYADIA</v>
          </cell>
          <cell r="K2" t="str">
            <v>Investissement</v>
          </cell>
        </row>
        <row r="3">
          <cell r="A3">
            <v>2017</v>
          </cell>
          <cell r="H3">
            <v>31800</v>
          </cell>
          <cell r="J3" t="str">
            <v>DIRECTION CENTRALE DE LA CHAÎNE ARRYADIA</v>
          </cell>
          <cell r="K3" t="str">
            <v>Fonctionnement</v>
          </cell>
        </row>
        <row r="4">
          <cell r="A4">
            <v>2017</v>
          </cell>
          <cell r="H4">
            <v>58212</v>
          </cell>
          <cell r="J4" t="str">
            <v>DIRECTION CENTRALE DE LA CHAÎNE ARRYADIA</v>
          </cell>
          <cell r="K4" t="str">
            <v>Fonctionnement</v>
          </cell>
        </row>
        <row r="5">
          <cell r="A5">
            <v>2017</v>
          </cell>
          <cell r="H5">
            <v>96000</v>
          </cell>
          <cell r="J5" t="str">
            <v>DIRECTION CENTRALE DE LA CHAÎNE ARRYADIA</v>
          </cell>
          <cell r="K5" t="str">
            <v>Fonctionnement</v>
          </cell>
        </row>
        <row r="6">
          <cell r="A6">
            <v>2017</v>
          </cell>
          <cell r="H6">
            <v>128397.8</v>
          </cell>
          <cell r="J6" t="str">
            <v>DIRECTION CENTRALE DE LA CHAÎNE ARRYADIA</v>
          </cell>
          <cell r="K6" t="str">
            <v>Fonctionnement</v>
          </cell>
        </row>
        <row r="7">
          <cell r="A7">
            <v>2017</v>
          </cell>
          <cell r="H7">
            <v>106000</v>
          </cell>
          <cell r="J7" t="str">
            <v>DIRECTION CENTRALE DE LA CHAÎNE ARRYADIA</v>
          </cell>
          <cell r="K7" t="str">
            <v>Fonctionnement</v>
          </cell>
        </row>
        <row r="8">
          <cell r="A8">
            <v>2017</v>
          </cell>
          <cell r="H8">
            <v>34980</v>
          </cell>
          <cell r="J8" t="str">
            <v>DIRECTION CENTRALE DE LA CHAÎNE ARRYADIA</v>
          </cell>
          <cell r="K8" t="str">
            <v>Fonctionnement</v>
          </cell>
        </row>
        <row r="9">
          <cell r="A9">
            <v>2017</v>
          </cell>
          <cell r="H9">
            <v>96000</v>
          </cell>
          <cell r="J9" t="str">
            <v>DIRECTION CENTRALE DE LA CHAÎNE ARRYADIA</v>
          </cell>
          <cell r="K9" t="str">
            <v>Fonctionnement</v>
          </cell>
        </row>
        <row r="10">
          <cell r="A10">
            <v>2017</v>
          </cell>
          <cell r="H10">
            <v>59647.5</v>
          </cell>
          <cell r="J10" t="str">
            <v>DIRECTION CENTRALE DE LA CHAÎNE ARRYADIA</v>
          </cell>
          <cell r="K10" t="str">
            <v>Fonctionnement</v>
          </cell>
        </row>
        <row r="11">
          <cell r="A11">
            <v>2017</v>
          </cell>
          <cell r="H11">
            <v>260038.35</v>
          </cell>
          <cell r="J11" t="str">
            <v>DIRECTION CENTRALE DE LA CHAÎNE ARRYADIA</v>
          </cell>
          <cell r="K11" t="str">
            <v>Fonctionnement</v>
          </cell>
        </row>
        <row r="12">
          <cell r="A12">
            <v>2017</v>
          </cell>
          <cell r="H12">
            <v>470012.4</v>
          </cell>
          <cell r="J12" t="str">
            <v>DIRECTION CENTRALE DE LA CHAÎNE ARRYADIA</v>
          </cell>
          <cell r="K12" t="str">
            <v>Fonctionnement</v>
          </cell>
        </row>
        <row r="13">
          <cell r="A13">
            <v>2017</v>
          </cell>
          <cell r="H13">
            <v>265000</v>
          </cell>
          <cell r="J13" t="str">
            <v>DIRECTION CENTRALE DE LA CHAÎNE ARRYADIA</v>
          </cell>
          <cell r="K13" t="str">
            <v>Fonctionnement</v>
          </cell>
        </row>
        <row r="14">
          <cell r="A14">
            <v>2017</v>
          </cell>
          <cell r="H14">
            <v>115200</v>
          </cell>
          <cell r="J14" t="str">
            <v>DIRECTION CENTRALE DE LA CHAÎNE ARRYADIA</v>
          </cell>
          <cell r="K14" t="str">
            <v>Fonctionnement</v>
          </cell>
        </row>
        <row r="15">
          <cell r="A15">
            <v>2017</v>
          </cell>
          <cell r="H15">
            <v>38160</v>
          </cell>
          <cell r="J15" t="str">
            <v>DIRECTION CENTRALE DE LA CHAÎNE ARRYADIA</v>
          </cell>
          <cell r="K15" t="str">
            <v>Fonctionnement</v>
          </cell>
        </row>
        <row r="16">
          <cell r="A16">
            <v>2017</v>
          </cell>
          <cell r="H16">
            <v>48000</v>
          </cell>
          <cell r="J16" t="str">
            <v>DIRECTION CENTRALE DE LA CHAÎNE ARRYADIA</v>
          </cell>
          <cell r="K16" t="str">
            <v>Fonctionnement</v>
          </cell>
        </row>
        <row r="17">
          <cell r="A17">
            <v>2017</v>
          </cell>
          <cell r="H17">
            <v>55968</v>
          </cell>
          <cell r="J17" t="str">
            <v>DIRECTION CENTRALE DE LA CHAÎNE ARRYADIA</v>
          </cell>
          <cell r="K17" t="str">
            <v>Fonctionnement</v>
          </cell>
        </row>
        <row r="18">
          <cell r="A18">
            <v>2017</v>
          </cell>
          <cell r="H18">
            <v>106000</v>
          </cell>
          <cell r="J18" t="str">
            <v>DIRECTION CENTRALE DE LA CHAÎNE ARRYADIA</v>
          </cell>
          <cell r="K18" t="str">
            <v>Fonctionnement</v>
          </cell>
        </row>
        <row r="19">
          <cell r="A19">
            <v>2017</v>
          </cell>
          <cell r="H19">
            <v>115200</v>
          </cell>
          <cell r="J19" t="str">
            <v>DIRECTION CENTRALE DE LA CHAÎNE ARRYADIA</v>
          </cell>
          <cell r="K19" t="str">
            <v>Fonctionnement</v>
          </cell>
        </row>
        <row r="20">
          <cell r="A20">
            <v>2017</v>
          </cell>
          <cell r="H20">
            <v>48000</v>
          </cell>
          <cell r="J20" t="str">
            <v>DIRECTION CENTRALE DE LA CHAÎNE ARRYADIA</v>
          </cell>
          <cell r="K20" t="str">
            <v>Fonctionnement</v>
          </cell>
        </row>
        <row r="21">
          <cell r="A21">
            <v>2017</v>
          </cell>
          <cell r="H21">
            <v>48000</v>
          </cell>
          <cell r="J21" t="str">
            <v>DIRECTION CENTRALE DE LA CHAÎNE ARRYADIA</v>
          </cell>
          <cell r="K21" t="str">
            <v>Fonctionnement</v>
          </cell>
        </row>
        <row r="22">
          <cell r="A22">
            <v>2017</v>
          </cell>
          <cell r="H22">
            <v>48000</v>
          </cell>
          <cell r="J22" t="str">
            <v>DIRECTION CENTRALE DE LA CHAÎNE ARRYADIA</v>
          </cell>
          <cell r="K22" t="str">
            <v>Fonctionnement</v>
          </cell>
        </row>
        <row r="23">
          <cell r="A23">
            <v>2017</v>
          </cell>
          <cell r="H23">
            <v>48000</v>
          </cell>
          <cell r="J23" t="str">
            <v>DIRECTION CENTRALE DE LA CHAÎNE ARRYADIA</v>
          </cell>
          <cell r="K23" t="str">
            <v>Fonctionnement</v>
          </cell>
        </row>
        <row r="24">
          <cell r="A24">
            <v>2017</v>
          </cell>
          <cell r="H24">
            <v>48000</v>
          </cell>
          <cell r="J24" t="str">
            <v>DIRECTION CENTRALE DE LA CHAÎNE ARRYADIA</v>
          </cell>
          <cell r="K24" t="str">
            <v>Fonctionnement</v>
          </cell>
        </row>
        <row r="25">
          <cell r="A25">
            <v>2017</v>
          </cell>
          <cell r="H25">
            <v>96000</v>
          </cell>
          <cell r="J25" t="str">
            <v>DIRECTION CENTRALE DE LA CHAÎNE ARRYADIA</v>
          </cell>
          <cell r="K25" t="str">
            <v>Fonctionnement</v>
          </cell>
        </row>
        <row r="26">
          <cell r="A26">
            <v>2017</v>
          </cell>
          <cell r="H26">
            <v>801456</v>
          </cell>
          <cell r="J26" t="str">
            <v>DIRECTION CENTRALE DE LA CHAÎNE ARRYADIA</v>
          </cell>
          <cell r="K26" t="str">
            <v>Fonctionnement</v>
          </cell>
        </row>
        <row r="27">
          <cell r="A27">
            <v>2017</v>
          </cell>
          <cell r="H27">
            <v>399456</v>
          </cell>
          <cell r="J27" t="str">
            <v>DIRECTION CENTRALE DE LA CHAÎNE ARRYADIA</v>
          </cell>
          <cell r="K27" t="str">
            <v>Fonctionnement</v>
          </cell>
        </row>
        <row r="28">
          <cell r="A28">
            <v>2017</v>
          </cell>
          <cell r="H28">
            <v>107999.1</v>
          </cell>
          <cell r="J28" t="str">
            <v>DIRECTION CENTRALE DE LA CHAÎNE ARRYADIA</v>
          </cell>
          <cell r="K28" t="str">
            <v>Investissement</v>
          </cell>
        </row>
        <row r="29">
          <cell r="A29">
            <v>2017</v>
          </cell>
          <cell r="H29">
            <v>132000</v>
          </cell>
          <cell r="J29" t="str">
            <v>DIRECTION CENTRALE DE LA CHAÎNE ARRYADIA</v>
          </cell>
          <cell r="K29" t="str">
            <v>Investissement</v>
          </cell>
        </row>
        <row r="30">
          <cell r="A30">
            <v>2018</v>
          </cell>
          <cell r="H30">
            <v>420480</v>
          </cell>
          <cell r="J30" t="str">
            <v>DIRECTION CENTRALE DE LA CHAÎNE ARRYADIA</v>
          </cell>
          <cell r="K30" t="str">
            <v>Fonctionnement</v>
          </cell>
        </row>
        <row r="31">
          <cell r="A31">
            <v>2018</v>
          </cell>
          <cell r="H31">
            <v>243600</v>
          </cell>
          <cell r="J31" t="str">
            <v>DIRECTION CENTRALE DE LA CHAÎNE ARRYADIA</v>
          </cell>
          <cell r="K31" t="str">
            <v>Fonctionnement</v>
          </cell>
        </row>
        <row r="32">
          <cell r="A32">
            <v>2018</v>
          </cell>
          <cell r="H32">
            <v>324000</v>
          </cell>
          <cell r="J32" t="str">
            <v>DIRECTION CENTRALE DE LA CHAÎNE ARRYADIA</v>
          </cell>
          <cell r="K32" t="str">
            <v>Fonctionnement</v>
          </cell>
        </row>
        <row r="33">
          <cell r="A33">
            <v>2018</v>
          </cell>
          <cell r="H33">
            <v>134880</v>
          </cell>
          <cell r="J33" t="str">
            <v>DIRECTION CENTRALE DE LA CHAÎNE ARRYADIA</v>
          </cell>
          <cell r="K33" t="str">
            <v>Fonctionnement</v>
          </cell>
        </row>
        <row r="34">
          <cell r="A34">
            <v>2018</v>
          </cell>
          <cell r="H34">
            <v>478162.32750000001</v>
          </cell>
          <cell r="J34" t="str">
            <v>DIRECTION CENTRALE DE LA CHAÎNE ARRYADIA</v>
          </cell>
          <cell r="K34" t="str">
            <v>Fonctionnement</v>
          </cell>
        </row>
        <row r="35">
          <cell r="A35">
            <v>2018</v>
          </cell>
          <cell r="H35">
            <v>33437.925000000003</v>
          </cell>
          <cell r="J35" t="str">
            <v>DIRECTION CENTRALE DE LA CHAÎNE ARRYADIA</v>
          </cell>
          <cell r="K35" t="str">
            <v>Fonctionnement</v>
          </cell>
        </row>
        <row r="36">
          <cell r="A36">
            <v>2018</v>
          </cell>
          <cell r="H36">
            <v>33437.925000000003</v>
          </cell>
          <cell r="J36" t="str">
            <v>DIRECTION CENTRALE DE LA CHAÎNE ARRYADIA</v>
          </cell>
          <cell r="K36" t="str">
            <v>Fonctionnement</v>
          </cell>
        </row>
        <row r="37">
          <cell r="A37">
            <v>2018</v>
          </cell>
          <cell r="H37">
            <v>89167.8</v>
          </cell>
          <cell r="J37" t="str">
            <v>DIRECTION CENTRALE DE LA CHAÎNE ARRYADIA</v>
          </cell>
          <cell r="K37" t="str">
            <v>Fonctionnement</v>
          </cell>
        </row>
        <row r="38">
          <cell r="A38">
            <v>2018</v>
          </cell>
          <cell r="H38">
            <v>96965.680000000008</v>
          </cell>
          <cell r="J38" t="str">
            <v>DIRECTION CENTRALE DE LA CHAÎNE ARRYADIA</v>
          </cell>
          <cell r="K38" t="str">
            <v>Fonctionnement</v>
          </cell>
        </row>
        <row r="39">
          <cell r="A39">
            <v>2018</v>
          </cell>
          <cell r="H39">
            <v>58682.400000000001</v>
          </cell>
          <cell r="J39" t="str">
            <v>DIRECTION CENTRALE DE LA CHAÎNE ARRYADIA</v>
          </cell>
          <cell r="K39" t="str">
            <v>Fonctionnement</v>
          </cell>
        </row>
        <row r="40">
          <cell r="A40">
            <v>2018</v>
          </cell>
          <cell r="H40">
            <v>48000</v>
          </cell>
          <cell r="J40" t="str">
            <v>DIRECTION CENTRALE DE LA CHAÎNE ARRYADIA</v>
          </cell>
          <cell r="K40" t="str">
            <v>Fonctionnement</v>
          </cell>
        </row>
        <row r="41">
          <cell r="A41">
            <v>2018</v>
          </cell>
          <cell r="H41">
            <v>76800</v>
          </cell>
          <cell r="J41" t="str">
            <v>DIRECTION CENTRALE DE LA CHAÎNE ARRYADIA</v>
          </cell>
          <cell r="K41" t="str">
            <v>Fonctionnement</v>
          </cell>
        </row>
        <row r="42">
          <cell r="A42">
            <v>2018</v>
          </cell>
          <cell r="H42">
            <v>243273.59999999998</v>
          </cell>
          <cell r="J42" t="str">
            <v>DIRECTION CENTRALE DE LA CHAÎNE ARRYADIA</v>
          </cell>
          <cell r="K42" t="str">
            <v>Fonctionnement</v>
          </cell>
        </row>
        <row r="43">
          <cell r="A43">
            <v>2018</v>
          </cell>
          <cell r="H43">
            <v>192000</v>
          </cell>
          <cell r="J43" t="str">
            <v>DIRECTION CENTRALE DE LA CHAÎNE ARRYADIA</v>
          </cell>
          <cell r="K43" t="str">
            <v>Fonctionnement</v>
          </cell>
        </row>
        <row r="44">
          <cell r="A44">
            <v>2018</v>
          </cell>
          <cell r="H44">
            <v>96000</v>
          </cell>
          <cell r="J44" t="str">
            <v>DIRECTION CENTRALE DE LA CHAÎNE ARRYADIA</v>
          </cell>
          <cell r="K44" t="str">
            <v>Fonctionnement</v>
          </cell>
        </row>
        <row r="45">
          <cell r="A45">
            <v>2018</v>
          </cell>
          <cell r="H45">
            <v>192000</v>
          </cell>
          <cell r="J45" t="str">
            <v>DIRECTION CENTRALE DE LA CHAÎNE ARRYADIA</v>
          </cell>
          <cell r="K45" t="str">
            <v>Fonctionnement</v>
          </cell>
        </row>
        <row r="46">
          <cell r="A46">
            <v>2018</v>
          </cell>
          <cell r="H46">
            <v>36480</v>
          </cell>
          <cell r="J46" t="str">
            <v>DIRECTION CENTRALE DE LA CHAÎNE ARRYADIA</v>
          </cell>
          <cell r="K46" t="str">
            <v>Fonctionnement</v>
          </cell>
        </row>
        <row r="47">
          <cell r="A47">
            <v>2018</v>
          </cell>
          <cell r="H47">
            <v>38400</v>
          </cell>
          <cell r="J47" t="str">
            <v>DIRECTION CENTRALE DE LA CHAÎNE ARRYADIA</v>
          </cell>
          <cell r="K47" t="str">
            <v>Fonctionnement</v>
          </cell>
        </row>
        <row r="48">
          <cell r="A48">
            <v>2018</v>
          </cell>
          <cell r="H48">
            <v>288000</v>
          </cell>
          <cell r="J48" t="str">
            <v>DIRECTION CENTRALE DE LA CHAÎNE ARRYADIA</v>
          </cell>
          <cell r="K48" t="str">
            <v>Fonctionnement</v>
          </cell>
        </row>
        <row r="49">
          <cell r="A49">
            <v>2018</v>
          </cell>
          <cell r="H49">
            <v>48000</v>
          </cell>
          <cell r="J49" t="str">
            <v>DIRECTION CENTRALE DE LA CHAÎNE ARRYADIA</v>
          </cell>
          <cell r="K49" t="str">
            <v>Fonctionnement</v>
          </cell>
        </row>
        <row r="50">
          <cell r="A50">
            <v>2018</v>
          </cell>
          <cell r="H50">
            <v>48000</v>
          </cell>
          <cell r="J50" t="str">
            <v>DIRECTION CENTRALE DE LA CHAÎNE ARRYADIA</v>
          </cell>
          <cell r="K50" t="str">
            <v>Fonctionnement</v>
          </cell>
        </row>
        <row r="51">
          <cell r="A51">
            <v>2018</v>
          </cell>
          <cell r="H51">
            <v>48000</v>
          </cell>
          <cell r="J51" t="str">
            <v>DIRECTION CENTRALE DE LA CHAÎNE ARRYADIA</v>
          </cell>
          <cell r="K51" t="str">
            <v>Fonctionnement</v>
          </cell>
        </row>
        <row r="52">
          <cell r="A52">
            <v>2018</v>
          </cell>
          <cell r="H52">
            <v>42931.199999999997</v>
          </cell>
          <cell r="J52" t="str">
            <v>DIRECTION CENTRALE DE LA CHAÎNE ARRYADIA</v>
          </cell>
          <cell r="K52" t="str">
            <v>Fonctionnement</v>
          </cell>
        </row>
        <row r="53">
          <cell r="A53">
            <v>2018</v>
          </cell>
          <cell r="H53">
            <v>288000</v>
          </cell>
          <cell r="J53" t="str">
            <v>DIRECTION CENTRALE DE LA CHAÎNE ARRYADIA</v>
          </cell>
          <cell r="K53" t="str">
            <v>Fonctionnement</v>
          </cell>
        </row>
        <row r="54">
          <cell r="A54">
            <v>2018</v>
          </cell>
          <cell r="H54">
            <v>48384</v>
          </cell>
          <cell r="J54" t="str">
            <v>DIRECTION CENTRALE DE LA CHAÎNE ARRYADIA</v>
          </cell>
          <cell r="K54" t="str">
            <v>Fonctionnement</v>
          </cell>
        </row>
        <row r="55">
          <cell r="A55">
            <v>2018</v>
          </cell>
          <cell r="H55">
            <v>81000</v>
          </cell>
          <cell r="J55" t="str">
            <v>DIRECTION CENTRALE DE LA CHAÎNE ARRYADIA</v>
          </cell>
          <cell r="K55" t="str">
            <v>Fonctionnement</v>
          </cell>
        </row>
        <row r="56">
          <cell r="A56">
            <v>2018</v>
          </cell>
          <cell r="H56">
            <v>444240</v>
          </cell>
          <cell r="J56" t="str">
            <v>DIRECTION CENTRALE DE LA CHAÎNE ARRYADIA</v>
          </cell>
          <cell r="K56" t="str">
            <v>Investissement</v>
          </cell>
        </row>
        <row r="57">
          <cell r="A57">
            <v>2019</v>
          </cell>
          <cell r="H57">
            <v>191520</v>
          </cell>
          <cell r="J57" t="str">
            <v>DIRECTION CENTRALE DE LA CHAÎNE ARRYADIA</v>
          </cell>
          <cell r="K57" t="str">
            <v>Fonctionnement</v>
          </cell>
        </row>
        <row r="58">
          <cell r="A58">
            <v>2019</v>
          </cell>
          <cell r="H58">
            <v>149659.99</v>
          </cell>
          <cell r="J58" t="str">
            <v>DIRECTION CENTRALE DE LA CHAÎNE ARRYADIA</v>
          </cell>
          <cell r="K58" t="str">
            <v>Fonctionnement</v>
          </cell>
        </row>
        <row r="59">
          <cell r="A59">
            <v>2019</v>
          </cell>
          <cell r="H59">
            <v>208427.47</v>
          </cell>
          <cell r="J59" t="str">
            <v>DIRECTION CENTRALE DE LA CHAÎNE ARRYADIA</v>
          </cell>
          <cell r="K59" t="str">
            <v>Fonctionnement</v>
          </cell>
        </row>
        <row r="60">
          <cell r="A60">
            <v>2019</v>
          </cell>
          <cell r="H60">
            <v>99011.4</v>
          </cell>
          <cell r="J60" t="str">
            <v>DIRECTION CENTRALE DE LA CHAÎNE ARRYADIA</v>
          </cell>
          <cell r="K60" t="str">
            <v>Fonctionnement</v>
          </cell>
        </row>
        <row r="61">
          <cell r="A61">
            <v>2019</v>
          </cell>
          <cell r="H61">
            <v>59975.999999999993</v>
          </cell>
          <cell r="J61" t="str">
            <v>DIRECTION CENTRALE DE LA CHAÎNE ARRYADIA</v>
          </cell>
          <cell r="K61" t="str">
            <v>Fonctionnement</v>
          </cell>
        </row>
        <row r="62">
          <cell r="A62">
            <v>2019</v>
          </cell>
          <cell r="H62">
            <v>21400</v>
          </cell>
          <cell r="J62" t="str">
            <v>DIRECTION CENTRALE DE LA CHAÎNE ARRYADIA</v>
          </cell>
          <cell r="K62" t="str">
            <v>Fonctionnement</v>
          </cell>
        </row>
        <row r="63">
          <cell r="A63">
            <v>2019</v>
          </cell>
          <cell r="H63">
            <v>391590</v>
          </cell>
          <cell r="J63" t="str">
            <v>DIRECTION CENTRALE DE LA CHAÎNE ARRYADIA</v>
          </cell>
          <cell r="K63" t="str">
            <v>Fonctionnement</v>
          </cell>
        </row>
        <row r="64">
          <cell r="A64">
            <v>2019</v>
          </cell>
          <cell r="H64">
            <v>35524</v>
          </cell>
          <cell r="J64" t="str">
            <v>DIRECTION CENTRALE DE LA CHAÎNE ARRYADIA</v>
          </cell>
          <cell r="K64" t="str">
            <v>Fonctionnement</v>
          </cell>
        </row>
        <row r="65">
          <cell r="A65">
            <v>2019</v>
          </cell>
          <cell r="H65">
            <v>332500</v>
          </cell>
          <cell r="J65" t="str">
            <v>DIRECTION CENTRALE DE LA CHAÎNE ARRYADIA</v>
          </cell>
          <cell r="K65" t="str">
            <v>Fonctionnement</v>
          </cell>
        </row>
        <row r="66">
          <cell r="A66">
            <v>2019</v>
          </cell>
          <cell r="H66">
            <v>35310</v>
          </cell>
          <cell r="J66" t="str">
            <v>DIRECTION CENTRALE DE LA CHAÎNE ARRYADIA</v>
          </cell>
          <cell r="K66" t="str">
            <v>Fonctionnement</v>
          </cell>
        </row>
        <row r="67">
          <cell r="A67">
            <v>2019</v>
          </cell>
          <cell r="H67">
            <v>16049.999999999998</v>
          </cell>
          <cell r="J67" t="str">
            <v>DIRECTION CENTRALE DE LA CHAÎNE ARRYADIA</v>
          </cell>
          <cell r="K67" t="str">
            <v>Fonctionnement</v>
          </cell>
        </row>
        <row r="68">
          <cell r="A68">
            <v>2019</v>
          </cell>
          <cell r="H68">
            <v>95000</v>
          </cell>
          <cell r="J68" t="str">
            <v>DIRECTION CENTRALE DE LA CHAÎNE ARRYADIA</v>
          </cell>
          <cell r="K68" t="str">
            <v>Fonctionnement</v>
          </cell>
        </row>
        <row r="69">
          <cell r="A69">
            <v>2019</v>
          </cell>
          <cell r="H69">
            <v>475000</v>
          </cell>
          <cell r="J69" t="str">
            <v>DIRECTION CENTRALE DE LA CHAÎNE ARRYADIA</v>
          </cell>
          <cell r="K69" t="str">
            <v>Fonctionnement</v>
          </cell>
        </row>
        <row r="70">
          <cell r="A70">
            <v>2019</v>
          </cell>
          <cell r="H70">
            <v>16049.999999999998</v>
          </cell>
          <cell r="J70" t="str">
            <v>DIRECTION CENTRALE DE LA CHAÎNE ARRYADIA</v>
          </cell>
          <cell r="K70" t="str">
            <v>Fonctionnement</v>
          </cell>
        </row>
        <row r="71">
          <cell r="A71">
            <v>2019</v>
          </cell>
          <cell r="H71">
            <v>10260</v>
          </cell>
          <cell r="J71" t="str">
            <v>DIRECTION CENTRALE DE LA CHAÎNE ARRYADIA</v>
          </cell>
          <cell r="K71" t="str">
            <v>Fonctionnement</v>
          </cell>
        </row>
        <row r="72">
          <cell r="A72">
            <v>2019</v>
          </cell>
          <cell r="H72">
            <v>6346</v>
          </cell>
          <cell r="J72" t="str">
            <v>DIRECTION CENTRALE DE LA CHAÎNE ARRYADIA</v>
          </cell>
          <cell r="K72" t="str">
            <v>Fonctionnement</v>
          </cell>
        </row>
        <row r="73">
          <cell r="A73">
            <v>2019</v>
          </cell>
          <cell r="H73">
            <v>17120</v>
          </cell>
          <cell r="J73" t="str">
            <v>DIRECTION CENTRALE DE LA CHAÎNE ARRYADIA</v>
          </cell>
          <cell r="K73" t="str">
            <v>Fonctionnement</v>
          </cell>
        </row>
        <row r="74">
          <cell r="A74">
            <v>2019</v>
          </cell>
          <cell r="H74">
            <v>2111455.5</v>
          </cell>
          <cell r="J74" t="str">
            <v>DIRECTION CENTRALE DE LA CHAÎNE ARRYADIA</v>
          </cell>
          <cell r="K74" t="str">
            <v>Fonctionnement</v>
          </cell>
        </row>
        <row r="75">
          <cell r="A75">
            <v>2019</v>
          </cell>
          <cell r="H75">
            <v>496800</v>
          </cell>
          <cell r="J75" t="str">
            <v>DIRECTION CENTRALE DE LA CHAÎNE ARRYADIA</v>
          </cell>
          <cell r="K75" t="str">
            <v>Investissement</v>
          </cell>
        </row>
        <row r="76">
          <cell r="A76">
            <v>2019</v>
          </cell>
          <cell r="H76">
            <v>228840</v>
          </cell>
          <cell r="J76" t="str">
            <v>DIRECTION CENTRALE DE LA CHAÎNE ARRYADIA</v>
          </cell>
          <cell r="K76" t="str">
            <v>Investissement</v>
          </cell>
        </row>
        <row r="77">
          <cell r="A77">
            <v>2020</v>
          </cell>
          <cell r="H77">
            <v>2702.35</v>
          </cell>
          <cell r="J77" t="str">
            <v>DIRECTION CENTRALE DE LA CHAÎNE ARRYADIA</v>
          </cell>
          <cell r="K77" t="str">
            <v>Fonctionnement</v>
          </cell>
        </row>
        <row r="78">
          <cell r="A78">
            <v>2020</v>
          </cell>
          <cell r="H78">
            <v>123840</v>
          </cell>
          <cell r="J78" t="str">
            <v>DIRECTION CENTRALE DE LA CHAÎNE ARRYADIA</v>
          </cell>
          <cell r="K78" t="str">
            <v>Investissement</v>
          </cell>
        </row>
        <row r="79">
          <cell r="A79">
            <v>2020</v>
          </cell>
          <cell r="H79">
            <v>266450</v>
          </cell>
          <cell r="J79" t="str">
            <v>DIRECTION CENTRALE DE LA CHAÎNE ARRYADIA</v>
          </cell>
          <cell r="K79" t="str">
            <v>Fonctionnement</v>
          </cell>
        </row>
        <row r="80">
          <cell r="A80">
            <v>2016</v>
          </cell>
          <cell r="H80">
            <v>343200</v>
          </cell>
          <cell r="J80" t="str">
            <v>DIRECTION CENTRALE DE LA CHAÎNE TAMAZIGHT</v>
          </cell>
          <cell r="K80" t="str">
            <v>Fonctionnement</v>
          </cell>
        </row>
        <row r="81">
          <cell r="A81">
            <v>2016</v>
          </cell>
          <cell r="H81">
            <v>294336</v>
          </cell>
          <cell r="J81" t="str">
            <v>DIRECTION CENTRALE DE LA CHAÎNE TAMAZIGHT</v>
          </cell>
          <cell r="K81" t="str">
            <v>Fonctionnement</v>
          </cell>
        </row>
        <row r="82">
          <cell r="A82">
            <v>2017</v>
          </cell>
          <cell r="H82">
            <v>403200</v>
          </cell>
          <cell r="J82" t="str">
            <v>DIRECTION CENTRALE DE LA CHAÎNE TAMAZIGHT</v>
          </cell>
          <cell r="K82" t="str">
            <v>Fonctionnement</v>
          </cell>
        </row>
        <row r="83">
          <cell r="A83">
            <v>2017</v>
          </cell>
          <cell r="H83">
            <v>336384</v>
          </cell>
          <cell r="J83" t="str">
            <v>DIRECTION CENTRALE DE LA CHAÎNE TAMAZIGHT</v>
          </cell>
          <cell r="K83" t="str">
            <v>Fonctionnement</v>
          </cell>
        </row>
        <row r="84">
          <cell r="A84">
            <v>2017</v>
          </cell>
          <cell r="H84">
            <v>371520</v>
          </cell>
          <cell r="J84" t="str">
            <v>DIRECTION CENTRALE DE LA CHAÎNE TAMAZIGHT</v>
          </cell>
          <cell r="K84" t="str">
            <v>Fonctionnement</v>
          </cell>
        </row>
        <row r="85">
          <cell r="A85">
            <v>2017</v>
          </cell>
          <cell r="H85">
            <v>336384</v>
          </cell>
          <cell r="J85" t="str">
            <v>DIRECTION CENTRALE DE LA CHAÎNE TAMAZIGHT</v>
          </cell>
          <cell r="K85" t="str">
            <v>Fonctionnement</v>
          </cell>
        </row>
        <row r="86">
          <cell r="A86">
            <v>2017</v>
          </cell>
          <cell r="H86">
            <v>186756</v>
          </cell>
          <cell r="J86" t="str">
            <v>DIRECTION CENTRALE DE LA CHAÎNE TAMAZIGHT</v>
          </cell>
          <cell r="K86" t="str">
            <v>Investissement</v>
          </cell>
        </row>
        <row r="87">
          <cell r="A87">
            <v>2018</v>
          </cell>
          <cell r="H87">
            <v>143953.87</v>
          </cell>
          <cell r="J87" t="str">
            <v>DIRECTION CENTRALE DE LA CHAÎNE TAMAZIGHT</v>
          </cell>
          <cell r="K87" t="str">
            <v>Fonctionnement</v>
          </cell>
        </row>
        <row r="88">
          <cell r="A88">
            <v>2018</v>
          </cell>
          <cell r="H88">
            <v>120708</v>
          </cell>
          <cell r="J88" t="str">
            <v>DIRECTION CENTRALE DE LA CHAÎNE TAMAZIGHT</v>
          </cell>
          <cell r="K88" t="str">
            <v>Fonctionnement</v>
          </cell>
        </row>
        <row r="89">
          <cell r="A89">
            <v>2019</v>
          </cell>
          <cell r="H89">
            <v>302400</v>
          </cell>
          <cell r="J89" t="str">
            <v>DIRECTION CENTRALE DE LA CHAÎNE TAMAZIGHT</v>
          </cell>
          <cell r="K89" t="str">
            <v>Fonctionnement</v>
          </cell>
        </row>
        <row r="90">
          <cell r="A90">
            <v>2019</v>
          </cell>
          <cell r="H90">
            <v>79968</v>
          </cell>
          <cell r="J90" t="str">
            <v>DIRECTION CENTRALE DE LA CHAÎNE TAMAZIGHT</v>
          </cell>
          <cell r="K90" t="str">
            <v>Fonctionnement</v>
          </cell>
        </row>
        <row r="91">
          <cell r="A91">
            <v>2019</v>
          </cell>
          <cell r="H91">
            <v>333480.02</v>
          </cell>
          <cell r="J91" t="str">
            <v>DIRECTION CENTRALE DE LA CHAÎNE TAMAZIGHT</v>
          </cell>
          <cell r="K91" t="str">
            <v>Investissement</v>
          </cell>
        </row>
        <row r="92">
          <cell r="A92">
            <v>2020</v>
          </cell>
          <cell r="H92">
            <v>113520</v>
          </cell>
          <cell r="J92" t="str">
            <v>DIRECTION CENTRALE DE LA CHAÎNE TAMAZIGHT</v>
          </cell>
          <cell r="K92" t="str">
            <v>Fonctionnement</v>
          </cell>
        </row>
        <row r="93">
          <cell r="A93">
            <v>2020</v>
          </cell>
          <cell r="H93">
            <v>184466.35199999998</v>
          </cell>
          <cell r="J93" t="str">
            <v>DIRECTION CENTRALE DE LA CHAÎNE TAMAZIGHT</v>
          </cell>
          <cell r="K93" t="str">
            <v>Fonctionnement</v>
          </cell>
        </row>
        <row r="94">
          <cell r="A94">
            <v>2020</v>
          </cell>
          <cell r="H94">
            <v>78372</v>
          </cell>
          <cell r="J94" t="str">
            <v>DIRECTION CENTRALE DE LA CHAÎNE TAMAZIGHT</v>
          </cell>
          <cell r="K94" t="str">
            <v>Investissement</v>
          </cell>
        </row>
        <row r="95">
          <cell r="A95">
            <v>2016</v>
          </cell>
          <cell r="H95">
            <v>162500</v>
          </cell>
          <cell r="J95" t="str">
            <v xml:space="preserve">DIRECTION CENTRALE DE LA CHAINE TV LAAYOUNE </v>
          </cell>
          <cell r="K95" t="str">
            <v>Fonctionnement</v>
          </cell>
        </row>
        <row r="96">
          <cell r="A96">
            <v>2016</v>
          </cell>
          <cell r="H96">
            <v>392600</v>
          </cell>
          <cell r="J96" t="str">
            <v xml:space="preserve">DIRECTION CENTRALE DE LA CHAINE TV LAAYOUNE </v>
          </cell>
          <cell r="K96" t="str">
            <v>Investissement</v>
          </cell>
        </row>
        <row r="97">
          <cell r="A97">
            <v>2016</v>
          </cell>
          <cell r="H97">
            <v>485500</v>
          </cell>
          <cell r="J97" t="str">
            <v xml:space="preserve">DIRECTION CENTRALE DE LA CHAINE TV LAAYOUNE </v>
          </cell>
          <cell r="K97" t="str">
            <v>Investissement</v>
          </cell>
        </row>
        <row r="98">
          <cell r="A98">
            <v>2017</v>
          </cell>
          <cell r="H98">
            <v>182000</v>
          </cell>
          <cell r="J98" t="str">
            <v xml:space="preserve">DIRECTION CENTRALE DE LA CHAINE TV LAAYOUNE </v>
          </cell>
          <cell r="K98" t="str">
            <v>Fonctionnement</v>
          </cell>
        </row>
        <row r="99">
          <cell r="A99">
            <v>2017</v>
          </cell>
          <cell r="H99">
            <v>320310</v>
          </cell>
          <cell r="J99" t="str">
            <v xml:space="preserve">DIRECTION CENTRALE DE LA CHAINE TV LAAYOUNE </v>
          </cell>
          <cell r="K99" t="str">
            <v>Investissement</v>
          </cell>
        </row>
        <row r="100">
          <cell r="A100">
            <v>2017</v>
          </cell>
          <cell r="H100">
            <v>308100</v>
          </cell>
          <cell r="J100" t="str">
            <v xml:space="preserve">DIRECTION CENTRALE DE LA CHAINE TV LAAYOUNE </v>
          </cell>
          <cell r="K100" t="str">
            <v>Investissement</v>
          </cell>
        </row>
        <row r="101">
          <cell r="A101">
            <v>2017</v>
          </cell>
          <cell r="H101">
            <v>225192</v>
          </cell>
          <cell r="J101" t="str">
            <v xml:space="preserve">DIRECTION CENTRALE DE LA CHAINE TV LAAYOUNE </v>
          </cell>
          <cell r="K101" t="str">
            <v>Investissement</v>
          </cell>
        </row>
        <row r="102">
          <cell r="A102">
            <v>2017</v>
          </cell>
          <cell r="H102">
            <v>389600</v>
          </cell>
          <cell r="J102" t="str">
            <v xml:space="preserve">DIRECTION CENTRALE DE LA CHAINE TV LAAYOUNE </v>
          </cell>
          <cell r="K102" t="str">
            <v>Investissement</v>
          </cell>
        </row>
        <row r="103">
          <cell r="A103">
            <v>2017</v>
          </cell>
          <cell r="H103">
            <v>486460</v>
          </cell>
          <cell r="J103" t="str">
            <v xml:space="preserve">DIRECTION CENTRALE DE LA CHAINE TV LAAYOUNE </v>
          </cell>
          <cell r="K103" t="str">
            <v>Investissement</v>
          </cell>
        </row>
        <row r="104">
          <cell r="A104">
            <v>2017</v>
          </cell>
          <cell r="H104">
            <v>64452</v>
          </cell>
          <cell r="J104" t="str">
            <v xml:space="preserve">DIRECTION CENTRALE DE LA CHAINE TV LAAYOUNE </v>
          </cell>
          <cell r="K104" t="str">
            <v>Investissement</v>
          </cell>
        </row>
        <row r="105">
          <cell r="A105">
            <v>2018</v>
          </cell>
          <cell r="H105">
            <v>198900</v>
          </cell>
          <cell r="J105" t="str">
            <v xml:space="preserve">DIRECTION CENTRALE DE LA CHAINE TV LAAYOUNE </v>
          </cell>
          <cell r="K105" t="str">
            <v>Fonctionnement</v>
          </cell>
        </row>
        <row r="106">
          <cell r="A106">
            <v>2018</v>
          </cell>
          <cell r="H106">
            <v>274000</v>
          </cell>
          <cell r="J106" t="str">
            <v xml:space="preserve">DIRECTION CENTRALE DE LA CHAINE TV LAAYOUNE </v>
          </cell>
          <cell r="K106" t="str">
            <v>Fonctionnement</v>
          </cell>
        </row>
        <row r="107">
          <cell r="A107">
            <v>2018</v>
          </cell>
          <cell r="H107">
            <v>145190</v>
          </cell>
          <cell r="J107" t="str">
            <v xml:space="preserve">DIRECTION CENTRALE DE LA CHAINE TV LAAYOUNE </v>
          </cell>
          <cell r="K107" t="str">
            <v>Fonctionnement</v>
          </cell>
        </row>
        <row r="108">
          <cell r="A108">
            <v>2018</v>
          </cell>
          <cell r="H108">
            <v>480647</v>
          </cell>
          <cell r="J108" t="str">
            <v xml:space="preserve">DIRECTION CENTRALE DE LA CHAINE TV LAAYOUNE </v>
          </cell>
          <cell r="K108" t="str">
            <v>Investissement</v>
          </cell>
        </row>
        <row r="109">
          <cell r="A109">
            <v>2018</v>
          </cell>
          <cell r="H109">
            <v>455500</v>
          </cell>
          <cell r="J109" t="str">
            <v xml:space="preserve">DIRECTION CENTRALE DE LA CHAINE TV LAAYOUNE </v>
          </cell>
          <cell r="K109" t="str">
            <v>Investissement</v>
          </cell>
        </row>
        <row r="110">
          <cell r="A110">
            <v>2018</v>
          </cell>
          <cell r="H110">
            <v>432628.8</v>
          </cell>
          <cell r="J110" t="str">
            <v xml:space="preserve">DIRECTION CENTRALE DE LA CHAINE TV LAAYOUNE </v>
          </cell>
          <cell r="K110" t="str">
            <v>Investissement</v>
          </cell>
        </row>
        <row r="111">
          <cell r="A111">
            <v>2019</v>
          </cell>
          <cell r="H111">
            <v>331710</v>
          </cell>
          <cell r="J111" t="str">
            <v xml:space="preserve">DIRECTION CENTRALE DE LA CHAINE TV LAAYOUNE </v>
          </cell>
          <cell r="K111" t="str">
            <v>Fonctionnement</v>
          </cell>
        </row>
        <row r="112">
          <cell r="A112">
            <v>2019</v>
          </cell>
          <cell r="H112">
            <v>253730</v>
          </cell>
          <cell r="J112" t="str">
            <v xml:space="preserve">DIRECTION CENTRALE DE LA CHAINE TV LAAYOUNE </v>
          </cell>
          <cell r="K112" t="str">
            <v>Fonctionnement</v>
          </cell>
        </row>
        <row r="113">
          <cell r="A113">
            <v>2019</v>
          </cell>
          <cell r="H113">
            <v>187200</v>
          </cell>
          <cell r="J113" t="str">
            <v xml:space="preserve">DIRECTION CENTRALE DE LA CHAINE TV LAAYOUNE </v>
          </cell>
          <cell r="K113" t="str">
            <v>Fonctionnement</v>
          </cell>
        </row>
        <row r="114">
          <cell r="A114">
            <v>2019</v>
          </cell>
          <cell r="H114">
            <v>49720</v>
          </cell>
          <cell r="J114" t="str">
            <v xml:space="preserve">DIRECTION CENTRALE DE LA CHAINE TV LAAYOUNE </v>
          </cell>
          <cell r="K114" t="str">
            <v>Fonctionnement</v>
          </cell>
        </row>
        <row r="115">
          <cell r="A115">
            <v>2019</v>
          </cell>
          <cell r="H115">
            <v>50550</v>
          </cell>
          <cell r="J115" t="str">
            <v xml:space="preserve">DIRECTION CENTRALE DE LA CHAINE TV LAAYOUNE </v>
          </cell>
          <cell r="K115" t="str">
            <v>Fonctionnement</v>
          </cell>
        </row>
        <row r="116">
          <cell r="A116">
            <v>2019</v>
          </cell>
          <cell r="H116">
            <v>37696.1</v>
          </cell>
          <cell r="J116" t="str">
            <v xml:space="preserve">DIRECTION CENTRALE DE LA CHAINE TV LAAYOUNE </v>
          </cell>
          <cell r="K116" t="str">
            <v>Fonctionnement</v>
          </cell>
        </row>
        <row r="117">
          <cell r="A117">
            <v>2019</v>
          </cell>
          <cell r="H117">
            <v>464450</v>
          </cell>
          <cell r="J117" t="str">
            <v xml:space="preserve">DIRECTION CENTRALE DE LA CHAINE TV LAAYOUNE </v>
          </cell>
          <cell r="K117" t="str">
            <v>Investissement</v>
          </cell>
        </row>
        <row r="118">
          <cell r="A118">
            <v>2019</v>
          </cell>
          <cell r="H118">
            <v>93500</v>
          </cell>
          <cell r="J118" t="str">
            <v xml:space="preserve">DIRECTION CENTRALE DE LA CHAINE TV LAAYOUNE </v>
          </cell>
          <cell r="K118" t="str">
            <v>Investissement</v>
          </cell>
        </row>
        <row r="119">
          <cell r="A119">
            <v>2020</v>
          </cell>
          <cell r="H119">
            <v>8000</v>
          </cell>
          <cell r="J119" t="str">
            <v xml:space="preserve">DIRECTION CENTRALE DE LA CHAINE TV LAAYOUNE </v>
          </cell>
          <cell r="K119" t="str">
            <v>Fonctionnement</v>
          </cell>
        </row>
        <row r="120">
          <cell r="A120">
            <v>2020</v>
          </cell>
          <cell r="H120">
            <v>307890</v>
          </cell>
          <cell r="J120" t="str">
            <v xml:space="preserve">DIRECTION CENTRALE DE LA CHAINE TV LAAYOUNE </v>
          </cell>
          <cell r="K120" t="str">
            <v>Fonctionnement</v>
          </cell>
        </row>
        <row r="121">
          <cell r="A121">
            <v>2020</v>
          </cell>
          <cell r="H121">
            <v>241150</v>
          </cell>
          <cell r="J121" t="str">
            <v xml:space="preserve">DIRECTION CENTRALE DE LA CHAINE TV LAAYOUNE </v>
          </cell>
          <cell r="K121" t="str">
            <v>Fonctionnement</v>
          </cell>
        </row>
        <row r="122">
          <cell r="A122">
            <v>2020</v>
          </cell>
          <cell r="H122">
            <v>14000</v>
          </cell>
          <cell r="J122" t="str">
            <v xml:space="preserve">DIRECTION CENTRALE DE LA CHAINE TV LAAYOUNE </v>
          </cell>
          <cell r="K122" t="str">
            <v>Fonctionnement</v>
          </cell>
        </row>
        <row r="123">
          <cell r="A123">
            <v>2020</v>
          </cell>
          <cell r="H123">
            <v>18699.8</v>
          </cell>
          <cell r="J123" t="str">
            <v xml:space="preserve">DIRECTION CENTRALE DE LA CHAINE TV LAAYOUNE </v>
          </cell>
          <cell r="K123" t="str">
            <v>Fonctionnement</v>
          </cell>
        </row>
        <row r="124">
          <cell r="A124">
            <v>2020</v>
          </cell>
          <cell r="H124">
            <v>17000</v>
          </cell>
          <cell r="J124" t="str">
            <v xml:space="preserve">DIRECTION CENTRALE DE LA CHAINE TV LAAYOUNE </v>
          </cell>
          <cell r="K124" t="str">
            <v>Fonctionnement</v>
          </cell>
        </row>
        <row r="125">
          <cell r="A125">
            <v>2020</v>
          </cell>
          <cell r="H125">
            <v>175000</v>
          </cell>
          <cell r="J125" t="str">
            <v xml:space="preserve">DIRECTION CENTRALE DE LA CHAINE TV LAAYOUNE </v>
          </cell>
          <cell r="K125" t="str">
            <v>Fonctionnement</v>
          </cell>
        </row>
        <row r="126">
          <cell r="A126">
            <v>2020</v>
          </cell>
          <cell r="H126">
            <v>8460</v>
          </cell>
          <cell r="J126" t="str">
            <v xml:space="preserve">DIRECTION CENTRALE DE LA CHAINE TV LAAYOUNE </v>
          </cell>
          <cell r="K126" t="str">
            <v>Fonctionnement</v>
          </cell>
        </row>
        <row r="127">
          <cell r="A127">
            <v>2020</v>
          </cell>
          <cell r="H127">
            <v>31110</v>
          </cell>
          <cell r="J127" t="str">
            <v xml:space="preserve">DIRECTION CENTRALE DE LA CHAINE TV LAAYOUNE </v>
          </cell>
          <cell r="K127" t="str">
            <v>Fonctionnement</v>
          </cell>
        </row>
        <row r="128">
          <cell r="A128">
            <v>2020</v>
          </cell>
          <cell r="H128">
            <v>229852.79999999999</v>
          </cell>
          <cell r="J128" t="str">
            <v xml:space="preserve">DIRECTION CENTRALE DE LA CHAINE TV LAAYOUNE </v>
          </cell>
          <cell r="K128" t="str">
            <v>Investissement</v>
          </cell>
        </row>
        <row r="129">
          <cell r="A129">
            <v>2016</v>
          </cell>
          <cell r="H129">
            <v>89292</v>
          </cell>
          <cell r="J129" t="str">
            <v>DIRECTION CENTRALE DE LA PRODUCTION ET DE L'ANTENNE</v>
          </cell>
          <cell r="K129" t="str">
            <v>Fonctionnement</v>
          </cell>
        </row>
        <row r="130">
          <cell r="A130">
            <v>2016</v>
          </cell>
          <cell r="H130">
            <v>480000</v>
          </cell>
          <cell r="J130" t="str">
            <v>DIRECTION CENTRALE DE LA PRODUCTION ET DE L'ANTENNE</v>
          </cell>
          <cell r="K130" t="str">
            <v>Fonctionnement</v>
          </cell>
        </row>
        <row r="131">
          <cell r="A131">
            <v>2016</v>
          </cell>
          <cell r="H131">
            <v>486000</v>
          </cell>
          <cell r="J131" t="str">
            <v>DIRECTION CENTRALE DE LA PRODUCTION ET DE L'ANTENNE</v>
          </cell>
          <cell r="K131" t="str">
            <v>Fonctionnement</v>
          </cell>
        </row>
        <row r="132">
          <cell r="A132">
            <v>2016</v>
          </cell>
          <cell r="H132">
            <v>287400</v>
          </cell>
          <cell r="J132" t="str">
            <v>DIRECTION CENTRALE DE LA PRODUCTION ET DE L'ANTENNE</v>
          </cell>
          <cell r="K132" t="str">
            <v>Fonctionnement</v>
          </cell>
        </row>
        <row r="133">
          <cell r="A133">
            <v>2016</v>
          </cell>
          <cell r="H133">
            <v>250560</v>
          </cell>
          <cell r="J133" t="str">
            <v>DIRECTION CENTRALE DE LA PRODUCTION ET DE L'ANTENNE</v>
          </cell>
          <cell r="K133" t="str">
            <v>Fonctionnement</v>
          </cell>
        </row>
        <row r="134">
          <cell r="A134">
            <v>2016</v>
          </cell>
          <cell r="H134">
            <v>286200</v>
          </cell>
          <cell r="J134" t="str">
            <v>DIRECTION CENTRALE DE LA PRODUCTION ET DE L'ANTENNE</v>
          </cell>
          <cell r="K134" t="str">
            <v>Fonctionnement</v>
          </cell>
        </row>
        <row r="135">
          <cell r="A135">
            <v>2016</v>
          </cell>
          <cell r="H135">
            <v>76198.100000000006</v>
          </cell>
          <cell r="J135" t="str">
            <v>DIRECTION CENTRALE DE LA PRODUCTION ET DE L'ANTENNE</v>
          </cell>
          <cell r="K135" t="str">
            <v>Fonctionnement</v>
          </cell>
        </row>
        <row r="136">
          <cell r="A136">
            <v>2016</v>
          </cell>
          <cell r="H136">
            <v>384000</v>
          </cell>
          <cell r="J136" t="str">
            <v>DIRECTION CENTRALE DE LA PRODUCTION ET DE L'ANTENNE</v>
          </cell>
          <cell r="K136" t="str">
            <v>Fonctionnement</v>
          </cell>
        </row>
        <row r="137">
          <cell r="A137">
            <v>2016</v>
          </cell>
          <cell r="H137">
            <v>113400</v>
          </cell>
          <cell r="J137" t="str">
            <v>DIRECTION CENTRALE DE LA PRODUCTION ET DE L'ANTENNE</v>
          </cell>
          <cell r="K137" t="str">
            <v>Fonctionnement</v>
          </cell>
        </row>
        <row r="138">
          <cell r="A138">
            <v>2016</v>
          </cell>
          <cell r="H138">
            <v>220320</v>
          </cell>
          <cell r="J138" t="str">
            <v>DIRECTION CENTRALE DE LA PRODUCTION ET DE L'ANTENNE</v>
          </cell>
          <cell r="K138" t="str">
            <v>Fonctionnement</v>
          </cell>
        </row>
        <row r="139">
          <cell r="A139">
            <v>2016</v>
          </cell>
          <cell r="H139">
            <v>64800</v>
          </cell>
          <cell r="J139" t="str">
            <v>DIRECTION CENTRALE DE LA PRODUCTION ET DE L'ANTENNE</v>
          </cell>
          <cell r="K139" t="str">
            <v>Fonctionnement</v>
          </cell>
        </row>
        <row r="140">
          <cell r="A140">
            <v>2016</v>
          </cell>
          <cell r="H140">
            <v>484920</v>
          </cell>
          <cell r="J140" t="str">
            <v>DIRECTION CENTRALE DE LA PRODUCTION ET DE L'ANTENNE</v>
          </cell>
          <cell r="K140" t="str">
            <v>Fonctionnement</v>
          </cell>
        </row>
        <row r="141">
          <cell r="A141">
            <v>2016</v>
          </cell>
          <cell r="H141">
            <v>75600</v>
          </cell>
          <cell r="J141" t="str">
            <v>DIRECTION CENTRALE DE LA PRODUCTION ET DE L'ANTENNE</v>
          </cell>
          <cell r="K141" t="str">
            <v>Fonctionnement</v>
          </cell>
        </row>
        <row r="142">
          <cell r="A142">
            <v>2016</v>
          </cell>
          <cell r="H142">
            <v>250560</v>
          </cell>
          <cell r="J142" t="str">
            <v>DIRECTION CENTRALE DE LA PRODUCTION ET DE L'ANTENNE</v>
          </cell>
          <cell r="K142" t="str">
            <v>Fonctionnement</v>
          </cell>
        </row>
        <row r="143">
          <cell r="A143">
            <v>2016</v>
          </cell>
          <cell r="H143">
            <v>42000</v>
          </cell>
          <cell r="J143" t="str">
            <v>DIRECTION CENTRALE DE LA PRODUCTION ET DE L'ANTENNE</v>
          </cell>
          <cell r="K143" t="str">
            <v>Fonctionnement</v>
          </cell>
        </row>
        <row r="144">
          <cell r="A144">
            <v>2016</v>
          </cell>
          <cell r="H144">
            <v>495360</v>
          </cell>
          <cell r="J144" t="str">
            <v>DIRECTION CENTRALE DE LA PRODUCTION ET DE L'ANTENNE</v>
          </cell>
          <cell r="K144" t="str">
            <v>Fonctionnement</v>
          </cell>
        </row>
        <row r="145">
          <cell r="A145">
            <v>2016</v>
          </cell>
          <cell r="H145">
            <v>229920</v>
          </cell>
          <cell r="J145" t="str">
            <v>DIRECTION CENTRALE DE LA PRODUCTION ET DE L'ANTENNE</v>
          </cell>
          <cell r="K145" t="str">
            <v>Fonctionnement</v>
          </cell>
        </row>
        <row r="146">
          <cell r="A146">
            <v>2016</v>
          </cell>
          <cell r="H146">
            <v>494400</v>
          </cell>
          <cell r="J146" t="str">
            <v>DIRECTION CENTRALE DE LA PRODUCTION ET DE L'ANTENNE</v>
          </cell>
          <cell r="K146" t="str">
            <v>Fonctionnement</v>
          </cell>
        </row>
        <row r="147">
          <cell r="A147">
            <v>2016</v>
          </cell>
          <cell r="H147">
            <v>464832</v>
          </cell>
          <cell r="J147" t="str">
            <v>DIRECTION CENTRALE DE LA PRODUCTION ET DE L'ANTENNE</v>
          </cell>
          <cell r="K147" t="str">
            <v>Fonctionnement</v>
          </cell>
        </row>
        <row r="148">
          <cell r="A148">
            <v>2016</v>
          </cell>
          <cell r="H148">
            <v>68544</v>
          </cell>
          <cell r="J148" t="str">
            <v>DIRECTION CENTRALE DE LA PRODUCTION ET DE L'ANTENNE</v>
          </cell>
          <cell r="K148" t="str">
            <v>Fonctionnement</v>
          </cell>
        </row>
        <row r="149">
          <cell r="A149">
            <v>2016</v>
          </cell>
          <cell r="H149">
            <v>57156</v>
          </cell>
          <cell r="J149" t="str">
            <v>DIRECTION CENTRALE DE LA PRODUCTION ET DE L'ANTENNE</v>
          </cell>
          <cell r="K149" t="str">
            <v>Fonctionnement</v>
          </cell>
        </row>
        <row r="150">
          <cell r="A150">
            <v>2016</v>
          </cell>
          <cell r="H150">
            <v>77760</v>
          </cell>
          <cell r="J150" t="str">
            <v>DIRECTION CENTRALE DE LA PRODUCTION ET DE L'ANTENNE</v>
          </cell>
          <cell r="K150" t="str">
            <v>Fonctionnement</v>
          </cell>
        </row>
        <row r="151">
          <cell r="A151">
            <v>2016</v>
          </cell>
          <cell r="H151">
            <v>47778</v>
          </cell>
          <cell r="J151" t="str">
            <v>DIRECTION CENTRALE DE LA PRODUCTION ET DE L'ANTENNE</v>
          </cell>
          <cell r="K151" t="str">
            <v>Fonctionnement</v>
          </cell>
        </row>
        <row r="152">
          <cell r="A152">
            <v>2016</v>
          </cell>
          <cell r="H152">
            <v>459400.08400000003</v>
          </cell>
          <cell r="J152" t="str">
            <v>DIRECTION CENTRALE DE LA PRODUCTION ET DE L'ANTENNE</v>
          </cell>
          <cell r="K152" t="str">
            <v>Fonctionnement</v>
          </cell>
        </row>
        <row r="153">
          <cell r="A153">
            <v>2016</v>
          </cell>
          <cell r="H153">
            <v>318478.12699999998</v>
          </cell>
          <cell r="J153" t="str">
            <v>DIRECTION CENTRALE DE LA PRODUCTION ET DE L'ANTENNE</v>
          </cell>
          <cell r="K153" t="str">
            <v>Fonctionnement</v>
          </cell>
        </row>
        <row r="154">
          <cell r="A154">
            <v>2016</v>
          </cell>
          <cell r="H154">
            <v>160000.128</v>
          </cell>
          <cell r="J154" t="str">
            <v>DIRECTION CENTRALE DE LA PRODUCTION ET DE L'ANTENNE</v>
          </cell>
          <cell r="K154" t="str">
            <v>Fonctionnement</v>
          </cell>
        </row>
        <row r="155">
          <cell r="A155">
            <v>2016</v>
          </cell>
          <cell r="H155">
            <v>69120</v>
          </cell>
          <cell r="J155" t="str">
            <v>DIRECTION CENTRALE DE LA PRODUCTION ET DE L'ANTENNE</v>
          </cell>
          <cell r="K155" t="str">
            <v>Fonctionnement</v>
          </cell>
        </row>
        <row r="156">
          <cell r="A156">
            <v>2016</v>
          </cell>
          <cell r="H156">
            <v>40320</v>
          </cell>
          <cell r="J156" t="str">
            <v>DIRECTION CENTRALE DE LA PRODUCTION ET DE L'ANTENNE</v>
          </cell>
          <cell r="K156" t="str">
            <v>Fonctionnement</v>
          </cell>
        </row>
        <row r="157">
          <cell r="A157">
            <v>2016</v>
          </cell>
          <cell r="H157">
            <v>54000</v>
          </cell>
          <cell r="J157" t="str">
            <v>DIRECTION CENTRALE DE LA PRODUCTION ET DE L'ANTENNE</v>
          </cell>
          <cell r="K157" t="str">
            <v>Fonctionnement</v>
          </cell>
        </row>
        <row r="158">
          <cell r="A158">
            <v>2016</v>
          </cell>
          <cell r="H158">
            <v>64824</v>
          </cell>
          <cell r="J158" t="str">
            <v>DIRECTION CENTRALE DE LA PRODUCTION ET DE L'ANTENNE</v>
          </cell>
          <cell r="K158" t="str">
            <v>Fonctionnement</v>
          </cell>
        </row>
        <row r="159">
          <cell r="A159">
            <v>2016</v>
          </cell>
          <cell r="H159">
            <v>340800</v>
          </cell>
          <cell r="J159" t="str">
            <v>DIRECTION CENTRALE DE LA PRODUCTION ET DE L'ANTENNE</v>
          </cell>
          <cell r="K159" t="str">
            <v>Fonctionnement</v>
          </cell>
        </row>
        <row r="160">
          <cell r="A160">
            <v>2016</v>
          </cell>
          <cell r="H160">
            <v>119640</v>
          </cell>
          <cell r="J160" t="str">
            <v>DIRECTION CENTRALE DE LA PRODUCTION ET DE L'ANTENNE</v>
          </cell>
          <cell r="K160" t="str">
            <v>Investissement</v>
          </cell>
        </row>
        <row r="161">
          <cell r="A161">
            <v>2016</v>
          </cell>
          <cell r="H161">
            <v>118800</v>
          </cell>
          <cell r="J161" t="str">
            <v>DIRECTION CENTRALE DE LA PRODUCTION ET DE L'ANTENNE</v>
          </cell>
          <cell r="K161" t="str">
            <v>Investissement</v>
          </cell>
        </row>
        <row r="162">
          <cell r="A162">
            <v>2017</v>
          </cell>
          <cell r="H162">
            <v>415800</v>
          </cell>
          <cell r="J162" t="str">
            <v>DIRECTION CENTRALE DE LA PRODUCTION ET DE L'ANTENNE</v>
          </cell>
          <cell r="K162" t="str">
            <v>Fonctionnement</v>
          </cell>
        </row>
        <row r="163">
          <cell r="A163">
            <v>2017</v>
          </cell>
          <cell r="H163">
            <v>371864.46</v>
          </cell>
          <cell r="J163" t="str">
            <v>DIRECTION CENTRALE DE LA PRODUCTION ET DE L'ANTENNE</v>
          </cell>
          <cell r="K163" t="str">
            <v>Fonctionnement</v>
          </cell>
        </row>
        <row r="164">
          <cell r="A164">
            <v>2017</v>
          </cell>
          <cell r="H164">
            <v>143568</v>
          </cell>
          <cell r="J164" t="str">
            <v>DIRECTION CENTRALE DE LA PRODUCTION ET DE L'ANTENNE</v>
          </cell>
          <cell r="K164" t="str">
            <v>Fonctionnement</v>
          </cell>
        </row>
        <row r="165">
          <cell r="A165">
            <v>2017</v>
          </cell>
          <cell r="H165">
            <v>70549.2</v>
          </cell>
          <cell r="J165" t="str">
            <v>DIRECTION CENTRALE DE LA PRODUCTION ET DE L'ANTENNE</v>
          </cell>
          <cell r="K165" t="str">
            <v>Fonctionnement</v>
          </cell>
        </row>
        <row r="166">
          <cell r="A166">
            <v>2017</v>
          </cell>
          <cell r="H166">
            <v>325500</v>
          </cell>
          <cell r="J166" t="str">
            <v>DIRECTION CENTRALE DE LA PRODUCTION ET DE L'ANTENNE</v>
          </cell>
          <cell r="K166" t="str">
            <v>Fonctionnement</v>
          </cell>
        </row>
        <row r="167">
          <cell r="A167">
            <v>2017</v>
          </cell>
          <cell r="H167">
            <v>178560</v>
          </cell>
          <cell r="J167" t="str">
            <v>DIRECTION CENTRALE DE LA PRODUCTION ET DE L'ANTENNE</v>
          </cell>
          <cell r="K167" t="str">
            <v>Fonctionnement</v>
          </cell>
        </row>
        <row r="168">
          <cell r="A168">
            <v>2017</v>
          </cell>
          <cell r="H168">
            <v>282240</v>
          </cell>
          <cell r="J168" t="str">
            <v>DIRECTION CENTRALE DE LA PRODUCTION ET DE L'ANTENNE</v>
          </cell>
          <cell r="K168" t="str">
            <v>Fonctionnement</v>
          </cell>
        </row>
        <row r="169">
          <cell r="A169">
            <v>2017</v>
          </cell>
          <cell r="H169">
            <v>41040</v>
          </cell>
          <cell r="J169" t="str">
            <v>DIRECTION CENTRALE DE LA PRODUCTION ET DE L'ANTENNE</v>
          </cell>
          <cell r="K169" t="str">
            <v>Fonctionnement</v>
          </cell>
        </row>
        <row r="170">
          <cell r="A170">
            <v>2017</v>
          </cell>
          <cell r="H170">
            <v>420172.79999999999</v>
          </cell>
          <cell r="J170" t="str">
            <v>DIRECTION CENTRALE DE LA PRODUCTION ET DE L'ANTENNE</v>
          </cell>
          <cell r="K170" t="str">
            <v>Fonctionnement</v>
          </cell>
        </row>
        <row r="171">
          <cell r="A171">
            <v>2017</v>
          </cell>
          <cell r="H171">
            <v>90000</v>
          </cell>
          <cell r="J171" t="str">
            <v>DIRECTION CENTRALE DE LA PRODUCTION ET DE L'ANTENNE</v>
          </cell>
          <cell r="K171" t="str">
            <v>Fonctionnement</v>
          </cell>
        </row>
        <row r="172">
          <cell r="A172">
            <v>2017</v>
          </cell>
          <cell r="H172">
            <v>114840</v>
          </cell>
          <cell r="J172" t="str">
            <v>DIRECTION CENTRALE DE LA PRODUCTION ET DE L'ANTENNE</v>
          </cell>
          <cell r="K172" t="str">
            <v>Fonctionnement</v>
          </cell>
        </row>
        <row r="173">
          <cell r="A173">
            <v>2017</v>
          </cell>
          <cell r="H173">
            <v>144000</v>
          </cell>
          <cell r="J173" t="str">
            <v>DIRECTION CENTRALE DE LA PRODUCTION ET DE L'ANTENNE</v>
          </cell>
          <cell r="K173" t="str">
            <v>Fonctionnement</v>
          </cell>
        </row>
        <row r="174">
          <cell r="A174">
            <v>2017</v>
          </cell>
          <cell r="H174">
            <v>173160</v>
          </cell>
          <cell r="J174" t="str">
            <v>DIRECTION CENTRALE DE LA PRODUCTION ET DE L'ANTENNE</v>
          </cell>
          <cell r="K174" t="str">
            <v>Fonctionnement</v>
          </cell>
        </row>
        <row r="175">
          <cell r="A175">
            <v>2017</v>
          </cell>
          <cell r="H175">
            <v>144720</v>
          </cell>
          <cell r="J175" t="str">
            <v>DIRECTION CENTRALE DE LA PRODUCTION ET DE L'ANTENNE</v>
          </cell>
          <cell r="K175" t="str">
            <v>Fonctionnement</v>
          </cell>
        </row>
        <row r="176">
          <cell r="A176">
            <v>2017</v>
          </cell>
          <cell r="H176">
            <v>67740</v>
          </cell>
          <cell r="J176" t="str">
            <v>DIRECTION CENTRALE DE LA PRODUCTION ET DE L'ANTENNE</v>
          </cell>
          <cell r="K176" t="str">
            <v>Fonctionnement</v>
          </cell>
        </row>
        <row r="177">
          <cell r="A177">
            <v>2017</v>
          </cell>
          <cell r="H177">
            <v>180180</v>
          </cell>
          <cell r="J177" t="str">
            <v>DIRECTION CENTRALE DE LA PRODUCTION ET DE L'ANTENNE</v>
          </cell>
          <cell r="K177" t="str">
            <v>Fonctionnement</v>
          </cell>
        </row>
        <row r="178">
          <cell r="A178">
            <v>2017</v>
          </cell>
          <cell r="H178">
            <v>54000</v>
          </cell>
          <cell r="J178" t="str">
            <v>DIRECTION CENTRALE DE LA PRODUCTION ET DE L'ANTENNE</v>
          </cell>
          <cell r="K178" t="str">
            <v>Fonctionnement</v>
          </cell>
        </row>
        <row r="179">
          <cell r="A179">
            <v>2017</v>
          </cell>
          <cell r="H179">
            <v>141240</v>
          </cell>
          <cell r="J179" t="str">
            <v>DIRECTION CENTRALE DE LA PRODUCTION ET DE L'ANTENNE</v>
          </cell>
          <cell r="K179" t="str">
            <v>Fonctionnement</v>
          </cell>
        </row>
        <row r="180">
          <cell r="A180">
            <v>2017</v>
          </cell>
          <cell r="H180">
            <v>45000</v>
          </cell>
          <cell r="J180" t="str">
            <v>DIRECTION CENTRALE DE LA PRODUCTION ET DE L'ANTENNE</v>
          </cell>
          <cell r="K180" t="str">
            <v>Fonctionnement</v>
          </cell>
        </row>
        <row r="181">
          <cell r="A181">
            <v>2017</v>
          </cell>
          <cell r="H181">
            <v>144000</v>
          </cell>
          <cell r="J181" t="str">
            <v>DIRECTION CENTRALE DE LA PRODUCTION ET DE L'ANTENNE</v>
          </cell>
          <cell r="K181" t="str">
            <v>Fonctionnement</v>
          </cell>
        </row>
        <row r="182">
          <cell r="A182">
            <v>2017</v>
          </cell>
          <cell r="H182">
            <v>44436</v>
          </cell>
          <cell r="J182" t="str">
            <v>DIRECTION CENTRALE DE LA PRODUCTION ET DE L'ANTENNE</v>
          </cell>
          <cell r="K182" t="str">
            <v>Fonctionnement</v>
          </cell>
        </row>
        <row r="183">
          <cell r="A183">
            <v>2017</v>
          </cell>
          <cell r="H183">
            <v>217200</v>
          </cell>
          <cell r="J183" t="str">
            <v>DIRECTION CENTRALE DE LA PRODUCTION ET DE L'ANTENNE</v>
          </cell>
          <cell r="K183" t="str">
            <v>Fonctionnement</v>
          </cell>
        </row>
        <row r="184">
          <cell r="A184">
            <v>2017</v>
          </cell>
          <cell r="H184">
            <v>141066</v>
          </cell>
          <cell r="J184" t="str">
            <v>DIRECTION CENTRALE DE LA PRODUCTION ET DE L'ANTENNE</v>
          </cell>
          <cell r="K184" t="str">
            <v>Fonctionnement</v>
          </cell>
        </row>
        <row r="185">
          <cell r="A185">
            <v>2017</v>
          </cell>
          <cell r="H185">
            <v>457560</v>
          </cell>
          <cell r="J185" t="str">
            <v>DIRECTION CENTRALE DE LA PRODUCTION ET DE L'ANTENNE</v>
          </cell>
          <cell r="K185" t="str">
            <v>Fonctionnement</v>
          </cell>
        </row>
        <row r="186">
          <cell r="A186">
            <v>2017</v>
          </cell>
          <cell r="H186">
            <v>144000</v>
          </cell>
          <cell r="J186" t="str">
            <v>DIRECTION CENTRALE DE LA PRODUCTION ET DE L'ANTENNE</v>
          </cell>
          <cell r="K186" t="str">
            <v>Fonctionnement</v>
          </cell>
        </row>
        <row r="187">
          <cell r="A187">
            <v>2017</v>
          </cell>
          <cell r="H187">
            <v>101520</v>
          </cell>
          <cell r="J187" t="str">
            <v>DIRECTION CENTRALE DE LA PRODUCTION ET DE L'ANTENNE</v>
          </cell>
          <cell r="K187" t="str">
            <v>Fonctionnement</v>
          </cell>
        </row>
        <row r="188">
          <cell r="A188">
            <v>2017</v>
          </cell>
          <cell r="H188">
            <v>415920</v>
          </cell>
          <cell r="J188" t="str">
            <v>DIRECTION CENTRALE DE LA PRODUCTION ET DE L'ANTENNE</v>
          </cell>
          <cell r="K188" t="str">
            <v>Investissement</v>
          </cell>
        </row>
        <row r="189">
          <cell r="A189">
            <v>2017</v>
          </cell>
          <cell r="H189">
            <v>64464</v>
          </cell>
          <cell r="J189" t="str">
            <v>DIRECTION CENTRALE DE LA PRODUCTION ET DE L'ANTENNE</v>
          </cell>
          <cell r="K189" t="str">
            <v>Investissement</v>
          </cell>
        </row>
        <row r="190">
          <cell r="A190">
            <v>2017</v>
          </cell>
          <cell r="H190">
            <v>323034</v>
          </cell>
          <cell r="J190" t="str">
            <v>DIRECTION CENTRALE DE LA PRODUCTION ET DE L'ANTENNE</v>
          </cell>
          <cell r="K190" t="str">
            <v>Investissement</v>
          </cell>
        </row>
        <row r="191">
          <cell r="A191">
            <v>2017</v>
          </cell>
          <cell r="H191">
            <v>338100</v>
          </cell>
          <cell r="J191" t="str">
            <v>DIRECTION CENTRALE DE LA PRODUCTION ET DE L'ANTENNE</v>
          </cell>
          <cell r="K191" t="str">
            <v>Investissement</v>
          </cell>
        </row>
        <row r="192">
          <cell r="A192">
            <v>2017</v>
          </cell>
          <cell r="H192">
            <v>82800</v>
          </cell>
          <cell r="J192" t="str">
            <v>DIRECTION CENTRALE DE LA PRODUCTION ET DE L'ANTENNE</v>
          </cell>
          <cell r="K192" t="str">
            <v>Investissement</v>
          </cell>
        </row>
        <row r="193">
          <cell r="A193">
            <v>2018</v>
          </cell>
          <cell r="H193">
            <v>213840</v>
          </cell>
          <cell r="J193" t="str">
            <v>DIRECTION CENTRALE DE LA PRODUCTION ET DE L'ANTENNE</v>
          </cell>
          <cell r="K193" t="str">
            <v>Fonctionnement</v>
          </cell>
        </row>
        <row r="194">
          <cell r="A194">
            <v>2018</v>
          </cell>
          <cell r="H194">
            <v>129600</v>
          </cell>
          <cell r="J194" t="str">
            <v>DIRECTION CENTRALE DE LA PRODUCTION ET DE L'ANTENNE</v>
          </cell>
          <cell r="K194" t="str">
            <v>Fonctionnement</v>
          </cell>
        </row>
        <row r="195">
          <cell r="A195">
            <v>2018</v>
          </cell>
          <cell r="H195">
            <v>115200</v>
          </cell>
          <cell r="J195" t="str">
            <v>DIRECTION CENTRALE DE LA PRODUCTION ET DE L'ANTENNE</v>
          </cell>
          <cell r="K195" t="str">
            <v>Fonctionnement</v>
          </cell>
        </row>
        <row r="196">
          <cell r="A196">
            <v>2018</v>
          </cell>
          <cell r="H196">
            <v>127200</v>
          </cell>
          <cell r="J196" t="str">
            <v>DIRECTION CENTRALE DE LA PRODUCTION ET DE L'ANTENNE</v>
          </cell>
          <cell r="K196" t="str">
            <v>Fonctionnement</v>
          </cell>
        </row>
        <row r="197">
          <cell r="A197">
            <v>2018</v>
          </cell>
          <cell r="H197">
            <v>498240</v>
          </cell>
          <cell r="J197" t="str">
            <v>DIRECTION CENTRALE DE LA PRODUCTION ET DE L'ANTENNE</v>
          </cell>
          <cell r="K197" t="str">
            <v>Fonctionnement</v>
          </cell>
        </row>
        <row r="198">
          <cell r="A198">
            <v>2018</v>
          </cell>
          <cell r="H198">
            <v>244560</v>
          </cell>
          <cell r="J198" t="str">
            <v>DIRECTION CENTRALE DE LA PRODUCTION ET DE L'ANTENNE</v>
          </cell>
          <cell r="K198" t="str">
            <v>Fonctionnement</v>
          </cell>
        </row>
        <row r="199">
          <cell r="A199">
            <v>2018</v>
          </cell>
          <cell r="H199">
            <v>216000</v>
          </cell>
          <cell r="J199" t="str">
            <v>DIRECTION CENTRALE DE LA PRODUCTION ET DE L'ANTENNE</v>
          </cell>
          <cell r="K199" t="str">
            <v>Fonctionnement</v>
          </cell>
        </row>
        <row r="200">
          <cell r="A200">
            <v>2018</v>
          </cell>
          <cell r="H200">
            <v>172800</v>
          </cell>
          <cell r="J200" t="str">
            <v>DIRECTION CENTRALE DE LA PRODUCTION ET DE L'ANTENNE</v>
          </cell>
          <cell r="K200" t="str">
            <v>Fonctionnement</v>
          </cell>
        </row>
        <row r="201">
          <cell r="A201">
            <v>2018</v>
          </cell>
          <cell r="H201">
            <v>64800</v>
          </cell>
          <cell r="J201" t="str">
            <v>DIRECTION CENTRALE DE LA PRODUCTION ET DE L'ANTENNE</v>
          </cell>
          <cell r="K201" t="str">
            <v>Fonctionnement</v>
          </cell>
        </row>
        <row r="202">
          <cell r="A202">
            <v>2018</v>
          </cell>
          <cell r="H202">
            <v>121920</v>
          </cell>
          <cell r="J202" t="str">
            <v>DIRECTION CENTRALE DE LA PRODUCTION ET DE L'ANTENNE</v>
          </cell>
          <cell r="K202" t="str">
            <v>Fonctionnement</v>
          </cell>
        </row>
        <row r="203">
          <cell r="A203">
            <v>2018</v>
          </cell>
          <cell r="H203">
            <v>305568</v>
          </cell>
          <cell r="J203" t="str">
            <v>DIRECTION CENTRALE DE LA PRODUCTION ET DE L'ANTENNE</v>
          </cell>
          <cell r="K203" t="str">
            <v>Fonctionnement</v>
          </cell>
        </row>
        <row r="204">
          <cell r="A204">
            <v>2018</v>
          </cell>
          <cell r="H204">
            <v>96480</v>
          </cell>
          <cell r="J204" t="str">
            <v>DIRECTION CENTRALE DE LA PRODUCTION ET DE L'ANTENNE</v>
          </cell>
          <cell r="K204" t="str">
            <v>Fonctionnement</v>
          </cell>
        </row>
        <row r="205">
          <cell r="A205">
            <v>2018</v>
          </cell>
          <cell r="H205">
            <v>126959.74</v>
          </cell>
          <cell r="J205" t="str">
            <v>DIRECTION CENTRALE DE LA PRODUCTION ET DE L'ANTENNE</v>
          </cell>
          <cell r="K205" t="str">
            <v>Fonctionnement</v>
          </cell>
        </row>
        <row r="206">
          <cell r="A206">
            <v>2018</v>
          </cell>
          <cell r="H206">
            <v>70256.149999999994</v>
          </cell>
          <cell r="J206" t="str">
            <v>DIRECTION CENTRALE DE LA PRODUCTION ET DE L'ANTENNE</v>
          </cell>
          <cell r="K206" t="str">
            <v>Fonctionnement</v>
          </cell>
        </row>
        <row r="207">
          <cell r="A207">
            <v>2018</v>
          </cell>
          <cell r="H207">
            <v>57309.599999999999</v>
          </cell>
          <cell r="J207" t="str">
            <v>DIRECTION CENTRALE DE LA PRODUCTION ET DE L'ANTENNE</v>
          </cell>
          <cell r="K207" t="str">
            <v>Fonctionnement</v>
          </cell>
        </row>
        <row r="208">
          <cell r="A208">
            <v>2018</v>
          </cell>
          <cell r="H208">
            <v>243018</v>
          </cell>
          <cell r="J208" t="str">
            <v>DIRECTION CENTRALE DE LA PRODUCTION ET DE L'ANTENNE</v>
          </cell>
          <cell r="K208" t="str">
            <v>Fonctionnement</v>
          </cell>
        </row>
        <row r="209">
          <cell r="A209">
            <v>2018</v>
          </cell>
          <cell r="H209">
            <v>153480</v>
          </cell>
          <cell r="J209" t="str">
            <v>DIRECTION CENTRALE DE LA PRODUCTION ET DE L'ANTENNE</v>
          </cell>
          <cell r="K209" t="str">
            <v>Fonctionnement</v>
          </cell>
        </row>
        <row r="210">
          <cell r="A210">
            <v>2018</v>
          </cell>
          <cell r="H210">
            <v>92679</v>
          </cell>
          <cell r="J210" t="str">
            <v>DIRECTION CENTRALE DE LA PRODUCTION ET DE L'ANTENNE</v>
          </cell>
          <cell r="K210" t="str">
            <v>Fonctionnement</v>
          </cell>
        </row>
        <row r="211">
          <cell r="A211">
            <v>2019</v>
          </cell>
          <cell r="H211">
            <v>100704</v>
          </cell>
          <cell r="J211" t="str">
            <v>DIRECTION CENTRALE DE LA PRODUCTION ET DE L'ANTENNE</v>
          </cell>
          <cell r="K211" t="str">
            <v>Fonctionnement</v>
          </cell>
        </row>
        <row r="212">
          <cell r="A212">
            <v>2019</v>
          </cell>
          <cell r="H212">
            <v>222960</v>
          </cell>
          <cell r="J212" t="str">
            <v>DIRECTION CENTRALE DE LA PRODUCTION ET DE L'ANTENNE</v>
          </cell>
          <cell r="K212" t="str">
            <v>Fonctionnement</v>
          </cell>
        </row>
        <row r="213">
          <cell r="A213">
            <v>2019</v>
          </cell>
          <cell r="H213">
            <v>129600</v>
          </cell>
          <cell r="J213" t="str">
            <v>DIRECTION CENTRALE DE LA PRODUCTION ET DE L'ANTENNE</v>
          </cell>
          <cell r="K213" t="str">
            <v>Fonctionnement</v>
          </cell>
        </row>
        <row r="214">
          <cell r="A214">
            <v>2019</v>
          </cell>
          <cell r="H214">
            <v>33750</v>
          </cell>
          <cell r="J214" t="str">
            <v>DIRECTION CENTRALE DE LA PRODUCTION ET DE L'ANTENNE</v>
          </cell>
          <cell r="K214" t="str">
            <v>Fonctionnement</v>
          </cell>
        </row>
        <row r="215">
          <cell r="A215">
            <v>2019</v>
          </cell>
          <cell r="H215">
            <v>202752</v>
          </cell>
          <cell r="J215" t="str">
            <v>DIRECTION CENTRALE DE LA PRODUCTION ET DE L'ANTENNE</v>
          </cell>
          <cell r="K215" t="str">
            <v>Fonctionnement</v>
          </cell>
        </row>
        <row r="216">
          <cell r="A216">
            <v>2019</v>
          </cell>
          <cell r="H216">
            <v>285600</v>
          </cell>
          <cell r="J216" t="str">
            <v>DIRECTION CENTRALE DE LA PRODUCTION ET DE L'ANTENNE</v>
          </cell>
          <cell r="K216" t="str">
            <v>Fonctionnement</v>
          </cell>
        </row>
        <row r="217">
          <cell r="A217">
            <v>2019</v>
          </cell>
          <cell r="H217">
            <v>81120</v>
          </cell>
          <cell r="J217" t="str">
            <v>DIRECTION CENTRALE DE LA PRODUCTION ET DE L'ANTENNE</v>
          </cell>
          <cell r="K217" t="str">
            <v>Fonctionnement</v>
          </cell>
        </row>
        <row r="218">
          <cell r="A218">
            <v>2019</v>
          </cell>
          <cell r="H218">
            <v>498240</v>
          </cell>
          <cell r="J218" t="str">
            <v>DIRECTION CENTRALE DE LA PRODUCTION ET DE L'ANTENNE</v>
          </cell>
          <cell r="K218" t="str">
            <v>Fonctionnement</v>
          </cell>
        </row>
        <row r="219">
          <cell r="A219">
            <v>2019</v>
          </cell>
          <cell r="H219">
            <v>282240</v>
          </cell>
          <cell r="J219" t="str">
            <v>DIRECTION CENTRALE DE LA PRODUCTION ET DE L'ANTENNE</v>
          </cell>
          <cell r="K219" t="str">
            <v>Fonctionnement</v>
          </cell>
        </row>
        <row r="220">
          <cell r="A220">
            <v>2019</v>
          </cell>
          <cell r="H220">
            <v>213228</v>
          </cell>
          <cell r="J220" t="str">
            <v>DIRECTION CENTRALE DE LA PRODUCTION ET DE L'ANTENNE</v>
          </cell>
          <cell r="K220" t="str">
            <v>Fonctionnement</v>
          </cell>
        </row>
        <row r="221">
          <cell r="A221">
            <v>2019</v>
          </cell>
          <cell r="H221">
            <v>10332</v>
          </cell>
          <cell r="J221" t="str">
            <v>DIRECTION CENTRALE DE LA PRODUCTION ET DE L'ANTENNE</v>
          </cell>
          <cell r="K221" t="str">
            <v>Fonctionnement</v>
          </cell>
        </row>
        <row r="222">
          <cell r="A222">
            <v>2019</v>
          </cell>
          <cell r="H222">
            <v>146640</v>
          </cell>
          <cell r="J222" t="str">
            <v>DIRECTION CENTRALE DE LA PRODUCTION ET DE L'ANTENNE</v>
          </cell>
          <cell r="K222" t="str">
            <v>Fonctionnement</v>
          </cell>
        </row>
        <row r="223">
          <cell r="A223">
            <v>2019</v>
          </cell>
          <cell r="H223">
            <v>147420</v>
          </cell>
          <cell r="J223" t="str">
            <v>DIRECTION CENTRALE DE LA PRODUCTION ET DE L'ANTENNE</v>
          </cell>
          <cell r="K223" t="str">
            <v>Fonctionnement</v>
          </cell>
        </row>
        <row r="224">
          <cell r="A224">
            <v>2019</v>
          </cell>
          <cell r="H224">
            <v>24000</v>
          </cell>
          <cell r="J224" t="str">
            <v>DIRECTION CENTRALE DE LA PRODUCTION ET DE L'ANTENNE</v>
          </cell>
          <cell r="K224" t="str">
            <v>Fonctionnement</v>
          </cell>
        </row>
        <row r="225">
          <cell r="A225">
            <v>2019</v>
          </cell>
          <cell r="H225">
            <v>144000</v>
          </cell>
          <cell r="J225" t="str">
            <v>DIRECTION CENTRALE DE LA PRODUCTION ET DE L'ANTENNE</v>
          </cell>
          <cell r="K225" t="str">
            <v>Fonctionnement</v>
          </cell>
        </row>
        <row r="226">
          <cell r="A226">
            <v>2019</v>
          </cell>
          <cell r="H226">
            <v>18480</v>
          </cell>
          <cell r="J226" t="str">
            <v>DIRECTION CENTRALE DE LA PRODUCTION ET DE L'ANTENNE</v>
          </cell>
          <cell r="K226" t="str">
            <v>Fonctionnement</v>
          </cell>
        </row>
        <row r="227">
          <cell r="A227">
            <v>2019</v>
          </cell>
          <cell r="H227">
            <v>69636</v>
          </cell>
          <cell r="J227" t="str">
            <v>DIRECTION CENTRALE DE LA PRODUCTION ET DE L'ANTENNE</v>
          </cell>
          <cell r="K227" t="str">
            <v>Investissement</v>
          </cell>
        </row>
        <row r="228">
          <cell r="A228">
            <v>2019</v>
          </cell>
          <cell r="H228">
            <v>499920</v>
          </cell>
          <cell r="J228" t="str">
            <v>DIRECTION CENTRALE DE LA PRODUCTION ET DE L'ANTENNE</v>
          </cell>
          <cell r="K228" t="str">
            <v>Investissement</v>
          </cell>
        </row>
        <row r="229">
          <cell r="A229">
            <v>2020</v>
          </cell>
          <cell r="H229">
            <v>120960</v>
          </cell>
          <cell r="J229" t="str">
            <v>DIRECTION CENTRALE DE LA PRODUCTION ET DE L'ANTENNE</v>
          </cell>
          <cell r="K229" t="str">
            <v>Fonctionnement</v>
          </cell>
        </row>
        <row r="230">
          <cell r="A230">
            <v>2020</v>
          </cell>
          <cell r="H230">
            <v>61800</v>
          </cell>
          <cell r="J230" t="str">
            <v>DIRECTION CENTRALE DE LA PRODUCTION ET DE L'ANTENNE</v>
          </cell>
          <cell r="K230" t="str">
            <v>Fonctionnement</v>
          </cell>
        </row>
        <row r="231">
          <cell r="A231">
            <v>2020</v>
          </cell>
          <cell r="H231">
            <v>79872</v>
          </cell>
          <cell r="J231" t="str">
            <v>DIRECTION CENTRALE DE LA PRODUCTION ET DE L'ANTENNE</v>
          </cell>
          <cell r="K231" t="str">
            <v>Fonctionnement</v>
          </cell>
        </row>
        <row r="232">
          <cell r="A232">
            <v>2020</v>
          </cell>
          <cell r="H232">
            <v>57879.17</v>
          </cell>
          <cell r="J232" t="str">
            <v>DIRECTION CENTRALE DE LA PRODUCTION ET DE L'ANTENNE</v>
          </cell>
          <cell r="K232" t="str">
            <v>Fonctionnement</v>
          </cell>
        </row>
        <row r="233">
          <cell r="A233">
            <v>2020</v>
          </cell>
          <cell r="H233">
            <v>106584</v>
          </cell>
          <cell r="J233" t="str">
            <v>DIRECTION CENTRALE DE LA PRODUCTION ET DE L'ANTENNE</v>
          </cell>
          <cell r="K233" t="str">
            <v>Investissement</v>
          </cell>
        </row>
        <row r="234">
          <cell r="A234">
            <v>2020</v>
          </cell>
          <cell r="H234">
            <v>402840</v>
          </cell>
          <cell r="J234" t="str">
            <v>DIRECTION CENTRALE DE LA PRODUCTION ET DE L'ANTENNE</v>
          </cell>
          <cell r="K234" t="str">
            <v>Investissement</v>
          </cell>
        </row>
        <row r="235">
          <cell r="A235">
            <v>2017</v>
          </cell>
          <cell r="H235">
            <v>66462</v>
          </cell>
          <cell r="J235" t="str">
            <v>DIRECTION CHARGEE DES RELATIONS INTERNATIONALES</v>
          </cell>
          <cell r="K235" t="str">
            <v>Fonctionnement</v>
          </cell>
        </row>
        <row r="236">
          <cell r="A236">
            <v>2017</v>
          </cell>
          <cell r="H236">
            <v>137800</v>
          </cell>
          <cell r="J236" t="str">
            <v>DIRECTION CHARGEE DES RELATIONS INTERNATIONALES</v>
          </cell>
          <cell r="K236" t="str">
            <v>Fonctionnement</v>
          </cell>
        </row>
        <row r="237">
          <cell r="A237">
            <v>2017</v>
          </cell>
          <cell r="H237">
            <v>288000</v>
          </cell>
          <cell r="J237" t="str">
            <v>DIRECTION CHARGEE DES RELATIONS INTERNATIONALES</v>
          </cell>
          <cell r="K237" t="str">
            <v>Fonctionnement</v>
          </cell>
        </row>
        <row r="238">
          <cell r="A238">
            <v>2017</v>
          </cell>
          <cell r="H238">
            <v>192000</v>
          </cell>
          <cell r="J238" t="str">
            <v>DIRECTION CHARGEE DES RELATIONS INTERNATIONALES</v>
          </cell>
          <cell r="K238" t="str">
            <v>Fonctionnement</v>
          </cell>
        </row>
        <row r="239">
          <cell r="A239">
            <v>2017</v>
          </cell>
          <cell r="H239">
            <v>66780</v>
          </cell>
          <cell r="J239" t="str">
            <v>DIRECTION CHARGEE DES RELATIONS INTERNATIONALES</v>
          </cell>
          <cell r="K239" t="str">
            <v>Fonctionnement</v>
          </cell>
        </row>
        <row r="240">
          <cell r="A240">
            <v>2017</v>
          </cell>
          <cell r="H240">
            <v>385977.59999999998</v>
          </cell>
          <cell r="J240" t="str">
            <v>DIRECTION CHARGEE DES RELATIONS INTERNATIONALES</v>
          </cell>
          <cell r="K240" t="str">
            <v>Fonctionnement</v>
          </cell>
        </row>
        <row r="241">
          <cell r="A241">
            <v>2017</v>
          </cell>
          <cell r="H241">
            <v>66780</v>
          </cell>
          <cell r="J241" t="str">
            <v>DIRECTION CHARGEE DES RELATIONS INTERNATIONALES</v>
          </cell>
          <cell r="K241" t="str">
            <v>Fonctionnement</v>
          </cell>
        </row>
        <row r="242">
          <cell r="A242">
            <v>2017</v>
          </cell>
          <cell r="H242">
            <v>36858.85</v>
          </cell>
          <cell r="J242" t="str">
            <v>DIRECTION CHARGEE DES RELATIONS INTERNATIONALES</v>
          </cell>
          <cell r="K242" t="str">
            <v>Fonctionnement</v>
          </cell>
        </row>
        <row r="243">
          <cell r="A243">
            <v>2018</v>
          </cell>
          <cell r="H243">
            <v>140400</v>
          </cell>
          <cell r="J243" t="str">
            <v>DIRECTION CHARGEE DES RELATIONS INTERNATIONALES</v>
          </cell>
          <cell r="K243" t="str">
            <v>Fonctionnement</v>
          </cell>
        </row>
        <row r="244">
          <cell r="A244">
            <v>2018</v>
          </cell>
          <cell r="H244">
            <v>288000</v>
          </cell>
          <cell r="J244" t="str">
            <v>DIRECTION CHARGEE DES RELATIONS INTERNATIONALES</v>
          </cell>
          <cell r="K244" t="str">
            <v>Fonctionnement</v>
          </cell>
        </row>
        <row r="245">
          <cell r="A245">
            <v>2018</v>
          </cell>
          <cell r="H245">
            <v>67716</v>
          </cell>
          <cell r="J245" t="str">
            <v>DIRECTION CHARGEE DES RELATIONS INTERNATIONALES</v>
          </cell>
          <cell r="K245" t="str">
            <v>Fonctionnement</v>
          </cell>
        </row>
        <row r="246">
          <cell r="A246">
            <v>2018</v>
          </cell>
          <cell r="H246">
            <v>385977.59999999998</v>
          </cell>
          <cell r="J246" t="str">
            <v>DIRECTION CHARGEE DES RELATIONS INTERNATIONALES</v>
          </cell>
          <cell r="K246" t="str">
            <v>Fonctionnement</v>
          </cell>
        </row>
        <row r="247">
          <cell r="A247">
            <v>2019</v>
          </cell>
          <cell r="H247">
            <v>259200</v>
          </cell>
          <cell r="J247" t="str">
            <v>DIRECTION CHARGEE DES RELATIONS INTERNATIONALES</v>
          </cell>
          <cell r="K247" t="str">
            <v>Fonctionnement</v>
          </cell>
        </row>
        <row r="248">
          <cell r="A248">
            <v>2019</v>
          </cell>
          <cell r="H248">
            <v>67410</v>
          </cell>
          <cell r="J248" t="str">
            <v>DIRECTION CHARGEE DES RELATIONS INTERNATIONALES</v>
          </cell>
          <cell r="K248" t="str">
            <v>Fonctionnement</v>
          </cell>
        </row>
        <row r="249">
          <cell r="A249">
            <v>2019</v>
          </cell>
          <cell r="H249">
            <v>92259</v>
          </cell>
          <cell r="J249" t="str">
            <v>DIRECTION CHARGEE DES RELATIONS INTERNATIONALES</v>
          </cell>
          <cell r="K249" t="str">
            <v>Fonctionnement</v>
          </cell>
        </row>
        <row r="250">
          <cell r="A250">
            <v>2019</v>
          </cell>
          <cell r="H250">
            <v>67089</v>
          </cell>
          <cell r="J250" t="str">
            <v>DIRECTION CHARGEE DES RELATIONS INTERNATIONALES</v>
          </cell>
          <cell r="K250" t="str">
            <v>Fonctionnement</v>
          </cell>
        </row>
        <row r="251">
          <cell r="A251">
            <v>2019</v>
          </cell>
          <cell r="H251">
            <v>285000</v>
          </cell>
          <cell r="J251" t="str">
            <v>DIRECTION CHARGEE DES RELATIONS INTERNATIONALES</v>
          </cell>
          <cell r="K251" t="str">
            <v>Fonctionnement</v>
          </cell>
        </row>
        <row r="252">
          <cell r="A252">
            <v>2019</v>
          </cell>
          <cell r="H252">
            <v>107000</v>
          </cell>
          <cell r="J252" t="str">
            <v>DIRECTION CHARGEE DES RELATIONS INTERNATIONALES</v>
          </cell>
          <cell r="K252" t="str">
            <v>Fonctionnement</v>
          </cell>
        </row>
        <row r="253">
          <cell r="A253">
            <v>2019</v>
          </cell>
          <cell r="H253">
            <v>380095</v>
          </cell>
          <cell r="J253" t="str">
            <v>DIRECTION CHARGEE DES RELATIONS INTERNATIONALES</v>
          </cell>
          <cell r="K253" t="str">
            <v>Fonctionnement</v>
          </cell>
        </row>
        <row r="254">
          <cell r="A254">
            <v>2019</v>
          </cell>
          <cell r="H254">
            <v>139100</v>
          </cell>
          <cell r="J254" t="str">
            <v>DIRECTION CHARGEE DES RELATIONS INTERNATIONALES</v>
          </cell>
          <cell r="K254" t="str">
            <v>Fonctionnement</v>
          </cell>
        </row>
        <row r="255">
          <cell r="A255">
            <v>2017</v>
          </cell>
          <cell r="H255">
            <v>95877</v>
          </cell>
          <cell r="J255" t="str">
            <v>DIRECTION DE L’INFORMATION RADIO</v>
          </cell>
          <cell r="K255" t="str">
            <v>Fonctionnement</v>
          </cell>
        </row>
        <row r="256">
          <cell r="A256">
            <v>2018</v>
          </cell>
          <cell r="H256">
            <v>90269.1</v>
          </cell>
          <cell r="J256" t="str">
            <v>DIRECTION DE L’INFORMATION RADIO</v>
          </cell>
          <cell r="K256" t="str">
            <v>Fonctionnement</v>
          </cell>
        </row>
        <row r="257">
          <cell r="A257">
            <v>2016</v>
          </cell>
          <cell r="H257">
            <v>37224</v>
          </cell>
          <cell r="J257" t="str">
            <v>DIRECTION DE L’INFORMATION TV</v>
          </cell>
          <cell r="K257" t="str">
            <v>Fonctionnement</v>
          </cell>
        </row>
        <row r="258">
          <cell r="A258">
            <v>2016</v>
          </cell>
          <cell r="H258">
            <v>48000</v>
          </cell>
          <cell r="J258" t="str">
            <v>DIRECTION DE L’INFORMATION TV</v>
          </cell>
          <cell r="K258" t="str">
            <v>Fonctionnement</v>
          </cell>
        </row>
        <row r="259">
          <cell r="A259">
            <v>2016</v>
          </cell>
          <cell r="H259">
            <v>155270.5</v>
          </cell>
          <cell r="J259" t="str">
            <v>DIRECTION DE L’INFORMATION TV</v>
          </cell>
          <cell r="K259" t="str">
            <v>Fonctionnement</v>
          </cell>
        </row>
        <row r="260">
          <cell r="A260">
            <v>2016</v>
          </cell>
          <cell r="H260">
            <v>85401.5</v>
          </cell>
          <cell r="J260" t="str">
            <v>DIRECTION DE L’INFORMATION TV</v>
          </cell>
          <cell r="K260" t="str">
            <v>Fonctionnement</v>
          </cell>
        </row>
        <row r="261">
          <cell r="A261">
            <v>2016</v>
          </cell>
          <cell r="H261">
            <v>141015.6</v>
          </cell>
          <cell r="J261" t="str">
            <v>DIRECTION DE L’INFORMATION TV</v>
          </cell>
          <cell r="K261" t="str">
            <v>Fonctionnement</v>
          </cell>
        </row>
        <row r="262">
          <cell r="A262">
            <v>2016</v>
          </cell>
          <cell r="H262">
            <v>141025.5</v>
          </cell>
          <cell r="J262" t="str">
            <v>DIRECTION DE L’INFORMATION TV</v>
          </cell>
          <cell r="K262" t="str">
            <v>Fonctionnement</v>
          </cell>
        </row>
        <row r="263">
          <cell r="A263">
            <v>2016</v>
          </cell>
          <cell r="H263">
            <v>141025.5</v>
          </cell>
          <cell r="J263" t="str">
            <v>DIRECTION DE L’INFORMATION TV</v>
          </cell>
          <cell r="K263" t="str">
            <v>Fonctionnement</v>
          </cell>
        </row>
        <row r="264">
          <cell r="A264">
            <v>2016</v>
          </cell>
          <cell r="H264">
            <v>297060</v>
          </cell>
          <cell r="J264" t="str">
            <v>DIRECTION DE L’INFORMATION TV</v>
          </cell>
          <cell r="K264" t="str">
            <v>Investissement</v>
          </cell>
        </row>
        <row r="265">
          <cell r="A265">
            <v>2016</v>
          </cell>
          <cell r="H265">
            <v>157200</v>
          </cell>
          <cell r="J265" t="str">
            <v>DIRECTION DE L’INFORMATION TV</v>
          </cell>
          <cell r="K265" t="str">
            <v>Investissement</v>
          </cell>
        </row>
        <row r="266">
          <cell r="A266">
            <v>2016</v>
          </cell>
          <cell r="H266">
            <v>192000</v>
          </cell>
          <cell r="J266" t="str">
            <v>DIRECTION DE L’INFORMATION TV</v>
          </cell>
          <cell r="K266" t="str">
            <v>Fonctionnement</v>
          </cell>
        </row>
        <row r="267">
          <cell r="A267">
            <v>2016</v>
          </cell>
          <cell r="H267">
            <v>54120</v>
          </cell>
          <cell r="J267" t="str">
            <v>DIRECTION DE L’INFORMATION TV</v>
          </cell>
          <cell r="K267" t="str">
            <v>Fonctionnement</v>
          </cell>
        </row>
        <row r="268">
          <cell r="A268">
            <v>2017</v>
          </cell>
          <cell r="H268">
            <v>224640</v>
          </cell>
          <cell r="J268" t="str">
            <v>DIRECTION DE L’INFORMATION TV</v>
          </cell>
          <cell r="K268" t="str">
            <v>Fonctionnement</v>
          </cell>
        </row>
        <row r="269">
          <cell r="A269">
            <v>2017</v>
          </cell>
          <cell r="H269">
            <v>216000</v>
          </cell>
          <cell r="J269" t="str">
            <v>DIRECTION DE L’INFORMATION TV</v>
          </cell>
          <cell r="K269" t="str">
            <v>Fonctionnement</v>
          </cell>
        </row>
        <row r="270">
          <cell r="A270">
            <v>2017</v>
          </cell>
          <cell r="H270">
            <v>263088</v>
          </cell>
          <cell r="J270" t="str">
            <v>DIRECTION DE L’INFORMATION TV</v>
          </cell>
          <cell r="K270" t="str">
            <v>Fonctionnement</v>
          </cell>
        </row>
        <row r="271">
          <cell r="A271">
            <v>2017</v>
          </cell>
          <cell r="H271">
            <v>31800</v>
          </cell>
          <cell r="J271" t="str">
            <v>DIRECTION DE L’INFORMATION TV</v>
          </cell>
          <cell r="K271" t="str">
            <v>Fonctionnement</v>
          </cell>
        </row>
        <row r="272">
          <cell r="A272">
            <v>2017</v>
          </cell>
          <cell r="H272">
            <v>67734</v>
          </cell>
          <cell r="J272" t="str">
            <v>DIRECTION DE L’INFORMATION TV</v>
          </cell>
          <cell r="K272" t="str">
            <v>Fonctionnement</v>
          </cell>
        </row>
        <row r="273">
          <cell r="A273">
            <v>2017</v>
          </cell>
          <cell r="H273">
            <v>103880</v>
          </cell>
          <cell r="J273" t="str">
            <v>DIRECTION DE L’INFORMATION TV</v>
          </cell>
          <cell r="K273" t="str">
            <v>Fonctionnement</v>
          </cell>
        </row>
        <row r="274">
          <cell r="A274">
            <v>2017</v>
          </cell>
          <cell r="H274">
            <v>88151.083999999988</v>
          </cell>
          <cell r="J274" t="str">
            <v>DIRECTION DE L’INFORMATION TV</v>
          </cell>
          <cell r="K274" t="str">
            <v>Fonctionnement</v>
          </cell>
        </row>
        <row r="275">
          <cell r="A275">
            <v>2017</v>
          </cell>
          <cell r="H275">
            <v>39468.146000000001</v>
          </cell>
          <cell r="J275" t="str">
            <v>DIRECTION DE L’INFORMATION TV</v>
          </cell>
          <cell r="K275" t="str">
            <v>Fonctionnement</v>
          </cell>
        </row>
        <row r="276">
          <cell r="A276">
            <v>2017</v>
          </cell>
          <cell r="H276">
            <v>110188.484</v>
          </cell>
          <cell r="J276" t="str">
            <v>DIRECTION DE L’INFORMATION TV</v>
          </cell>
          <cell r="K276" t="str">
            <v>Fonctionnement</v>
          </cell>
        </row>
        <row r="277">
          <cell r="A277">
            <v>2017</v>
          </cell>
          <cell r="H277">
            <v>115720.2</v>
          </cell>
          <cell r="J277" t="str">
            <v>DIRECTION DE L’INFORMATION TV</v>
          </cell>
          <cell r="K277" t="str">
            <v>Fonctionnement</v>
          </cell>
        </row>
        <row r="278">
          <cell r="A278">
            <v>2017</v>
          </cell>
          <cell r="H278">
            <v>34169.85</v>
          </cell>
          <cell r="J278" t="str">
            <v>DIRECTION DE L’INFORMATION TV</v>
          </cell>
          <cell r="K278" t="str">
            <v>Fonctionnement</v>
          </cell>
        </row>
        <row r="279">
          <cell r="A279">
            <v>2017</v>
          </cell>
          <cell r="H279">
            <v>42495.4</v>
          </cell>
          <cell r="J279" t="str">
            <v>DIRECTION DE L’INFORMATION TV</v>
          </cell>
          <cell r="K279" t="str">
            <v>Fonctionnement</v>
          </cell>
        </row>
        <row r="280">
          <cell r="A280">
            <v>2017</v>
          </cell>
          <cell r="H280">
            <v>34944</v>
          </cell>
          <cell r="J280" t="str">
            <v>DIRECTION DE L’INFORMATION TV</v>
          </cell>
          <cell r="K280" t="str">
            <v>Fonctionnement</v>
          </cell>
        </row>
        <row r="281">
          <cell r="A281">
            <v>2017</v>
          </cell>
          <cell r="H281">
            <v>63648</v>
          </cell>
          <cell r="J281" t="str">
            <v>DIRECTION DE L’INFORMATION TV</v>
          </cell>
          <cell r="K281" t="str">
            <v>Fonctionnement</v>
          </cell>
        </row>
        <row r="282">
          <cell r="A282">
            <v>2017</v>
          </cell>
          <cell r="H282">
            <v>96106.59599999999</v>
          </cell>
          <cell r="J282" t="str">
            <v>DIRECTION DE L’INFORMATION TV</v>
          </cell>
          <cell r="K282" t="str">
            <v>Fonctionnement</v>
          </cell>
        </row>
        <row r="283">
          <cell r="A283">
            <v>2017</v>
          </cell>
          <cell r="H283">
            <v>253440</v>
          </cell>
          <cell r="J283" t="str">
            <v>DIRECTION DE L’INFORMATION TV</v>
          </cell>
          <cell r="K283" t="str">
            <v>Investissement</v>
          </cell>
        </row>
        <row r="284">
          <cell r="A284">
            <v>2017</v>
          </cell>
          <cell r="H284">
            <v>245437.8</v>
          </cell>
          <cell r="J284" t="str">
            <v>DIRECTION DE L’INFORMATION TV</v>
          </cell>
          <cell r="K284" t="str">
            <v>Investissement</v>
          </cell>
        </row>
        <row r="285">
          <cell r="A285">
            <v>2017</v>
          </cell>
          <cell r="H285">
            <v>228000</v>
          </cell>
          <cell r="J285" t="str">
            <v>DIRECTION DE L’INFORMATION TV</v>
          </cell>
          <cell r="K285" t="str">
            <v>Fonctionnement</v>
          </cell>
        </row>
        <row r="286">
          <cell r="A286">
            <v>2018</v>
          </cell>
          <cell r="H286">
            <v>34600</v>
          </cell>
          <cell r="J286" t="str">
            <v>DIRECTION DE L’INFORMATION TV</v>
          </cell>
          <cell r="K286" t="str">
            <v>Fonctionnement</v>
          </cell>
        </row>
        <row r="287">
          <cell r="A287">
            <v>2018</v>
          </cell>
          <cell r="H287">
            <v>60000</v>
          </cell>
          <cell r="J287" t="str">
            <v>DIRECTION DE L’INFORMATION TV</v>
          </cell>
          <cell r="K287" t="str">
            <v>Fonctionnement</v>
          </cell>
        </row>
        <row r="288">
          <cell r="A288">
            <v>2018</v>
          </cell>
          <cell r="H288">
            <v>42633.354375000003</v>
          </cell>
          <cell r="J288" t="str">
            <v>DIRECTION DE L’INFORMATION TV</v>
          </cell>
          <cell r="K288" t="str">
            <v>Fonctionnement</v>
          </cell>
        </row>
        <row r="289">
          <cell r="A289">
            <v>2018</v>
          </cell>
          <cell r="H289">
            <v>158043.23791500001</v>
          </cell>
          <cell r="J289" t="str">
            <v>DIRECTION DE L’INFORMATION TV</v>
          </cell>
          <cell r="K289" t="str">
            <v>Fonctionnement</v>
          </cell>
        </row>
        <row r="290">
          <cell r="A290">
            <v>2018</v>
          </cell>
          <cell r="H290">
            <v>32468.225175</v>
          </cell>
          <cell r="J290" t="str">
            <v>DIRECTION DE L’INFORMATION TV</v>
          </cell>
          <cell r="K290" t="str">
            <v>Fonctionnement</v>
          </cell>
        </row>
        <row r="291">
          <cell r="A291">
            <v>2018</v>
          </cell>
          <cell r="H291">
            <v>64271.200000000004</v>
          </cell>
          <cell r="J291" t="str">
            <v>DIRECTION DE L’INFORMATION TV</v>
          </cell>
          <cell r="K291" t="str">
            <v>Fonctionnement</v>
          </cell>
        </row>
        <row r="292">
          <cell r="A292">
            <v>2018</v>
          </cell>
          <cell r="H292">
            <v>105840</v>
          </cell>
          <cell r="J292" t="str">
            <v>DIRECTION DE L’INFORMATION TV</v>
          </cell>
          <cell r="K292" t="str">
            <v>Fonctionnement</v>
          </cell>
        </row>
        <row r="293">
          <cell r="A293">
            <v>2018</v>
          </cell>
          <cell r="H293">
            <v>66210.239999999991</v>
          </cell>
          <cell r="J293" t="str">
            <v>DIRECTION DE L’INFORMATION TV</v>
          </cell>
          <cell r="K293" t="str">
            <v>Fonctionnement</v>
          </cell>
        </row>
        <row r="294">
          <cell r="A294">
            <v>2018</v>
          </cell>
          <cell r="H294">
            <v>84421.825620000003</v>
          </cell>
          <cell r="J294" t="str">
            <v>DIRECTION DE L’INFORMATION TV</v>
          </cell>
          <cell r="K294" t="str">
            <v>Fonctionnement</v>
          </cell>
        </row>
        <row r="295">
          <cell r="A295">
            <v>2018</v>
          </cell>
          <cell r="H295">
            <v>134128.94</v>
          </cell>
          <cell r="J295" t="str">
            <v>DIRECTION DE L’INFORMATION TV</v>
          </cell>
          <cell r="K295" t="str">
            <v>Fonctionnement</v>
          </cell>
        </row>
        <row r="296">
          <cell r="A296">
            <v>2019</v>
          </cell>
          <cell r="H296">
            <v>317238</v>
          </cell>
          <cell r="J296" t="str">
            <v>DIRECTION DE L’INFORMATION TV</v>
          </cell>
          <cell r="K296" t="str">
            <v>Fonctionnement</v>
          </cell>
        </row>
        <row r="297">
          <cell r="A297">
            <v>2019</v>
          </cell>
          <cell r="H297">
            <v>332400</v>
          </cell>
          <cell r="J297" t="str">
            <v>DIRECTION DE L’INFORMATION TV</v>
          </cell>
          <cell r="K297" t="str">
            <v>Fonctionnement</v>
          </cell>
        </row>
        <row r="298">
          <cell r="A298">
            <v>2019</v>
          </cell>
          <cell r="H298">
            <v>16320</v>
          </cell>
          <cell r="J298" t="str">
            <v>DIRECTION DE L’INFORMATION TV</v>
          </cell>
          <cell r="K298" t="str">
            <v>Fonctionnement</v>
          </cell>
        </row>
        <row r="299">
          <cell r="A299">
            <v>2019</v>
          </cell>
          <cell r="H299">
            <v>297658.86</v>
          </cell>
          <cell r="J299" t="str">
            <v>DIRECTION DE L’INFORMATION TV</v>
          </cell>
          <cell r="K299" t="str">
            <v>Fonctionnement</v>
          </cell>
        </row>
        <row r="300">
          <cell r="A300">
            <v>2019</v>
          </cell>
          <cell r="H300">
            <v>65667.599999999991</v>
          </cell>
          <cell r="J300" t="str">
            <v>DIRECTION DE L’INFORMATION TV</v>
          </cell>
          <cell r="K300" t="str">
            <v>Fonctionnement</v>
          </cell>
        </row>
        <row r="301">
          <cell r="A301">
            <v>2019</v>
          </cell>
          <cell r="H301">
            <v>104860</v>
          </cell>
          <cell r="J301" t="str">
            <v>DIRECTION DE L’INFORMATION TV</v>
          </cell>
          <cell r="K301" t="str">
            <v>Fonctionnement</v>
          </cell>
        </row>
        <row r="302">
          <cell r="A302">
            <v>2019</v>
          </cell>
          <cell r="H302">
            <v>8024.9999999999991</v>
          </cell>
          <cell r="J302" t="str">
            <v>DIRECTION DE L’INFORMATION TV</v>
          </cell>
          <cell r="K302" t="str">
            <v>Fonctionnement</v>
          </cell>
        </row>
        <row r="303">
          <cell r="A303">
            <v>2019</v>
          </cell>
          <cell r="H303">
            <v>4012.4999999999995</v>
          </cell>
          <cell r="J303" t="str">
            <v>DIRECTION DE L’INFORMATION TV</v>
          </cell>
          <cell r="K303" t="str">
            <v>Fonctionnement</v>
          </cell>
        </row>
        <row r="304">
          <cell r="A304">
            <v>2019</v>
          </cell>
          <cell r="H304">
            <v>4012.4999999999995</v>
          </cell>
          <cell r="J304" t="str">
            <v>DIRECTION DE L’INFORMATION TV</v>
          </cell>
          <cell r="K304" t="str">
            <v>Fonctionnement</v>
          </cell>
        </row>
        <row r="305">
          <cell r="A305">
            <v>2019</v>
          </cell>
          <cell r="H305">
            <v>4012.4999999999995</v>
          </cell>
          <cell r="J305" t="str">
            <v>DIRECTION DE L’INFORMATION TV</v>
          </cell>
          <cell r="K305" t="str">
            <v>Fonctionnement</v>
          </cell>
        </row>
        <row r="306">
          <cell r="A306">
            <v>2019</v>
          </cell>
          <cell r="H306">
            <v>4012.4999999999995</v>
          </cell>
          <cell r="J306" t="str">
            <v>DIRECTION DE L’INFORMATION TV</v>
          </cell>
          <cell r="K306" t="str">
            <v>Fonctionnement</v>
          </cell>
        </row>
        <row r="307">
          <cell r="A307">
            <v>2019</v>
          </cell>
          <cell r="H307">
            <v>4994.6530000000002</v>
          </cell>
          <cell r="J307" t="str">
            <v>DIRECTION DE L’INFORMATION TV</v>
          </cell>
          <cell r="K307" t="str">
            <v>Fonctionnement</v>
          </cell>
        </row>
        <row r="308">
          <cell r="A308">
            <v>2019</v>
          </cell>
          <cell r="H308">
            <v>10450</v>
          </cell>
          <cell r="J308" t="str">
            <v>DIRECTION DE L’INFORMATION TV</v>
          </cell>
          <cell r="K308" t="str">
            <v>Fonctionnement</v>
          </cell>
        </row>
        <row r="309">
          <cell r="A309">
            <v>2019</v>
          </cell>
          <cell r="H309">
            <v>24503</v>
          </cell>
          <cell r="J309" t="str">
            <v>DIRECTION DE L’INFORMATION TV</v>
          </cell>
          <cell r="K309" t="str">
            <v>Fonctionnement</v>
          </cell>
        </row>
        <row r="310">
          <cell r="A310">
            <v>2019</v>
          </cell>
          <cell r="H310">
            <v>2140</v>
          </cell>
          <cell r="J310" t="str">
            <v>DIRECTION DE L’INFORMATION TV</v>
          </cell>
          <cell r="K310" t="str">
            <v>Fonctionnement</v>
          </cell>
        </row>
        <row r="311">
          <cell r="A311">
            <v>2019</v>
          </cell>
          <cell r="H311">
            <v>11984</v>
          </cell>
          <cell r="J311" t="str">
            <v>DIRECTION DE L’INFORMATION TV</v>
          </cell>
          <cell r="K311" t="str">
            <v>Fonctionnement</v>
          </cell>
        </row>
        <row r="312">
          <cell r="A312">
            <v>2019</v>
          </cell>
          <cell r="H312">
            <v>26322</v>
          </cell>
          <cell r="J312" t="str">
            <v>DIRECTION DE L’INFORMATION TV</v>
          </cell>
          <cell r="K312" t="str">
            <v>Fonctionnement</v>
          </cell>
        </row>
        <row r="313">
          <cell r="A313">
            <v>2019</v>
          </cell>
          <cell r="H313">
            <v>9630</v>
          </cell>
          <cell r="J313" t="str">
            <v>DIRECTION DE L’INFORMATION TV</v>
          </cell>
          <cell r="K313" t="str">
            <v>Fonctionnement</v>
          </cell>
        </row>
        <row r="314">
          <cell r="A314">
            <v>2019</v>
          </cell>
          <cell r="H314">
            <v>9630</v>
          </cell>
          <cell r="J314" t="str">
            <v>DIRECTION DE L’INFORMATION TV</v>
          </cell>
          <cell r="K314" t="str">
            <v>Fonctionnement</v>
          </cell>
        </row>
        <row r="315">
          <cell r="A315">
            <v>2019</v>
          </cell>
          <cell r="H315">
            <v>8024.9999999999991</v>
          </cell>
          <cell r="J315" t="str">
            <v>DIRECTION DE L’INFORMATION TV</v>
          </cell>
          <cell r="K315" t="str">
            <v>Fonctionnement</v>
          </cell>
        </row>
        <row r="316">
          <cell r="A316">
            <v>2019</v>
          </cell>
          <cell r="H316">
            <v>4012.4999999999995</v>
          </cell>
          <cell r="J316" t="str">
            <v>DIRECTION DE L’INFORMATION TV</v>
          </cell>
          <cell r="K316" t="str">
            <v>Fonctionnement</v>
          </cell>
        </row>
        <row r="317">
          <cell r="A317">
            <v>2019</v>
          </cell>
          <cell r="H317">
            <v>4012.4999999999995</v>
          </cell>
          <cell r="J317" t="str">
            <v>DIRECTION DE L’INFORMATION TV</v>
          </cell>
          <cell r="K317" t="str">
            <v>Fonctionnement</v>
          </cell>
        </row>
        <row r="318">
          <cell r="A318">
            <v>2019</v>
          </cell>
          <cell r="H318">
            <v>40781.445</v>
          </cell>
          <cell r="J318" t="str">
            <v>DIRECTION DE L’INFORMATION TV</v>
          </cell>
          <cell r="K318" t="str">
            <v>Fonctionnement</v>
          </cell>
        </row>
        <row r="319">
          <cell r="A319">
            <v>2019</v>
          </cell>
          <cell r="H319">
            <v>4012.4999999999995</v>
          </cell>
          <cell r="J319" t="str">
            <v>DIRECTION DE L’INFORMATION TV</v>
          </cell>
          <cell r="K319" t="str">
            <v>Fonctionnement</v>
          </cell>
        </row>
        <row r="320">
          <cell r="A320">
            <v>2019</v>
          </cell>
          <cell r="H320">
            <v>4012.4999999999995</v>
          </cell>
          <cell r="J320" t="str">
            <v>DIRECTION DE L’INFORMATION TV</v>
          </cell>
          <cell r="K320" t="str">
            <v>Fonctionnement</v>
          </cell>
        </row>
        <row r="321">
          <cell r="A321">
            <v>2019</v>
          </cell>
          <cell r="H321">
            <v>9262.5</v>
          </cell>
          <cell r="J321" t="str">
            <v>DIRECTION DE L’INFORMATION TV</v>
          </cell>
          <cell r="K321" t="str">
            <v>Fonctionnement</v>
          </cell>
        </row>
        <row r="322">
          <cell r="A322">
            <v>2019</v>
          </cell>
          <cell r="H322">
            <v>3467.9999999999995</v>
          </cell>
          <cell r="J322" t="str">
            <v>DIRECTION DE L’INFORMATION TV</v>
          </cell>
          <cell r="K322" t="str">
            <v>Fonctionnement</v>
          </cell>
        </row>
        <row r="323">
          <cell r="A323">
            <v>2019</v>
          </cell>
          <cell r="H323">
            <v>8024.9999999999991</v>
          </cell>
          <cell r="J323" t="str">
            <v>DIRECTION DE L’INFORMATION TV</v>
          </cell>
          <cell r="K323" t="str">
            <v>Fonctionnement</v>
          </cell>
        </row>
        <row r="324">
          <cell r="A324">
            <v>2019</v>
          </cell>
          <cell r="H324">
            <v>32099.999999999996</v>
          </cell>
          <cell r="J324" t="str">
            <v>DIRECTION DE L’INFORMATION TV</v>
          </cell>
          <cell r="K324" t="str">
            <v>Fonctionnement</v>
          </cell>
        </row>
        <row r="325">
          <cell r="A325">
            <v>2019</v>
          </cell>
          <cell r="H325">
            <v>16049.999999999998</v>
          </cell>
          <cell r="J325" t="str">
            <v>DIRECTION DE L’INFORMATION TV</v>
          </cell>
          <cell r="K325" t="str">
            <v>Fonctionnement</v>
          </cell>
        </row>
        <row r="326">
          <cell r="A326">
            <v>2019</v>
          </cell>
          <cell r="H326">
            <v>24075</v>
          </cell>
          <cell r="J326" t="str">
            <v>DIRECTION DE L’INFORMATION TV</v>
          </cell>
          <cell r="K326" t="str">
            <v>Fonctionnement</v>
          </cell>
        </row>
        <row r="327">
          <cell r="A327">
            <v>2019</v>
          </cell>
          <cell r="H327">
            <v>23750</v>
          </cell>
          <cell r="J327" t="str">
            <v>DIRECTION DE L’INFORMATION TV</v>
          </cell>
          <cell r="K327" t="str">
            <v>Fonctionnement</v>
          </cell>
        </row>
        <row r="328">
          <cell r="A328">
            <v>2019</v>
          </cell>
          <cell r="H328">
            <v>6954.9999999999991</v>
          </cell>
          <cell r="J328" t="str">
            <v>DIRECTION DE L’INFORMATION TV</v>
          </cell>
          <cell r="K328" t="str">
            <v>Fonctionnement</v>
          </cell>
        </row>
        <row r="329">
          <cell r="A329">
            <v>2019</v>
          </cell>
          <cell r="H329">
            <v>4012.4999999999995</v>
          </cell>
          <cell r="J329" t="str">
            <v>DIRECTION DE L’INFORMATION TV</v>
          </cell>
          <cell r="K329" t="str">
            <v>Fonctionnement</v>
          </cell>
        </row>
        <row r="330">
          <cell r="A330">
            <v>2019</v>
          </cell>
          <cell r="H330">
            <v>8024.9999999999991</v>
          </cell>
          <cell r="J330" t="str">
            <v>DIRECTION DE L’INFORMATION TV</v>
          </cell>
          <cell r="K330" t="str">
            <v>Fonctionnement</v>
          </cell>
        </row>
        <row r="331">
          <cell r="A331">
            <v>2019</v>
          </cell>
          <cell r="H331">
            <v>8024.9999999999991</v>
          </cell>
          <cell r="J331" t="str">
            <v>DIRECTION DE L’INFORMATION TV</v>
          </cell>
          <cell r="K331" t="str">
            <v>Fonctionnement</v>
          </cell>
        </row>
        <row r="332">
          <cell r="A332">
            <v>2019</v>
          </cell>
          <cell r="H332">
            <v>11620.199999999999</v>
          </cell>
          <cell r="J332" t="str">
            <v>DIRECTION DE L’INFORMATION TV</v>
          </cell>
          <cell r="K332" t="str">
            <v>Fonctionnement</v>
          </cell>
        </row>
        <row r="333">
          <cell r="A333">
            <v>2019</v>
          </cell>
          <cell r="H333">
            <v>4012.4999999999995</v>
          </cell>
          <cell r="J333" t="str">
            <v>DIRECTION DE L’INFORMATION TV</v>
          </cell>
          <cell r="K333" t="str">
            <v>Fonctionnement</v>
          </cell>
        </row>
        <row r="334">
          <cell r="A334">
            <v>2019</v>
          </cell>
          <cell r="H334">
            <v>4012.4999999999995</v>
          </cell>
          <cell r="J334" t="str">
            <v>DIRECTION DE L’INFORMATION TV</v>
          </cell>
          <cell r="K334" t="str">
            <v>Fonctionnement</v>
          </cell>
        </row>
        <row r="335">
          <cell r="A335">
            <v>2019</v>
          </cell>
          <cell r="H335">
            <v>15960</v>
          </cell>
          <cell r="J335" t="str">
            <v>DIRECTION DE L’INFORMATION TV</v>
          </cell>
          <cell r="K335" t="str">
            <v>Fonctionnement</v>
          </cell>
        </row>
        <row r="336">
          <cell r="A336">
            <v>2019</v>
          </cell>
          <cell r="H336">
            <v>2461</v>
          </cell>
          <cell r="J336" t="str">
            <v>DIRECTION DE L’INFORMATION TV</v>
          </cell>
          <cell r="K336" t="str">
            <v>Fonctionnement</v>
          </cell>
        </row>
        <row r="337">
          <cell r="A337">
            <v>2019</v>
          </cell>
          <cell r="H337">
            <v>9500</v>
          </cell>
          <cell r="J337" t="str">
            <v>DIRECTION DE L’INFORMATION TV</v>
          </cell>
          <cell r="K337" t="str">
            <v>Fonctionnement</v>
          </cell>
        </row>
        <row r="338">
          <cell r="A338">
            <v>2019</v>
          </cell>
          <cell r="H338">
            <v>32073.249999999996</v>
          </cell>
          <cell r="J338" t="str">
            <v>DIRECTION DE L’INFORMATION TV</v>
          </cell>
          <cell r="K338" t="str">
            <v>Fonctionnement</v>
          </cell>
        </row>
        <row r="339">
          <cell r="A339">
            <v>2019</v>
          </cell>
          <cell r="H339">
            <v>4280</v>
          </cell>
          <cell r="J339" t="str">
            <v>DIRECTION DE L’INFORMATION TV</v>
          </cell>
          <cell r="K339" t="str">
            <v>Fonctionnement</v>
          </cell>
        </row>
        <row r="340">
          <cell r="A340">
            <v>2019</v>
          </cell>
          <cell r="H340">
            <v>27092.399999999998</v>
          </cell>
          <cell r="J340" t="str">
            <v>DIRECTION DE L’INFORMATION TV</v>
          </cell>
          <cell r="K340" t="str">
            <v>Fonctionnement</v>
          </cell>
        </row>
        <row r="341">
          <cell r="A341">
            <v>2019</v>
          </cell>
          <cell r="H341">
            <v>23750</v>
          </cell>
          <cell r="J341" t="str">
            <v>DIRECTION DE L’INFORMATION TV</v>
          </cell>
          <cell r="K341" t="str">
            <v>Fonctionnement</v>
          </cell>
        </row>
        <row r="342">
          <cell r="A342">
            <v>2019</v>
          </cell>
          <cell r="H342">
            <v>19000</v>
          </cell>
          <cell r="J342" t="str">
            <v>DIRECTION DE L’INFORMATION TV</v>
          </cell>
          <cell r="K342" t="str">
            <v>Fonctionnement</v>
          </cell>
        </row>
        <row r="343">
          <cell r="A343">
            <v>2019</v>
          </cell>
          <cell r="H343">
            <v>80250</v>
          </cell>
          <cell r="J343" t="str">
            <v>DIRECTION DE L’INFORMATION TV</v>
          </cell>
          <cell r="K343" t="str">
            <v>Fonctionnement</v>
          </cell>
        </row>
        <row r="344">
          <cell r="A344">
            <v>2019</v>
          </cell>
          <cell r="H344">
            <v>7061.9999999999991</v>
          </cell>
          <cell r="J344" t="str">
            <v>DIRECTION DE L’INFORMATION TV</v>
          </cell>
          <cell r="K344" t="str">
            <v>Fonctionnement</v>
          </cell>
        </row>
        <row r="345">
          <cell r="A345">
            <v>2019</v>
          </cell>
          <cell r="H345">
            <v>6981.7499999999991</v>
          </cell>
          <cell r="J345" t="str">
            <v>DIRECTION DE L’INFORMATION TV</v>
          </cell>
          <cell r="K345" t="str">
            <v>Fonctionnement</v>
          </cell>
        </row>
        <row r="346">
          <cell r="A346">
            <v>2019</v>
          </cell>
          <cell r="H346">
            <v>9630</v>
          </cell>
          <cell r="J346" t="str">
            <v>DIRECTION DE L’INFORMATION TV</v>
          </cell>
          <cell r="K346" t="str">
            <v>Fonctionnement</v>
          </cell>
        </row>
        <row r="347">
          <cell r="A347">
            <v>2019</v>
          </cell>
          <cell r="H347">
            <v>1131250</v>
          </cell>
          <cell r="J347" t="str">
            <v>DIRECTION DE L’INFORMATION TV</v>
          </cell>
          <cell r="K347" t="str">
            <v>Fonctionnement</v>
          </cell>
        </row>
        <row r="348">
          <cell r="A348">
            <v>2020</v>
          </cell>
          <cell r="H348">
            <v>16768.9238</v>
          </cell>
          <cell r="J348" t="str">
            <v>DIRECTION DE L’INFORMATION TV</v>
          </cell>
          <cell r="K348" t="str">
            <v>Fonctionnement</v>
          </cell>
        </row>
        <row r="349">
          <cell r="A349">
            <v>2020</v>
          </cell>
          <cell r="H349">
            <v>366024</v>
          </cell>
          <cell r="J349" t="str">
            <v>DIRECTION DE L’INFORMATION TV</v>
          </cell>
          <cell r="K349" t="str">
            <v>Fonctionnement</v>
          </cell>
        </row>
        <row r="350">
          <cell r="A350">
            <v>2016</v>
          </cell>
          <cell r="H350">
            <v>154920</v>
          </cell>
          <cell r="J350" t="str">
            <v>DIRECTION DE LA COMMUNICATION</v>
          </cell>
          <cell r="K350" t="str">
            <v>Fonctionnement</v>
          </cell>
        </row>
        <row r="351">
          <cell r="A351">
            <v>2016</v>
          </cell>
          <cell r="H351">
            <v>80064</v>
          </cell>
          <cell r="J351" t="str">
            <v>DIRECTION DE LA COMMUNICATION</v>
          </cell>
          <cell r="K351" t="str">
            <v>Fonctionnement</v>
          </cell>
        </row>
        <row r="352">
          <cell r="A352">
            <v>2016</v>
          </cell>
          <cell r="H352">
            <v>80832</v>
          </cell>
          <cell r="J352" t="str">
            <v>DIRECTION DE LA COMMUNICATION</v>
          </cell>
          <cell r="K352" t="str">
            <v>Fonctionnement</v>
          </cell>
        </row>
        <row r="353">
          <cell r="A353">
            <v>2017</v>
          </cell>
          <cell r="H353">
            <v>82500</v>
          </cell>
          <cell r="J353" t="str">
            <v>DIRECTION DE LA COMMUNICATION</v>
          </cell>
          <cell r="K353" t="str">
            <v>Fonctionnement</v>
          </cell>
        </row>
        <row r="354">
          <cell r="A354">
            <v>2017</v>
          </cell>
          <cell r="H354">
            <v>81480</v>
          </cell>
          <cell r="J354" t="str">
            <v>DIRECTION DE LA COMMUNICATION</v>
          </cell>
          <cell r="K354" t="str">
            <v>Fonctionnement</v>
          </cell>
        </row>
        <row r="355">
          <cell r="A355">
            <v>2017</v>
          </cell>
          <cell r="H355">
            <v>147240</v>
          </cell>
          <cell r="J355" t="str">
            <v>DIRECTION DE LA COMMUNICATION</v>
          </cell>
          <cell r="K355" t="str">
            <v>Fonctionnement</v>
          </cell>
        </row>
        <row r="356">
          <cell r="A356">
            <v>2017</v>
          </cell>
          <cell r="H356">
            <v>132576</v>
          </cell>
          <cell r="J356" t="str">
            <v>DIRECTION DE LA COMMUNICATION</v>
          </cell>
          <cell r="K356" t="str">
            <v>Fonctionnement</v>
          </cell>
        </row>
        <row r="357">
          <cell r="A357">
            <v>2018</v>
          </cell>
          <cell r="H357">
            <v>79200</v>
          </cell>
          <cell r="J357" t="str">
            <v>DIRECTION DE LA COMMUNICATION</v>
          </cell>
          <cell r="K357" t="str">
            <v>Fonctionnement</v>
          </cell>
        </row>
        <row r="358">
          <cell r="A358">
            <v>2018</v>
          </cell>
          <cell r="H358">
            <v>173592</v>
          </cell>
          <cell r="J358" t="str">
            <v>DIRECTION DE LA COMMUNICATION</v>
          </cell>
          <cell r="K358" t="str">
            <v>Fonctionnement</v>
          </cell>
        </row>
        <row r="359">
          <cell r="A359">
            <v>2018</v>
          </cell>
          <cell r="H359">
            <v>117840</v>
          </cell>
          <cell r="J359" t="str">
            <v>DIRECTION DE LA COMMUNICATION</v>
          </cell>
          <cell r="K359" t="str">
            <v>Fonctionnement</v>
          </cell>
        </row>
        <row r="360">
          <cell r="A360">
            <v>2018</v>
          </cell>
          <cell r="H360">
            <v>192930</v>
          </cell>
          <cell r="J360" t="str">
            <v>DIRECTION DE LA COMMUNICATION</v>
          </cell>
          <cell r="K360" t="str">
            <v>Fonctionnement</v>
          </cell>
        </row>
        <row r="361">
          <cell r="A361">
            <v>2018</v>
          </cell>
          <cell r="H361">
            <v>99000</v>
          </cell>
          <cell r="J361" t="str">
            <v>DIRECTION DE LA COMMUNICATION</v>
          </cell>
          <cell r="K361" t="str">
            <v>Fonctionnement</v>
          </cell>
        </row>
        <row r="362">
          <cell r="A362">
            <v>2019</v>
          </cell>
          <cell r="H362">
            <v>230820</v>
          </cell>
          <cell r="J362" t="str">
            <v>DIRECTION DE LA COMMUNICATION</v>
          </cell>
          <cell r="K362" t="str">
            <v>Fonctionnement</v>
          </cell>
        </row>
        <row r="363">
          <cell r="A363">
            <v>2019</v>
          </cell>
          <cell r="H363">
            <v>499339.2</v>
          </cell>
          <cell r="J363" t="str">
            <v>DIRECTION DE LA COMMUNICATION</v>
          </cell>
          <cell r="K363" t="str">
            <v>Fonctionnement</v>
          </cell>
        </row>
        <row r="364">
          <cell r="A364">
            <v>2019</v>
          </cell>
          <cell r="H364">
            <v>94440</v>
          </cell>
          <cell r="J364" t="str">
            <v>DIRECTION DE LA COMMUNICATION</v>
          </cell>
          <cell r="K364" t="str">
            <v>Fonctionnement</v>
          </cell>
        </row>
        <row r="365">
          <cell r="A365">
            <v>2019</v>
          </cell>
          <cell r="H365">
            <v>444000</v>
          </cell>
          <cell r="J365" t="str">
            <v>DIRECTION DE LA COMMUNICATION</v>
          </cell>
          <cell r="K365" t="str">
            <v>Fonctionnement</v>
          </cell>
        </row>
        <row r="366">
          <cell r="A366">
            <v>2019</v>
          </cell>
          <cell r="H366">
            <v>122520</v>
          </cell>
          <cell r="J366" t="str">
            <v>DIRECTION DE LA COMMUNICATION</v>
          </cell>
          <cell r="K366" t="str">
            <v>Fonctionnement</v>
          </cell>
        </row>
        <row r="367">
          <cell r="A367">
            <v>2019</v>
          </cell>
          <cell r="H367">
            <v>304080</v>
          </cell>
          <cell r="J367" t="str">
            <v>DIRECTION DE LA COMMUNICATION</v>
          </cell>
          <cell r="K367" t="str">
            <v>Fonctionnement</v>
          </cell>
        </row>
        <row r="368">
          <cell r="A368">
            <v>2019</v>
          </cell>
          <cell r="H368">
            <v>225960</v>
          </cell>
          <cell r="J368" t="str">
            <v>DIRECTION DE LA COMMUNICATION</v>
          </cell>
          <cell r="K368" t="str">
            <v>Investissement</v>
          </cell>
        </row>
        <row r="369">
          <cell r="A369">
            <v>2020</v>
          </cell>
          <cell r="H369">
            <v>143640</v>
          </cell>
          <cell r="J369" t="str">
            <v>DIRECTION DE LA COMMUNICATION</v>
          </cell>
          <cell r="K369" t="str">
            <v>Fonctionnement</v>
          </cell>
        </row>
        <row r="370">
          <cell r="A370">
            <v>2020</v>
          </cell>
          <cell r="H370">
            <v>233100</v>
          </cell>
          <cell r="J370" t="str">
            <v>DIRECTION DE LA COMMUNICATION</v>
          </cell>
          <cell r="K370" t="str">
            <v>Fonctionnement</v>
          </cell>
        </row>
        <row r="371">
          <cell r="A371">
            <v>2020</v>
          </cell>
          <cell r="H371">
            <v>255480</v>
          </cell>
          <cell r="J371" t="str">
            <v>DIRECTION DE LA COMMUNICATION</v>
          </cell>
          <cell r="K371" t="str">
            <v>Fonctionnement</v>
          </cell>
        </row>
        <row r="372">
          <cell r="A372">
            <v>2016</v>
          </cell>
          <cell r="H372">
            <v>47590.400000000001</v>
          </cell>
          <cell r="J372" t="str">
            <v>DIRECTION DE LA PRODUCTION ET DE LA PROGRAMMATION RADIO</v>
          </cell>
          <cell r="K372" t="str">
            <v>Fonctionnement</v>
          </cell>
        </row>
        <row r="373">
          <cell r="A373">
            <v>2016</v>
          </cell>
          <cell r="H373">
            <v>198000</v>
          </cell>
          <cell r="J373" t="str">
            <v>DIRECTION DE LA PRODUCTION ET DE LA PROGRAMMATION RADIO</v>
          </cell>
          <cell r="K373" t="str">
            <v>Investissement</v>
          </cell>
        </row>
        <row r="374">
          <cell r="A374">
            <v>2016</v>
          </cell>
          <cell r="H374">
            <v>122064</v>
          </cell>
          <cell r="J374" t="str">
            <v>DIRECTION DE LA PRODUCTION ET DE LA PROGRAMMATION RADIO</v>
          </cell>
          <cell r="K374" t="str">
            <v>Investissement</v>
          </cell>
        </row>
        <row r="375">
          <cell r="A375">
            <v>2017</v>
          </cell>
          <cell r="H375">
            <v>393420</v>
          </cell>
          <cell r="J375" t="str">
            <v>DIRECTION DE LA QUATRIEME</v>
          </cell>
          <cell r="K375" t="str">
            <v>Investissement</v>
          </cell>
        </row>
        <row r="376">
          <cell r="A376">
            <v>2019</v>
          </cell>
          <cell r="H376">
            <v>287700</v>
          </cell>
          <cell r="J376" t="str">
            <v>DIRECTION DE LA QUATRIEME</v>
          </cell>
          <cell r="K376" t="str">
            <v>Fonctionnement</v>
          </cell>
        </row>
        <row r="377">
          <cell r="A377">
            <v>2019</v>
          </cell>
          <cell r="H377">
            <v>14400</v>
          </cell>
          <cell r="J377" t="str">
            <v>DIRECTION DE LA QUATRIEME</v>
          </cell>
          <cell r="K377" t="str">
            <v>Fonctionnement</v>
          </cell>
        </row>
        <row r="378">
          <cell r="A378">
            <v>2019</v>
          </cell>
          <cell r="H378">
            <v>6360</v>
          </cell>
          <cell r="J378" t="str">
            <v>DIRECTION DE LA QUATRIEME</v>
          </cell>
          <cell r="K378" t="str">
            <v>Fonctionnement</v>
          </cell>
        </row>
        <row r="379">
          <cell r="A379">
            <v>2019</v>
          </cell>
          <cell r="H379">
            <v>460680</v>
          </cell>
          <cell r="J379" t="str">
            <v>DIRECTION DE LA QUATRIEME</v>
          </cell>
          <cell r="K379" t="str">
            <v>Investissement</v>
          </cell>
        </row>
        <row r="380">
          <cell r="A380">
            <v>2019</v>
          </cell>
          <cell r="H380">
            <v>480000</v>
          </cell>
          <cell r="J380" t="str">
            <v>DIRECTION DE LA QUATRIEME</v>
          </cell>
          <cell r="K380" t="str">
            <v>Investissement</v>
          </cell>
        </row>
        <row r="381">
          <cell r="A381">
            <v>2016</v>
          </cell>
          <cell r="H381">
            <v>67800</v>
          </cell>
          <cell r="J381" t="str">
            <v>DIRECTION DE LA REGIE PUBLICITAIRE ET DES SOLUTIONS DIGITALES</v>
          </cell>
          <cell r="K381" t="str">
            <v>Fonctionnement</v>
          </cell>
        </row>
        <row r="382">
          <cell r="A382">
            <v>2016</v>
          </cell>
          <cell r="H382">
            <v>178788</v>
          </cell>
          <cell r="J382" t="str">
            <v>DIRECTION DE LA REGIE PUBLICITAIRE ET DES SOLUTIONS DIGITALES</v>
          </cell>
          <cell r="K382" t="str">
            <v>Fonctionnement</v>
          </cell>
        </row>
        <row r="383">
          <cell r="A383">
            <v>2016</v>
          </cell>
          <cell r="H383">
            <v>40800</v>
          </cell>
          <cell r="J383" t="str">
            <v>DIRECTION DE LA REGIE PUBLICITAIRE ET DES SOLUTIONS DIGITALES</v>
          </cell>
          <cell r="K383" t="str">
            <v>Fonctionnement</v>
          </cell>
        </row>
        <row r="384">
          <cell r="A384">
            <v>2016</v>
          </cell>
          <cell r="H384">
            <v>108000</v>
          </cell>
          <cell r="J384" t="str">
            <v>DIRECTION DE LA REGIE PUBLICITAIRE ET DES SOLUTIONS DIGITALES</v>
          </cell>
          <cell r="K384" t="str">
            <v>Fonctionnement</v>
          </cell>
        </row>
        <row r="385">
          <cell r="A385">
            <v>2016</v>
          </cell>
          <cell r="H385">
            <v>74880</v>
          </cell>
          <cell r="J385" t="str">
            <v>DIRECTION DE LA REGIE PUBLICITAIRE ET DES SOLUTIONS DIGITALES</v>
          </cell>
          <cell r="K385" t="str">
            <v>Fonctionnement</v>
          </cell>
        </row>
        <row r="386">
          <cell r="A386">
            <v>2016</v>
          </cell>
          <cell r="H386">
            <v>43560</v>
          </cell>
          <cell r="J386" t="str">
            <v>DIRECTION DE LA REGIE PUBLICITAIRE ET DES SOLUTIONS DIGITALES</v>
          </cell>
          <cell r="K386" t="str">
            <v>Fonctionnement</v>
          </cell>
        </row>
        <row r="387">
          <cell r="A387">
            <v>2016</v>
          </cell>
          <cell r="H387">
            <v>336000</v>
          </cell>
          <cell r="J387" t="str">
            <v>DIRECTION DE LA REGIE PUBLICITAIRE ET DES SOLUTIONS DIGITALES</v>
          </cell>
          <cell r="K387" t="str">
            <v>Investissement</v>
          </cell>
        </row>
        <row r="388">
          <cell r="A388">
            <v>2016</v>
          </cell>
          <cell r="H388">
            <v>90000</v>
          </cell>
          <cell r="J388" t="str">
            <v>DIRECTION DE LA REGIE PUBLICITAIRE ET DES SOLUTIONS DIGITALES</v>
          </cell>
          <cell r="K388" t="str">
            <v>Investissement</v>
          </cell>
        </row>
        <row r="389">
          <cell r="A389">
            <v>2016</v>
          </cell>
          <cell r="H389">
            <v>417506.4</v>
          </cell>
          <cell r="J389" t="str">
            <v>DIRECTION DE LA REGIE PUBLICITAIRE ET DES SOLUTIONS DIGITALES</v>
          </cell>
          <cell r="K389" t="str">
            <v>Investissement</v>
          </cell>
        </row>
        <row r="390">
          <cell r="A390">
            <v>2016</v>
          </cell>
          <cell r="H390">
            <v>95331.6</v>
          </cell>
          <cell r="J390" t="str">
            <v>DIRECTION DE LA REGIE PUBLICITAIRE ET DES SOLUTIONS DIGITALES</v>
          </cell>
          <cell r="K390" t="str">
            <v>Investissement</v>
          </cell>
        </row>
        <row r="391">
          <cell r="A391">
            <v>2016</v>
          </cell>
          <cell r="H391">
            <v>104760</v>
          </cell>
          <cell r="J391" t="str">
            <v>DIRECTION DE LA REGIE PUBLICITAIRE ET DES SOLUTIONS DIGITALES</v>
          </cell>
          <cell r="K391" t="str">
            <v>Investissement</v>
          </cell>
        </row>
        <row r="392">
          <cell r="A392">
            <v>2017</v>
          </cell>
          <cell r="H392">
            <v>170842.8</v>
          </cell>
          <cell r="J392" t="str">
            <v>DIRECTION DE LA REGIE PUBLICITAIRE ET DES SOLUTIONS DIGITALES</v>
          </cell>
          <cell r="K392" t="str">
            <v>Fonctionnement</v>
          </cell>
        </row>
        <row r="393">
          <cell r="A393">
            <v>2017</v>
          </cell>
          <cell r="H393">
            <v>67800</v>
          </cell>
          <cell r="J393" t="str">
            <v>DIRECTION DE LA REGIE PUBLICITAIRE ET DES SOLUTIONS DIGITALES</v>
          </cell>
          <cell r="K393" t="str">
            <v>Fonctionnement</v>
          </cell>
        </row>
        <row r="394">
          <cell r="A394">
            <v>2017</v>
          </cell>
          <cell r="H394">
            <v>47760</v>
          </cell>
          <cell r="J394" t="str">
            <v>DIRECTION DE LA REGIE PUBLICITAIRE ET DES SOLUTIONS DIGITALES</v>
          </cell>
          <cell r="K394" t="str">
            <v>Fonctionnement</v>
          </cell>
        </row>
        <row r="395">
          <cell r="A395">
            <v>2017</v>
          </cell>
          <cell r="H395">
            <v>40800</v>
          </cell>
          <cell r="J395" t="str">
            <v>DIRECTION DE LA REGIE PUBLICITAIRE ET DES SOLUTIONS DIGITALES</v>
          </cell>
          <cell r="K395" t="str">
            <v>Fonctionnement</v>
          </cell>
        </row>
        <row r="396">
          <cell r="A396">
            <v>2017</v>
          </cell>
          <cell r="H396">
            <v>37440</v>
          </cell>
          <cell r="J396" t="str">
            <v>DIRECTION DE LA REGIE PUBLICITAIRE ET DES SOLUTIONS DIGITALES</v>
          </cell>
          <cell r="K396" t="str">
            <v>Fonctionnement</v>
          </cell>
        </row>
        <row r="397">
          <cell r="A397">
            <v>2017</v>
          </cell>
          <cell r="H397">
            <v>142884</v>
          </cell>
          <cell r="J397" t="str">
            <v>DIRECTION DE LA REGIE PUBLICITAIRE ET DES SOLUTIONS DIGITALES</v>
          </cell>
          <cell r="K397" t="str">
            <v>Fonctionnement</v>
          </cell>
        </row>
        <row r="398">
          <cell r="A398">
            <v>2017</v>
          </cell>
          <cell r="H398">
            <v>304800</v>
          </cell>
          <cell r="J398" t="str">
            <v>DIRECTION DE LA REGIE PUBLICITAIRE ET DES SOLUTIONS DIGITALES</v>
          </cell>
          <cell r="K398" t="str">
            <v>Fonctionnement</v>
          </cell>
        </row>
        <row r="399">
          <cell r="A399">
            <v>2017</v>
          </cell>
          <cell r="H399">
            <v>228054.75999999998</v>
          </cell>
          <cell r="J399" t="str">
            <v>DIRECTION DE LA REGIE PUBLICITAIRE ET DES SOLUTIONS DIGITALES</v>
          </cell>
          <cell r="K399" t="str">
            <v>Fonctionnement</v>
          </cell>
        </row>
        <row r="400">
          <cell r="A400">
            <v>2018</v>
          </cell>
          <cell r="H400">
            <v>51000</v>
          </cell>
          <cell r="J400" t="str">
            <v>DIRECTION DE LA REGIE PUBLICITAIRE ET DES SOLUTIONS DIGITALES</v>
          </cell>
          <cell r="K400" t="str">
            <v>Fonctionnement</v>
          </cell>
        </row>
        <row r="401">
          <cell r="A401">
            <v>2018</v>
          </cell>
          <cell r="H401">
            <v>67800</v>
          </cell>
          <cell r="J401" t="str">
            <v>DIRECTION DE LA REGIE PUBLICITAIRE ET DES SOLUTIONS DIGITALES</v>
          </cell>
          <cell r="K401" t="str">
            <v>Fonctionnement</v>
          </cell>
        </row>
        <row r="402">
          <cell r="A402">
            <v>2018</v>
          </cell>
          <cell r="H402">
            <v>484176</v>
          </cell>
          <cell r="J402" t="str">
            <v>DIRECTION DE LA REGIE PUBLICITAIRE ET DES SOLUTIONS DIGITALES</v>
          </cell>
          <cell r="K402" t="str">
            <v>Fonctionnement</v>
          </cell>
        </row>
        <row r="403">
          <cell r="A403">
            <v>2018</v>
          </cell>
          <cell r="H403">
            <v>47760</v>
          </cell>
          <cell r="J403" t="str">
            <v>DIRECTION DE LA REGIE PUBLICITAIRE ET DES SOLUTIONS DIGITALES</v>
          </cell>
          <cell r="K403" t="str">
            <v>Fonctionnement</v>
          </cell>
        </row>
        <row r="404">
          <cell r="A404">
            <v>2018</v>
          </cell>
          <cell r="H404">
            <v>41400</v>
          </cell>
          <cell r="J404" t="str">
            <v>DIRECTION DE LA REGIE PUBLICITAIRE ET DES SOLUTIONS DIGITALES</v>
          </cell>
          <cell r="K404" t="str">
            <v>Fonctionnement</v>
          </cell>
        </row>
        <row r="405">
          <cell r="A405">
            <v>2018</v>
          </cell>
          <cell r="H405">
            <v>93360</v>
          </cell>
          <cell r="J405" t="str">
            <v>DIRECTION DE LA REGIE PUBLICITAIRE ET DES SOLUTIONS DIGITALES</v>
          </cell>
          <cell r="K405" t="str">
            <v>Fonctionnement</v>
          </cell>
        </row>
        <row r="406">
          <cell r="A406">
            <v>2018</v>
          </cell>
          <cell r="H406">
            <v>25828.33685</v>
          </cell>
          <cell r="J406" t="str">
            <v>DIRECTION DE LA REGIE PUBLICITAIRE ET DES SOLUTIONS DIGITALES</v>
          </cell>
          <cell r="K406" t="str">
            <v>Fonctionnement</v>
          </cell>
        </row>
        <row r="407">
          <cell r="A407">
            <v>2018</v>
          </cell>
          <cell r="H407">
            <v>108493.0055</v>
          </cell>
          <cell r="J407" t="str">
            <v>DIRECTION DE LA REGIE PUBLICITAIRE ET DES SOLUTIONS DIGITALES</v>
          </cell>
          <cell r="K407" t="str">
            <v>Fonctionnement</v>
          </cell>
        </row>
        <row r="408">
          <cell r="A408">
            <v>2018</v>
          </cell>
          <cell r="H408">
            <v>468495.92</v>
          </cell>
          <cell r="J408" t="str">
            <v>DIRECTION DE LA REGIE PUBLICITAIRE ET DES SOLUTIONS DIGITALES</v>
          </cell>
          <cell r="K408" t="str">
            <v>Investissement</v>
          </cell>
        </row>
        <row r="409">
          <cell r="A409">
            <v>2018</v>
          </cell>
          <cell r="H409">
            <v>499680</v>
          </cell>
          <cell r="J409" t="str">
            <v>DIRECTION DE LA REGIE PUBLICITAIRE ET DES SOLUTIONS DIGITALES</v>
          </cell>
          <cell r="K409" t="str">
            <v>Investissement</v>
          </cell>
        </row>
        <row r="410">
          <cell r="A410">
            <v>2018</v>
          </cell>
          <cell r="H410">
            <v>387600</v>
          </cell>
          <cell r="J410" t="str">
            <v>DIRECTION DE LA REGIE PUBLICITAIRE ET DES SOLUTIONS DIGITALES</v>
          </cell>
          <cell r="K410" t="str">
            <v>Investissement</v>
          </cell>
        </row>
        <row r="411">
          <cell r="A411">
            <v>2019</v>
          </cell>
          <cell r="H411">
            <v>98640</v>
          </cell>
          <cell r="J411" t="str">
            <v>DIRECTION DE LA REGIE PUBLICITAIRE ET DES SOLUTIONS DIGITALES</v>
          </cell>
          <cell r="K411" t="str">
            <v>Fonctionnement</v>
          </cell>
        </row>
        <row r="412">
          <cell r="A412">
            <v>2019</v>
          </cell>
          <cell r="H412">
            <v>244800</v>
          </cell>
          <cell r="J412" t="str">
            <v>DIRECTION DE LA REGIE PUBLICITAIRE ET DES SOLUTIONS DIGITALES</v>
          </cell>
          <cell r="K412" t="str">
            <v>Fonctionnement</v>
          </cell>
        </row>
        <row r="413">
          <cell r="A413">
            <v>2019</v>
          </cell>
          <cell r="H413">
            <v>67800</v>
          </cell>
          <cell r="J413" t="str">
            <v>DIRECTION DE LA REGIE PUBLICITAIRE ET DES SOLUTIONS DIGITALES</v>
          </cell>
          <cell r="K413" t="str">
            <v>Fonctionnement</v>
          </cell>
        </row>
        <row r="414">
          <cell r="A414">
            <v>2019</v>
          </cell>
          <cell r="H414">
            <v>52680</v>
          </cell>
          <cell r="J414" t="str">
            <v>DIRECTION DE LA REGIE PUBLICITAIRE ET DES SOLUTIONS DIGITALES</v>
          </cell>
          <cell r="K414" t="str">
            <v>Fonctionnement</v>
          </cell>
        </row>
        <row r="415">
          <cell r="A415">
            <v>2019</v>
          </cell>
          <cell r="H415">
            <v>41400</v>
          </cell>
          <cell r="J415" t="str">
            <v>DIRECTION DE LA REGIE PUBLICITAIRE ET DES SOLUTIONS DIGITALES</v>
          </cell>
          <cell r="K415" t="str">
            <v>Fonctionnement</v>
          </cell>
        </row>
        <row r="416">
          <cell r="A416">
            <v>2019</v>
          </cell>
          <cell r="H416">
            <v>93600</v>
          </cell>
          <cell r="J416" t="str">
            <v>DIRECTION DE LA REGIE PUBLICITAIRE ET DES SOLUTIONS DIGITALES</v>
          </cell>
          <cell r="K416" t="str">
            <v>Fonctionnement</v>
          </cell>
        </row>
        <row r="417">
          <cell r="A417">
            <v>2019</v>
          </cell>
          <cell r="H417">
            <v>51120</v>
          </cell>
          <cell r="J417" t="str">
            <v>DIRECTION DE LA REGIE PUBLICITAIRE ET DES SOLUTIONS DIGITALES</v>
          </cell>
          <cell r="K417" t="str">
            <v>Fonctionnement</v>
          </cell>
        </row>
        <row r="418">
          <cell r="A418">
            <v>2019</v>
          </cell>
          <cell r="H418">
            <v>23560</v>
          </cell>
          <cell r="J418" t="str">
            <v>DIRECTION DE LA REGIE PUBLICITAIRE ET DES SOLUTIONS DIGITALES</v>
          </cell>
          <cell r="K418" t="str">
            <v>Fonctionnement</v>
          </cell>
        </row>
        <row r="419">
          <cell r="A419">
            <v>2019</v>
          </cell>
          <cell r="H419">
            <v>18000</v>
          </cell>
          <cell r="J419" t="str">
            <v>DIRECTION DE LA REGIE PUBLICITAIRE ET DES SOLUTIONS DIGITALES</v>
          </cell>
          <cell r="K419" t="str">
            <v>Fonctionnement</v>
          </cell>
        </row>
        <row r="420">
          <cell r="A420">
            <v>2019</v>
          </cell>
          <cell r="H420">
            <v>13200</v>
          </cell>
          <cell r="J420" t="str">
            <v>DIRECTION DE LA REGIE PUBLICITAIRE ET DES SOLUTIONS DIGITALES</v>
          </cell>
          <cell r="K420" t="str">
            <v>Fonctionnement</v>
          </cell>
        </row>
        <row r="421">
          <cell r="A421">
            <v>2019</v>
          </cell>
          <cell r="H421">
            <v>289800</v>
          </cell>
          <cell r="J421" t="str">
            <v>DIRECTION DE LA REGIE PUBLICITAIRE ET DES SOLUTIONS DIGITALES</v>
          </cell>
          <cell r="K421" t="str">
            <v>Fonctionnement</v>
          </cell>
        </row>
        <row r="422">
          <cell r="A422">
            <v>2019</v>
          </cell>
          <cell r="H422">
            <v>36775.899999999994</v>
          </cell>
          <cell r="J422" t="str">
            <v>DIRECTION DE LA REGIE PUBLICITAIRE ET DES SOLUTIONS DIGITALES</v>
          </cell>
          <cell r="K422" t="str">
            <v>Fonctionnement</v>
          </cell>
        </row>
        <row r="423">
          <cell r="A423">
            <v>2019</v>
          </cell>
          <cell r="H423">
            <v>107321</v>
          </cell>
          <cell r="J423" t="str">
            <v>DIRECTION DE LA REGIE PUBLICITAIRE ET DES SOLUTIONS DIGITALES</v>
          </cell>
          <cell r="K423" t="str">
            <v>Fonctionnement</v>
          </cell>
        </row>
        <row r="424">
          <cell r="A424">
            <v>2019</v>
          </cell>
          <cell r="H424">
            <v>36775.899999999994</v>
          </cell>
          <cell r="J424" t="str">
            <v>DIRECTION DE LA REGIE PUBLICITAIRE ET DES SOLUTIONS DIGITALES</v>
          </cell>
          <cell r="K424" t="str">
            <v>Fonctionnement</v>
          </cell>
        </row>
        <row r="425">
          <cell r="A425">
            <v>2019</v>
          </cell>
          <cell r="H425">
            <v>63000</v>
          </cell>
          <cell r="J425" t="str">
            <v>DIRECTION DE LA REGIE PUBLICITAIRE ET DES SOLUTIONS DIGITALES</v>
          </cell>
          <cell r="K425" t="str">
            <v>Investissement</v>
          </cell>
        </row>
        <row r="426">
          <cell r="A426">
            <v>2019</v>
          </cell>
          <cell r="H426">
            <v>120000</v>
          </cell>
          <cell r="J426" t="str">
            <v>DIRECTION DE LA REGIE PUBLICITAIRE ET DES SOLUTIONS DIGITALES</v>
          </cell>
          <cell r="K426" t="str">
            <v>Investissement</v>
          </cell>
        </row>
        <row r="427">
          <cell r="A427">
            <v>2019</v>
          </cell>
          <cell r="H427">
            <v>56511</v>
          </cell>
          <cell r="J427" t="str">
            <v>DIRECTION DE LA REGIE PUBLICITAIRE ET DES SOLUTIONS DIGITALES</v>
          </cell>
          <cell r="K427" t="str">
            <v>Investissement</v>
          </cell>
        </row>
        <row r="428">
          <cell r="A428">
            <v>2019</v>
          </cell>
          <cell r="H428">
            <v>85800</v>
          </cell>
          <cell r="J428" t="str">
            <v>DIRECTION DE LA REGIE PUBLICITAIRE ET DES SOLUTIONS DIGITALES</v>
          </cell>
          <cell r="K428" t="str">
            <v>Investissement</v>
          </cell>
        </row>
        <row r="429">
          <cell r="A429">
            <v>2019</v>
          </cell>
          <cell r="H429">
            <v>215400</v>
          </cell>
          <cell r="J429" t="str">
            <v>DIRECTION DE LA REGIE PUBLICITAIRE ET DES SOLUTIONS DIGITALES</v>
          </cell>
          <cell r="K429" t="str">
            <v>Investissement</v>
          </cell>
        </row>
        <row r="430">
          <cell r="A430">
            <v>2019</v>
          </cell>
          <cell r="H430">
            <v>259500</v>
          </cell>
          <cell r="J430" t="str">
            <v>DIRECTION DE LA REGIE PUBLICITAIRE ET DES SOLUTIONS DIGITALES</v>
          </cell>
          <cell r="K430" t="str">
            <v>Investissement</v>
          </cell>
        </row>
        <row r="431">
          <cell r="A431">
            <v>2020</v>
          </cell>
          <cell r="H431">
            <v>108546.015</v>
          </cell>
          <cell r="J431" t="str">
            <v>DIRECTION DE LA REGIE PUBLICITAIRE ET DES SOLUTIONS DIGITALES</v>
          </cell>
          <cell r="K431" t="str">
            <v>Fonctionnement</v>
          </cell>
        </row>
        <row r="432">
          <cell r="A432">
            <v>2020</v>
          </cell>
          <cell r="H432">
            <v>4100</v>
          </cell>
          <cell r="J432" t="str">
            <v>DIRECTION DE LA REGIE PUBLICITAIRE ET DES SOLUTIONS DIGITALES</v>
          </cell>
          <cell r="K432" t="str">
            <v>Fonctionnement</v>
          </cell>
        </row>
        <row r="433">
          <cell r="A433">
            <v>2020</v>
          </cell>
          <cell r="H433">
            <v>1920</v>
          </cell>
          <cell r="J433" t="str">
            <v>DIRECTION DE LA REGIE PUBLICITAIRE ET DES SOLUTIONS DIGITALES</v>
          </cell>
          <cell r="K433" t="str">
            <v>Fonctionnement</v>
          </cell>
        </row>
        <row r="434">
          <cell r="A434">
            <v>2020</v>
          </cell>
          <cell r="H434">
            <v>18000</v>
          </cell>
          <cell r="J434" t="str">
            <v>DIRECTION DE LA REGIE PUBLICITAIRE ET DES SOLUTIONS DIGITALES</v>
          </cell>
          <cell r="K434" t="str">
            <v>Fonctionnement</v>
          </cell>
        </row>
        <row r="435">
          <cell r="A435">
            <v>2020</v>
          </cell>
          <cell r="H435">
            <v>5220.24</v>
          </cell>
          <cell r="J435" t="str">
            <v>DIRECTION DE LA REGIE PUBLICITAIRE ET DES SOLUTIONS DIGITALES</v>
          </cell>
          <cell r="K435" t="str">
            <v>Fonctionnement</v>
          </cell>
        </row>
        <row r="436">
          <cell r="A436">
            <v>2020</v>
          </cell>
          <cell r="H436">
            <v>67800</v>
          </cell>
          <cell r="J436" t="str">
            <v>DIRECTION DE LA REGIE PUBLICITAIRE ET DES SOLUTIONS DIGITALES</v>
          </cell>
          <cell r="K436" t="str">
            <v>Fonctionnement</v>
          </cell>
        </row>
        <row r="437">
          <cell r="A437">
            <v>2020</v>
          </cell>
          <cell r="H437">
            <v>99216</v>
          </cell>
          <cell r="J437" t="str">
            <v>DIRECTION DE LA REGIE PUBLICITAIRE ET DES SOLUTIONS DIGITALES</v>
          </cell>
          <cell r="K437" t="str">
            <v>Fonctionnement</v>
          </cell>
        </row>
        <row r="438">
          <cell r="A438">
            <v>2020</v>
          </cell>
          <cell r="H438">
            <v>41400</v>
          </cell>
          <cell r="J438" t="str">
            <v>DIRECTION DE LA REGIE PUBLICITAIRE ET DES SOLUTIONS DIGITALES</v>
          </cell>
          <cell r="K438" t="str">
            <v>Fonctionnement</v>
          </cell>
        </row>
        <row r="439">
          <cell r="A439">
            <v>2020</v>
          </cell>
          <cell r="H439">
            <v>13582.8</v>
          </cell>
          <cell r="J439" t="str">
            <v>DIRECTION DE LA REGIE PUBLICITAIRE ET DES SOLUTIONS DIGITALES</v>
          </cell>
          <cell r="K439" t="str">
            <v>Fonctionnement</v>
          </cell>
        </row>
        <row r="440">
          <cell r="A440">
            <v>2020</v>
          </cell>
          <cell r="H440">
            <v>24300</v>
          </cell>
          <cell r="J440" t="str">
            <v>DIRECTION DE LA REGIE PUBLICITAIRE ET DES SOLUTIONS DIGITALES</v>
          </cell>
          <cell r="K440" t="str">
            <v>Fonctionnement</v>
          </cell>
        </row>
        <row r="441">
          <cell r="A441">
            <v>2020</v>
          </cell>
          <cell r="H441">
            <v>38302.6</v>
          </cell>
          <cell r="J441" t="str">
            <v>DIRECTION DE LA REGIE PUBLICITAIRE ET DES SOLUTIONS DIGITALES</v>
          </cell>
          <cell r="K441" t="str">
            <v>Fonctionnement</v>
          </cell>
        </row>
        <row r="442">
          <cell r="A442">
            <v>2020</v>
          </cell>
          <cell r="H442">
            <v>130200</v>
          </cell>
          <cell r="J442" t="str">
            <v>DIRECTION DE LA REGIE PUBLICITAIRE ET DES SOLUTIONS DIGITALES</v>
          </cell>
          <cell r="K442" t="str">
            <v>Investissement</v>
          </cell>
        </row>
        <row r="443">
          <cell r="A443">
            <v>2016</v>
          </cell>
          <cell r="H443">
            <v>52872</v>
          </cell>
          <cell r="J443" t="str">
            <v>DIRECTION DE LA TELEDIFFUSION</v>
          </cell>
          <cell r="K443" t="str">
            <v>Fonctionnement</v>
          </cell>
        </row>
        <row r="444">
          <cell r="A444">
            <v>2016</v>
          </cell>
          <cell r="H444">
            <v>234600</v>
          </cell>
          <cell r="J444" t="str">
            <v>DIRECTION DE LA TELEDIFFUSION</v>
          </cell>
          <cell r="K444" t="str">
            <v>Fonctionnement</v>
          </cell>
        </row>
        <row r="445">
          <cell r="A445">
            <v>2016</v>
          </cell>
          <cell r="H445">
            <v>49320</v>
          </cell>
          <cell r="J445" t="str">
            <v>DIRECTION DE LA TELEDIFFUSION</v>
          </cell>
          <cell r="K445" t="str">
            <v>Fonctionnement</v>
          </cell>
        </row>
        <row r="446">
          <cell r="A446">
            <v>2016</v>
          </cell>
          <cell r="H446">
            <v>38940</v>
          </cell>
          <cell r="J446" t="str">
            <v>DIRECTION DE LA TELEDIFFUSION</v>
          </cell>
          <cell r="K446" t="str">
            <v>Fonctionnement</v>
          </cell>
        </row>
        <row r="447">
          <cell r="A447">
            <v>2016</v>
          </cell>
          <cell r="H447">
            <v>81600</v>
          </cell>
          <cell r="J447" t="str">
            <v>DIRECTION DE LA TELEDIFFUSION</v>
          </cell>
          <cell r="K447" t="str">
            <v>Fonctionnement</v>
          </cell>
        </row>
        <row r="448">
          <cell r="A448">
            <v>2016</v>
          </cell>
          <cell r="H448">
            <v>115776</v>
          </cell>
          <cell r="J448" t="str">
            <v>DIRECTION DE LA TELEDIFFUSION</v>
          </cell>
          <cell r="K448" t="str">
            <v>Fonctionnement</v>
          </cell>
        </row>
        <row r="449">
          <cell r="A449">
            <v>2016</v>
          </cell>
          <cell r="H449">
            <v>85510.5</v>
          </cell>
          <cell r="J449" t="str">
            <v>DIRECTION DE LA TELEDIFFUSION</v>
          </cell>
          <cell r="K449" t="str">
            <v>Fonctionnement</v>
          </cell>
        </row>
        <row r="450">
          <cell r="A450">
            <v>2016</v>
          </cell>
          <cell r="H450">
            <v>199200</v>
          </cell>
          <cell r="J450" t="str">
            <v>DIRECTION DE LA TELEDIFFUSION</v>
          </cell>
          <cell r="K450" t="str">
            <v>Investissement</v>
          </cell>
        </row>
        <row r="451">
          <cell r="A451">
            <v>2016</v>
          </cell>
          <cell r="H451">
            <v>144000</v>
          </cell>
          <cell r="J451" t="str">
            <v>DIRECTION DE LA TELEDIFFUSION</v>
          </cell>
          <cell r="K451" t="str">
            <v>Investissement</v>
          </cell>
        </row>
        <row r="452">
          <cell r="A452">
            <v>2016</v>
          </cell>
          <cell r="H452">
            <v>43080</v>
          </cell>
          <cell r="J452" t="str">
            <v>DIRECTION DE LA TELEDIFFUSION</v>
          </cell>
          <cell r="K452" t="str">
            <v>Investissement</v>
          </cell>
        </row>
        <row r="453">
          <cell r="A453">
            <v>2016</v>
          </cell>
          <cell r="H453">
            <v>221628</v>
          </cell>
          <cell r="J453" t="str">
            <v>DIRECTION DE LA TELEDIFFUSION</v>
          </cell>
          <cell r="K453" t="str">
            <v>Investissement</v>
          </cell>
        </row>
        <row r="454">
          <cell r="A454">
            <v>2016</v>
          </cell>
          <cell r="H454">
            <v>57548.4</v>
          </cell>
          <cell r="J454" t="str">
            <v>DIRECTION DE LA TELEDIFFUSION</v>
          </cell>
          <cell r="K454" t="str">
            <v>Investissement</v>
          </cell>
        </row>
        <row r="455">
          <cell r="A455">
            <v>2016</v>
          </cell>
          <cell r="H455">
            <v>97351.2</v>
          </cell>
          <cell r="J455" t="str">
            <v>DIRECTION DE LA TELEDIFFUSION</v>
          </cell>
          <cell r="K455" t="str">
            <v>Investissement</v>
          </cell>
        </row>
        <row r="456">
          <cell r="A456">
            <v>2016</v>
          </cell>
          <cell r="H456">
            <v>98640</v>
          </cell>
          <cell r="J456" t="str">
            <v>DIRECTION DE LA TELEDIFFUSION</v>
          </cell>
          <cell r="K456" t="str">
            <v>Investissement</v>
          </cell>
        </row>
        <row r="457">
          <cell r="A457">
            <v>2016</v>
          </cell>
          <cell r="H457">
            <v>263116.98</v>
          </cell>
          <cell r="J457" t="str">
            <v>DIRECTION DE LA TELEDIFFUSION</v>
          </cell>
          <cell r="K457" t="str">
            <v>Investissement</v>
          </cell>
        </row>
        <row r="458">
          <cell r="A458">
            <v>2016</v>
          </cell>
          <cell r="H458">
            <v>311712</v>
          </cell>
          <cell r="J458" t="str">
            <v>DIRECTION DE LA TELEDIFFUSION</v>
          </cell>
          <cell r="K458" t="str">
            <v>Investissement</v>
          </cell>
        </row>
        <row r="459">
          <cell r="A459">
            <v>2016</v>
          </cell>
          <cell r="H459">
            <v>90000</v>
          </cell>
          <cell r="J459" t="str">
            <v>DIRECTION DE LA TELEDIFFUSION</v>
          </cell>
          <cell r="K459" t="str">
            <v>Investissement</v>
          </cell>
        </row>
        <row r="460">
          <cell r="A460">
            <v>2016</v>
          </cell>
          <cell r="H460">
            <v>219240</v>
          </cell>
          <cell r="J460" t="str">
            <v>DIRECTION DE LA TELEDIFFUSION</v>
          </cell>
          <cell r="K460" t="str">
            <v>Investissement</v>
          </cell>
        </row>
        <row r="461">
          <cell r="A461">
            <v>2016</v>
          </cell>
          <cell r="H461">
            <v>83400</v>
          </cell>
          <cell r="J461" t="str">
            <v>DIRECTION DE LA TELEDIFFUSION</v>
          </cell>
          <cell r="K461" t="str">
            <v>Investissement</v>
          </cell>
        </row>
        <row r="462">
          <cell r="A462">
            <v>2016</v>
          </cell>
          <cell r="H462">
            <v>472800</v>
          </cell>
          <cell r="J462" t="str">
            <v>DIRECTION DE LA TELEDIFFUSION</v>
          </cell>
          <cell r="K462" t="str">
            <v>Investissement</v>
          </cell>
        </row>
        <row r="463">
          <cell r="A463">
            <v>2016</v>
          </cell>
          <cell r="H463">
            <v>82512</v>
          </cell>
          <cell r="J463" t="str">
            <v>DIRECTION DE LA TELEDIFFUSION</v>
          </cell>
          <cell r="K463" t="str">
            <v>Investissement</v>
          </cell>
        </row>
        <row r="464">
          <cell r="A464">
            <v>2016</v>
          </cell>
          <cell r="H464">
            <v>193305.60000000001</v>
          </cell>
          <cell r="J464" t="str">
            <v>DIRECTION DE LA TELEDIFFUSION</v>
          </cell>
          <cell r="K464" t="str">
            <v>Investissement</v>
          </cell>
        </row>
        <row r="465">
          <cell r="A465">
            <v>2016</v>
          </cell>
          <cell r="H465">
            <v>353741.77</v>
          </cell>
          <cell r="J465" t="str">
            <v>DIRECTION DE LA TELEDIFFUSION</v>
          </cell>
          <cell r="K465" t="str">
            <v>Investissement</v>
          </cell>
        </row>
        <row r="466">
          <cell r="A466">
            <v>2016</v>
          </cell>
          <cell r="H466">
            <v>49200</v>
          </cell>
          <cell r="J466" t="str">
            <v>DIRECTION DE LA TELEDIFFUSION</v>
          </cell>
          <cell r="K466" t="str">
            <v>Investissement</v>
          </cell>
        </row>
        <row r="467">
          <cell r="A467">
            <v>2016</v>
          </cell>
          <cell r="H467">
            <v>97200</v>
          </cell>
          <cell r="J467" t="str">
            <v>DIRECTION DE LA TELEDIFFUSION</v>
          </cell>
          <cell r="K467" t="str">
            <v>Investissement</v>
          </cell>
        </row>
        <row r="468">
          <cell r="A468">
            <v>2016</v>
          </cell>
          <cell r="H468">
            <v>245040</v>
          </cell>
          <cell r="J468" t="str">
            <v>DIRECTION DE LA TELEDIFFUSION</v>
          </cell>
          <cell r="K468" t="str">
            <v>Investissement</v>
          </cell>
        </row>
        <row r="469">
          <cell r="A469">
            <v>2016</v>
          </cell>
          <cell r="H469">
            <v>306592.8</v>
          </cell>
          <cell r="J469" t="str">
            <v>DIRECTION DE LA TELEDIFFUSION</v>
          </cell>
          <cell r="K469" t="str">
            <v>Investissement</v>
          </cell>
        </row>
        <row r="470">
          <cell r="A470">
            <v>2016</v>
          </cell>
          <cell r="H470">
            <v>92910</v>
          </cell>
          <cell r="J470" t="str">
            <v>DIRECTION DE LA TELEDIFFUSION</v>
          </cell>
          <cell r="K470" t="str">
            <v>Investissement</v>
          </cell>
        </row>
        <row r="471">
          <cell r="A471">
            <v>2016</v>
          </cell>
          <cell r="H471">
            <v>179820</v>
          </cell>
          <cell r="J471" t="str">
            <v>DIRECTION DE LA TELEDIFFUSION</v>
          </cell>
          <cell r="K471" t="str">
            <v>Investissement</v>
          </cell>
        </row>
        <row r="472">
          <cell r="A472">
            <v>2016</v>
          </cell>
          <cell r="H472">
            <v>209012.4</v>
          </cell>
          <cell r="J472" t="str">
            <v>DIRECTION DE LA TELEDIFFUSION</v>
          </cell>
          <cell r="K472" t="str">
            <v>Investissement</v>
          </cell>
        </row>
        <row r="473">
          <cell r="A473">
            <v>2016</v>
          </cell>
          <cell r="H473">
            <v>120000</v>
          </cell>
          <cell r="J473" t="str">
            <v>DIRECTION DE LA TELEDIFFUSION</v>
          </cell>
          <cell r="K473" t="str">
            <v>Investissement</v>
          </cell>
        </row>
        <row r="474">
          <cell r="A474">
            <v>2016</v>
          </cell>
          <cell r="H474">
            <v>164268</v>
          </cell>
          <cell r="J474" t="str">
            <v>DIRECTION DE LA TELEDIFFUSION</v>
          </cell>
          <cell r="K474" t="str">
            <v>Investissement</v>
          </cell>
        </row>
        <row r="475">
          <cell r="A475">
            <v>2016</v>
          </cell>
          <cell r="H475">
            <v>42000</v>
          </cell>
          <cell r="J475" t="str">
            <v>DIRECTION DE LA TELEDIFFUSION</v>
          </cell>
          <cell r="K475" t="str">
            <v>Investissement</v>
          </cell>
        </row>
        <row r="476">
          <cell r="A476">
            <v>2017</v>
          </cell>
          <cell r="H476">
            <v>468000</v>
          </cell>
          <cell r="J476" t="str">
            <v>DIRECTION DE LA TELEDIFFUSION</v>
          </cell>
          <cell r="K476" t="str">
            <v>Fonctionnement</v>
          </cell>
        </row>
        <row r="477">
          <cell r="A477">
            <v>2017</v>
          </cell>
          <cell r="H477">
            <v>63096</v>
          </cell>
          <cell r="J477" t="str">
            <v>DIRECTION DE LA TELEDIFFUSION</v>
          </cell>
          <cell r="K477" t="str">
            <v>Fonctionnement</v>
          </cell>
        </row>
        <row r="478">
          <cell r="A478">
            <v>2017</v>
          </cell>
          <cell r="H478">
            <v>120000</v>
          </cell>
          <cell r="J478" t="str">
            <v>DIRECTION DE LA TELEDIFFUSION</v>
          </cell>
          <cell r="K478" t="str">
            <v>Fonctionnement</v>
          </cell>
        </row>
        <row r="479">
          <cell r="A479">
            <v>2017</v>
          </cell>
          <cell r="H479">
            <v>41400</v>
          </cell>
          <cell r="J479" t="str">
            <v>DIRECTION DE LA TELEDIFFUSION</v>
          </cell>
          <cell r="K479" t="str">
            <v>Fonctionnement</v>
          </cell>
        </row>
        <row r="480">
          <cell r="A480">
            <v>2017</v>
          </cell>
          <cell r="H480">
            <v>48000</v>
          </cell>
          <cell r="J480" t="str">
            <v>DIRECTION DE LA TELEDIFFUSION</v>
          </cell>
          <cell r="K480" t="str">
            <v>Fonctionnement</v>
          </cell>
        </row>
        <row r="481">
          <cell r="A481">
            <v>2017</v>
          </cell>
          <cell r="H481">
            <v>146400</v>
          </cell>
          <cell r="J481" t="str">
            <v>DIRECTION DE LA TELEDIFFUSION</v>
          </cell>
          <cell r="K481" t="str">
            <v>Fonctionnement</v>
          </cell>
        </row>
        <row r="482">
          <cell r="A482">
            <v>2017</v>
          </cell>
          <cell r="H482">
            <v>85356</v>
          </cell>
          <cell r="J482" t="str">
            <v>DIRECTION DE LA TELEDIFFUSION</v>
          </cell>
          <cell r="K482" t="str">
            <v>Fonctionnement</v>
          </cell>
        </row>
        <row r="483">
          <cell r="A483">
            <v>2017</v>
          </cell>
          <cell r="H483">
            <v>155832</v>
          </cell>
          <cell r="J483" t="str">
            <v>DIRECTION DE LA TELEDIFFUSION</v>
          </cell>
          <cell r="K483" t="str">
            <v>Fonctionnement</v>
          </cell>
        </row>
        <row r="484">
          <cell r="A484">
            <v>2017</v>
          </cell>
          <cell r="H484">
            <v>75984</v>
          </cell>
          <cell r="J484" t="str">
            <v>DIRECTION DE LA TELEDIFFUSION</v>
          </cell>
          <cell r="K484" t="str">
            <v>Fonctionnement</v>
          </cell>
        </row>
        <row r="485">
          <cell r="A485">
            <v>2017</v>
          </cell>
          <cell r="H485">
            <v>43572</v>
          </cell>
          <cell r="J485" t="str">
            <v>DIRECTION DE LA TELEDIFFUSION</v>
          </cell>
          <cell r="K485" t="str">
            <v>Fonctionnement</v>
          </cell>
        </row>
        <row r="486">
          <cell r="A486">
            <v>2017</v>
          </cell>
          <cell r="H486">
            <v>81842.399999999994</v>
          </cell>
          <cell r="J486" t="str">
            <v>DIRECTION DE LA TELEDIFFUSION</v>
          </cell>
          <cell r="K486" t="str">
            <v>Fonctionnement</v>
          </cell>
        </row>
        <row r="487">
          <cell r="A487">
            <v>2017</v>
          </cell>
          <cell r="H487">
            <v>191640</v>
          </cell>
          <cell r="J487" t="str">
            <v>DIRECTION DE LA TELEDIFFUSION</v>
          </cell>
          <cell r="K487" t="str">
            <v>Fonctionnement</v>
          </cell>
        </row>
        <row r="488">
          <cell r="A488">
            <v>2017</v>
          </cell>
          <cell r="H488">
            <v>40260</v>
          </cell>
          <cell r="J488" t="str">
            <v>DIRECTION DE LA TELEDIFFUSION</v>
          </cell>
          <cell r="K488" t="str">
            <v>Fonctionnement</v>
          </cell>
        </row>
        <row r="489">
          <cell r="A489">
            <v>2017</v>
          </cell>
          <cell r="H489">
            <v>203970</v>
          </cell>
          <cell r="J489" t="str">
            <v>DIRECTION DE LA TELEDIFFUSION</v>
          </cell>
          <cell r="K489" t="str">
            <v>Fonctionnement</v>
          </cell>
        </row>
        <row r="490">
          <cell r="A490">
            <v>2017</v>
          </cell>
          <cell r="H490">
            <v>34400</v>
          </cell>
          <cell r="J490" t="str">
            <v>DIRECTION DE LA TELEDIFFUSION</v>
          </cell>
          <cell r="K490" t="str">
            <v>Fonctionnement</v>
          </cell>
        </row>
        <row r="491">
          <cell r="A491">
            <v>2017</v>
          </cell>
          <cell r="H491">
            <v>51079.199999999997</v>
          </cell>
          <cell r="J491" t="str">
            <v>DIRECTION DE LA TELEDIFFUSION</v>
          </cell>
          <cell r="K491" t="str">
            <v>Fonctionnement</v>
          </cell>
        </row>
        <row r="492">
          <cell r="A492">
            <v>2017</v>
          </cell>
          <cell r="H492">
            <v>460348.8</v>
          </cell>
          <cell r="J492" t="str">
            <v>DIRECTION DE LA TELEDIFFUSION</v>
          </cell>
          <cell r="K492" t="str">
            <v>Investissement</v>
          </cell>
        </row>
        <row r="493">
          <cell r="A493">
            <v>2017</v>
          </cell>
          <cell r="H493">
            <v>89277.6</v>
          </cell>
          <cell r="J493" t="str">
            <v>DIRECTION DE LA TELEDIFFUSION</v>
          </cell>
          <cell r="K493" t="str">
            <v>Investissement</v>
          </cell>
        </row>
        <row r="494">
          <cell r="A494">
            <v>2017</v>
          </cell>
          <cell r="H494">
            <v>39000</v>
          </cell>
          <cell r="J494" t="str">
            <v>DIRECTION DE LA TELEDIFFUSION</v>
          </cell>
          <cell r="K494" t="str">
            <v>Investissement</v>
          </cell>
        </row>
        <row r="495">
          <cell r="A495">
            <v>2017</v>
          </cell>
          <cell r="H495">
            <v>329292</v>
          </cell>
          <cell r="J495" t="str">
            <v>DIRECTION DE LA TELEDIFFUSION</v>
          </cell>
          <cell r="K495" t="str">
            <v>Investissement</v>
          </cell>
        </row>
        <row r="496">
          <cell r="A496">
            <v>2017</v>
          </cell>
          <cell r="H496">
            <v>222000</v>
          </cell>
          <cell r="J496" t="str">
            <v>DIRECTION DE LA TELEDIFFUSION</v>
          </cell>
          <cell r="K496" t="str">
            <v>Investissement</v>
          </cell>
        </row>
        <row r="497">
          <cell r="A497">
            <v>2017</v>
          </cell>
          <cell r="H497">
            <v>159667.45000000001</v>
          </cell>
          <cell r="J497" t="str">
            <v>DIRECTION DE LA TELEDIFFUSION</v>
          </cell>
          <cell r="K497" t="str">
            <v>Investissement</v>
          </cell>
        </row>
        <row r="498">
          <cell r="A498">
            <v>2017</v>
          </cell>
          <cell r="H498">
            <v>118320</v>
          </cell>
          <cell r="J498" t="str">
            <v>DIRECTION DE LA TELEDIFFUSION</v>
          </cell>
          <cell r="K498" t="str">
            <v>Investissement</v>
          </cell>
        </row>
        <row r="499">
          <cell r="A499">
            <v>2017</v>
          </cell>
          <cell r="H499">
            <v>410400</v>
          </cell>
          <cell r="J499" t="str">
            <v>DIRECTION DE LA TELEDIFFUSION</v>
          </cell>
          <cell r="K499" t="str">
            <v>Investissement</v>
          </cell>
        </row>
        <row r="500">
          <cell r="A500">
            <v>2017</v>
          </cell>
          <cell r="H500">
            <v>148644</v>
          </cell>
          <cell r="J500" t="str">
            <v>DIRECTION DE LA TELEDIFFUSION</v>
          </cell>
          <cell r="K500" t="str">
            <v>Investissement</v>
          </cell>
        </row>
        <row r="501">
          <cell r="A501">
            <v>2017</v>
          </cell>
          <cell r="H501">
            <v>72000</v>
          </cell>
          <cell r="J501" t="str">
            <v>DIRECTION DE LA TELEDIFFUSION</v>
          </cell>
          <cell r="K501" t="str">
            <v>Investissement</v>
          </cell>
        </row>
        <row r="502">
          <cell r="A502">
            <v>2017</v>
          </cell>
          <cell r="H502">
            <v>192000</v>
          </cell>
          <cell r="J502" t="str">
            <v>DIRECTION DE LA TELEDIFFUSION</v>
          </cell>
          <cell r="K502" t="str">
            <v>Investissement</v>
          </cell>
        </row>
        <row r="503">
          <cell r="A503">
            <v>2017</v>
          </cell>
          <cell r="H503">
            <v>111206.39999999999</v>
          </cell>
          <cell r="J503" t="str">
            <v>DIRECTION DE LA TELEDIFFUSION</v>
          </cell>
          <cell r="K503" t="str">
            <v>Investissement</v>
          </cell>
        </row>
        <row r="504">
          <cell r="A504">
            <v>2017</v>
          </cell>
          <cell r="H504">
            <v>378000</v>
          </cell>
          <cell r="J504" t="str">
            <v>DIRECTION DE LA TELEDIFFUSION</v>
          </cell>
          <cell r="K504" t="str">
            <v>Investissement</v>
          </cell>
        </row>
        <row r="505">
          <cell r="A505">
            <v>2017</v>
          </cell>
          <cell r="H505">
            <v>192000</v>
          </cell>
          <cell r="J505" t="str">
            <v>DIRECTION DE LA TELEDIFFUSION</v>
          </cell>
          <cell r="K505" t="str">
            <v>Investissement</v>
          </cell>
        </row>
        <row r="506">
          <cell r="A506">
            <v>2017</v>
          </cell>
          <cell r="H506">
            <v>267230.40000000002</v>
          </cell>
          <cell r="J506" t="str">
            <v>DIRECTION DE LA TELEDIFFUSION</v>
          </cell>
          <cell r="K506" t="str">
            <v>Investissement</v>
          </cell>
        </row>
        <row r="507">
          <cell r="A507">
            <v>2017</v>
          </cell>
          <cell r="H507">
            <v>482400</v>
          </cell>
          <cell r="J507" t="str">
            <v>DIRECTION DE LA TELEDIFFUSION</v>
          </cell>
          <cell r="K507" t="str">
            <v>Investissement</v>
          </cell>
        </row>
        <row r="508">
          <cell r="A508">
            <v>2017</v>
          </cell>
          <cell r="H508">
            <v>249984</v>
          </cell>
          <cell r="J508" t="str">
            <v>DIRECTION DE LA TELEDIFFUSION</v>
          </cell>
          <cell r="K508" t="str">
            <v>Investissement</v>
          </cell>
        </row>
        <row r="509">
          <cell r="A509">
            <v>2017</v>
          </cell>
          <cell r="H509">
            <v>380280</v>
          </cell>
          <cell r="J509" t="str">
            <v>DIRECTION DE LA TELEDIFFUSION</v>
          </cell>
          <cell r="K509" t="str">
            <v>Investissement</v>
          </cell>
        </row>
        <row r="510">
          <cell r="A510">
            <v>2017</v>
          </cell>
          <cell r="H510">
            <v>136072.79999999999</v>
          </cell>
          <cell r="J510" t="str">
            <v>DIRECTION DE LA TELEDIFFUSION</v>
          </cell>
          <cell r="K510" t="str">
            <v>Investissement</v>
          </cell>
        </row>
        <row r="511">
          <cell r="A511">
            <v>2017</v>
          </cell>
          <cell r="H511">
            <v>98400</v>
          </cell>
          <cell r="J511" t="str">
            <v>DIRECTION DE LA TELEDIFFUSION</v>
          </cell>
          <cell r="K511" t="str">
            <v>Investissement</v>
          </cell>
        </row>
        <row r="512">
          <cell r="A512">
            <v>2017</v>
          </cell>
          <cell r="H512">
            <v>144000</v>
          </cell>
          <cell r="J512" t="str">
            <v>DIRECTION DE LA TELEDIFFUSION</v>
          </cell>
          <cell r="K512" t="str">
            <v>Investissement</v>
          </cell>
        </row>
        <row r="513">
          <cell r="A513">
            <v>2017</v>
          </cell>
          <cell r="H513">
            <v>413160</v>
          </cell>
          <cell r="J513" t="str">
            <v>DIRECTION DE LA TELEDIFFUSION</v>
          </cell>
          <cell r="K513" t="str">
            <v>Investissement</v>
          </cell>
        </row>
        <row r="514">
          <cell r="A514">
            <v>2017</v>
          </cell>
          <cell r="H514">
            <v>134400</v>
          </cell>
          <cell r="J514" t="str">
            <v>DIRECTION DE LA TELEDIFFUSION</v>
          </cell>
          <cell r="K514" t="str">
            <v>Investissement</v>
          </cell>
        </row>
        <row r="515">
          <cell r="A515">
            <v>2018</v>
          </cell>
          <cell r="H515">
            <v>99320</v>
          </cell>
          <cell r="J515" t="str">
            <v>DIRECTION DE LA TELEDIFFUSION</v>
          </cell>
          <cell r="K515" t="str">
            <v>Fonctionnement</v>
          </cell>
        </row>
        <row r="516">
          <cell r="A516">
            <v>2018</v>
          </cell>
          <cell r="H516">
            <v>92280</v>
          </cell>
          <cell r="J516" t="str">
            <v>DIRECTION DE LA TELEDIFFUSION</v>
          </cell>
          <cell r="K516" t="str">
            <v>Fonctionnement</v>
          </cell>
        </row>
        <row r="517">
          <cell r="A517">
            <v>2018</v>
          </cell>
          <cell r="H517">
            <v>73200</v>
          </cell>
          <cell r="J517" t="str">
            <v>DIRECTION DE LA TELEDIFFUSION</v>
          </cell>
          <cell r="K517" t="str">
            <v>Fonctionnement</v>
          </cell>
        </row>
        <row r="518">
          <cell r="A518">
            <v>2018</v>
          </cell>
          <cell r="H518">
            <v>33630</v>
          </cell>
          <cell r="J518" t="str">
            <v>DIRECTION DE LA TELEDIFFUSION</v>
          </cell>
          <cell r="K518" t="str">
            <v>Fonctionnement</v>
          </cell>
        </row>
        <row r="519">
          <cell r="A519">
            <v>2018</v>
          </cell>
          <cell r="H519">
            <v>39160</v>
          </cell>
          <cell r="J519" t="str">
            <v>DIRECTION DE LA TELEDIFFUSION</v>
          </cell>
          <cell r="K519" t="str">
            <v>Fonctionnement</v>
          </cell>
        </row>
        <row r="520">
          <cell r="A520">
            <v>2018</v>
          </cell>
          <cell r="H520">
            <v>76440</v>
          </cell>
          <cell r="J520" t="str">
            <v>DIRECTION DE LA TELEDIFFUSION</v>
          </cell>
          <cell r="K520" t="str">
            <v>Fonctionnement</v>
          </cell>
        </row>
        <row r="521">
          <cell r="A521">
            <v>2018</v>
          </cell>
          <cell r="H521">
            <v>259800</v>
          </cell>
          <cell r="J521" t="str">
            <v>DIRECTION DE LA TELEDIFFUSION</v>
          </cell>
          <cell r="K521" t="str">
            <v>Fonctionnement</v>
          </cell>
        </row>
        <row r="522">
          <cell r="A522">
            <v>2018</v>
          </cell>
          <cell r="H522">
            <v>90000</v>
          </cell>
          <cell r="J522" t="str">
            <v>DIRECTION DE LA TELEDIFFUSION</v>
          </cell>
          <cell r="K522" t="str">
            <v>Fonctionnement</v>
          </cell>
        </row>
        <row r="523">
          <cell r="A523">
            <v>2018</v>
          </cell>
          <cell r="H523">
            <v>46800</v>
          </cell>
          <cell r="J523" t="str">
            <v>DIRECTION DE LA TELEDIFFUSION</v>
          </cell>
          <cell r="K523" t="str">
            <v>Fonctionnement</v>
          </cell>
        </row>
        <row r="524">
          <cell r="A524">
            <v>2018</v>
          </cell>
          <cell r="H524">
            <v>120344.78</v>
          </cell>
          <cell r="J524" t="str">
            <v>DIRECTION DE LA TELEDIFFUSION</v>
          </cell>
          <cell r="K524" t="str">
            <v>Fonctionnement</v>
          </cell>
        </row>
        <row r="525">
          <cell r="A525">
            <v>2018</v>
          </cell>
          <cell r="H525">
            <v>283692</v>
          </cell>
          <cell r="J525" t="str">
            <v>DIRECTION DE LA TELEDIFFUSION</v>
          </cell>
          <cell r="K525" t="str">
            <v>Fonctionnement</v>
          </cell>
        </row>
        <row r="526">
          <cell r="A526">
            <v>2018</v>
          </cell>
          <cell r="H526">
            <v>261360</v>
          </cell>
          <cell r="J526" t="str">
            <v>DIRECTION DE LA TELEDIFFUSION</v>
          </cell>
          <cell r="K526" t="str">
            <v>Fonctionnement</v>
          </cell>
        </row>
        <row r="527">
          <cell r="A527">
            <v>2018</v>
          </cell>
          <cell r="H527">
            <v>202740</v>
          </cell>
          <cell r="J527" t="str">
            <v>DIRECTION DE LA TELEDIFFUSION</v>
          </cell>
          <cell r="K527" t="str">
            <v>Fonctionnement</v>
          </cell>
        </row>
        <row r="528">
          <cell r="A528">
            <v>2018</v>
          </cell>
          <cell r="H528">
            <v>261360</v>
          </cell>
          <cell r="J528" t="str">
            <v>DIRECTION DE LA TELEDIFFUSION</v>
          </cell>
          <cell r="K528" t="str">
            <v>Fonctionnement</v>
          </cell>
        </row>
        <row r="529">
          <cell r="A529">
            <v>2018</v>
          </cell>
          <cell r="H529">
            <v>67030</v>
          </cell>
          <cell r="J529" t="str">
            <v>DIRECTION DE LA TELEDIFFUSION</v>
          </cell>
          <cell r="K529" t="str">
            <v>Fonctionnement</v>
          </cell>
        </row>
        <row r="530">
          <cell r="A530">
            <v>2018</v>
          </cell>
          <cell r="H530">
            <v>60800</v>
          </cell>
          <cell r="J530" t="str">
            <v>DIRECTION DE LA TELEDIFFUSION</v>
          </cell>
          <cell r="K530" t="str">
            <v>Fonctionnement</v>
          </cell>
        </row>
        <row r="531">
          <cell r="A531">
            <v>2018</v>
          </cell>
          <cell r="H531">
            <v>92391</v>
          </cell>
          <cell r="J531" t="str">
            <v>DIRECTION DE LA TELEDIFFUSION</v>
          </cell>
          <cell r="K531" t="str">
            <v>Fonctionnement</v>
          </cell>
        </row>
        <row r="532">
          <cell r="A532">
            <v>2018</v>
          </cell>
          <cell r="H532">
            <v>288300</v>
          </cell>
          <cell r="J532" t="str">
            <v>DIRECTION DE LA TELEDIFFUSION</v>
          </cell>
          <cell r="K532" t="str">
            <v>Fonctionnement</v>
          </cell>
        </row>
        <row r="533">
          <cell r="A533">
            <v>2018</v>
          </cell>
          <cell r="H533">
            <v>102081.60000000001</v>
          </cell>
          <cell r="J533" t="str">
            <v>DIRECTION DE LA TELEDIFFUSION</v>
          </cell>
          <cell r="K533" t="str">
            <v>Fonctionnement</v>
          </cell>
        </row>
        <row r="534">
          <cell r="A534">
            <v>2018</v>
          </cell>
          <cell r="H534">
            <v>99000</v>
          </cell>
          <cell r="J534" t="str">
            <v>DIRECTION DE LA TELEDIFFUSION</v>
          </cell>
          <cell r="K534" t="str">
            <v>Fonctionnement</v>
          </cell>
        </row>
        <row r="535">
          <cell r="A535">
            <v>2018</v>
          </cell>
          <cell r="H535">
            <v>495000</v>
          </cell>
          <cell r="J535" t="str">
            <v>DIRECTION DE LA TELEDIFFUSION</v>
          </cell>
          <cell r="K535" t="str">
            <v>Fonctionnement</v>
          </cell>
        </row>
        <row r="536">
          <cell r="A536">
            <v>2018</v>
          </cell>
          <cell r="H536">
            <v>177600</v>
          </cell>
          <cell r="J536" t="str">
            <v>DIRECTION DE LA TELEDIFFUSION</v>
          </cell>
          <cell r="K536" t="str">
            <v>Fonctionnement</v>
          </cell>
        </row>
        <row r="537">
          <cell r="A537">
            <v>2018</v>
          </cell>
          <cell r="H537">
            <v>117504</v>
          </cell>
          <cell r="J537" t="str">
            <v>DIRECTION DE LA TELEDIFFUSION</v>
          </cell>
          <cell r="K537" t="str">
            <v>Fonctionnement</v>
          </cell>
        </row>
        <row r="538">
          <cell r="A538">
            <v>2018</v>
          </cell>
          <cell r="H538">
            <v>59890</v>
          </cell>
          <cell r="J538" t="str">
            <v>DIRECTION DE LA TELEDIFFUSION</v>
          </cell>
          <cell r="K538" t="str">
            <v>Fonctionnement</v>
          </cell>
        </row>
        <row r="539">
          <cell r="A539">
            <v>2018</v>
          </cell>
          <cell r="H539">
            <v>457319.11104000005</v>
          </cell>
          <cell r="J539" t="str">
            <v>DIRECTION DE LA TELEDIFFUSION</v>
          </cell>
          <cell r="K539" t="str">
            <v>Fonctionnement</v>
          </cell>
        </row>
        <row r="540">
          <cell r="A540">
            <v>2018</v>
          </cell>
          <cell r="H540">
            <v>114548.4</v>
          </cell>
          <cell r="J540" t="str">
            <v>DIRECTION DE LA TELEDIFFUSION</v>
          </cell>
          <cell r="K540" t="str">
            <v>Investissement</v>
          </cell>
        </row>
        <row r="541">
          <cell r="A541">
            <v>2018</v>
          </cell>
          <cell r="H541">
            <v>238830</v>
          </cell>
          <cell r="J541" t="str">
            <v>DIRECTION DE LA TELEDIFFUSION</v>
          </cell>
          <cell r="K541" t="str">
            <v>Investissement</v>
          </cell>
        </row>
        <row r="542">
          <cell r="A542">
            <v>2018</v>
          </cell>
          <cell r="H542">
            <v>44344</v>
          </cell>
          <cell r="J542" t="str">
            <v>DIRECTION DE LA TELEDIFFUSION</v>
          </cell>
          <cell r="K542" t="str">
            <v>Investissement</v>
          </cell>
        </row>
        <row r="543">
          <cell r="A543">
            <v>2018</v>
          </cell>
          <cell r="H543">
            <v>117145.44</v>
          </cell>
          <cell r="J543" t="str">
            <v>DIRECTION DE LA TELEDIFFUSION</v>
          </cell>
          <cell r="K543" t="str">
            <v>Investissement</v>
          </cell>
        </row>
        <row r="544">
          <cell r="A544">
            <v>2018</v>
          </cell>
          <cell r="H544">
            <v>473040</v>
          </cell>
          <cell r="J544" t="str">
            <v>DIRECTION DE LA TELEDIFFUSION</v>
          </cell>
          <cell r="K544" t="str">
            <v>Investissement</v>
          </cell>
        </row>
        <row r="545">
          <cell r="A545">
            <v>2018</v>
          </cell>
          <cell r="H545">
            <v>133464</v>
          </cell>
          <cell r="J545" t="str">
            <v>DIRECTION DE LA TELEDIFFUSION</v>
          </cell>
          <cell r="K545" t="str">
            <v>Investissement</v>
          </cell>
        </row>
        <row r="546">
          <cell r="A546">
            <v>2018</v>
          </cell>
          <cell r="H546">
            <v>498120</v>
          </cell>
          <cell r="J546" t="str">
            <v>DIRECTION DE LA TELEDIFFUSION</v>
          </cell>
          <cell r="K546" t="str">
            <v>Investissement</v>
          </cell>
        </row>
        <row r="547">
          <cell r="A547">
            <v>2018</v>
          </cell>
          <cell r="H547">
            <v>136896</v>
          </cell>
          <cell r="J547" t="str">
            <v>DIRECTION DE LA TELEDIFFUSION</v>
          </cell>
          <cell r="K547" t="str">
            <v>Investissement</v>
          </cell>
        </row>
        <row r="548">
          <cell r="A548">
            <v>2018</v>
          </cell>
          <cell r="H548">
            <v>60000</v>
          </cell>
          <cell r="J548" t="str">
            <v>DIRECTION DE LA TELEDIFFUSION</v>
          </cell>
          <cell r="K548" t="str">
            <v>Investissement</v>
          </cell>
        </row>
        <row r="549">
          <cell r="A549">
            <v>2018</v>
          </cell>
          <cell r="H549">
            <v>148200</v>
          </cell>
          <cell r="J549" t="str">
            <v>DIRECTION DE LA TELEDIFFUSION</v>
          </cell>
          <cell r="K549" t="str">
            <v>Investissement</v>
          </cell>
        </row>
        <row r="550">
          <cell r="A550">
            <v>2018</v>
          </cell>
          <cell r="H550">
            <v>99228</v>
          </cell>
          <cell r="J550" t="str">
            <v>DIRECTION DE LA TELEDIFFUSION</v>
          </cell>
          <cell r="K550" t="str">
            <v>Investissement</v>
          </cell>
        </row>
        <row r="551">
          <cell r="A551">
            <v>2018</v>
          </cell>
          <cell r="H551">
            <v>467964</v>
          </cell>
          <cell r="J551" t="str">
            <v>DIRECTION DE LA TELEDIFFUSION</v>
          </cell>
          <cell r="K551" t="str">
            <v>Investissement</v>
          </cell>
        </row>
        <row r="552">
          <cell r="A552">
            <v>2018</v>
          </cell>
          <cell r="H552">
            <v>298800</v>
          </cell>
          <cell r="J552" t="str">
            <v>DIRECTION DE LA TELEDIFFUSION</v>
          </cell>
          <cell r="K552" t="str">
            <v>Investissement</v>
          </cell>
        </row>
        <row r="553">
          <cell r="A553">
            <v>2018</v>
          </cell>
          <cell r="H553">
            <v>450882</v>
          </cell>
          <cell r="J553" t="str">
            <v>DIRECTION DE LA TELEDIFFUSION</v>
          </cell>
          <cell r="K553" t="str">
            <v>Investissement</v>
          </cell>
        </row>
        <row r="554">
          <cell r="A554">
            <v>2018</v>
          </cell>
          <cell r="H554">
            <v>492600</v>
          </cell>
          <cell r="J554" t="str">
            <v>DIRECTION DE LA TELEDIFFUSION</v>
          </cell>
          <cell r="K554" t="str">
            <v>Investissement</v>
          </cell>
        </row>
        <row r="555">
          <cell r="A555">
            <v>2018</v>
          </cell>
          <cell r="H555">
            <v>304884</v>
          </cell>
          <cell r="J555" t="str">
            <v>DIRECTION DE LA TELEDIFFUSION</v>
          </cell>
          <cell r="K555" t="str">
            <v>Investissement</v>
          </cell>
        </row>
        <row r="556">
          <cell r="A556">
            <v>2018</v>
          </cell>
          <cell r="H556">
            <v>82342.967999999993</v>
          </cell>
          <cell r="J556" t="str">
            <v>DIRECTION DE LA TELEDIFFUSION</v>
          </cell>
          <cell r="K556" t="str">
            <v>Investissement</v>
          </cell>
        </row>
        <row r="557">
          <cell r="A557">
            <v>2018</v>
          </cell>
          <cell r="H557">
            <v>94434</v>
          </cell>
          <cell r="J557" t="str">
            <v>DIRECTION DE LA TELEDIFFUSION</v>
          </cell>
          <cell r="K557" t="str">
            <v>Investissement</v>
          </cell>
        </row>
        <row r="558">
          <cell r="A558">
            <v>2018</v>
          </cell>
          <cell r="H558">
            <v>61000</v>
          </cell>
          <cell r="J558" t="str">
            <v>DIRECTION DE LA TELEDIFFUSION</v>
          </cell>
          <cell r="K558" t="str">
            <v>Investissement</v>
          </cell>
        </row>
        <row r="559">
          <cell r="A559">
            <v>2019</v>
          </cell>
          <cell r="H559">
            <v>47834.61</v>
          </cell>
          <cell r="J559" t="str">
            <v>DIRECTION DE LA TELEDIFFUSION</v>
          </cell>
          <cell r="K559" t="str">
            <v>Fonctionnement</v>
          </cell>
        </row>
        <row r="560">
          <cell r="A560">
            <v>2019</v>
          </cell>
          <cell r="H560">
            <v>51377.4</v>
          </cell>
          <cell r="J560" t="str">
            <v>DIRECTION DE LA TELEDIFFUSION</v>
          </cell>
          <cell r="K560" t="str">
            <v>Fonctionnement</v>
          </cell>
        </row>
        <row r="561">
          <cell r="A561">
            <v>2019</v>
          </cell>
          <cell r="H561">
            <v>58481</v>
          </cell>
          <cell r="J561" t="str">
            <v>DIRECTION DE LA TELEDIFFUSION</v>
          </cell>
          <cell r="K561" t="str">
            <v>Fonctionnement</v>
          </cell>
        </row>
        <row r="562">
          <cell r="A562">
            <v>2019</v>
          </cell>
          <cell r="H562">
            <v>135120</v>
          </cell>
          <cell r="J562" t="str">
            <v>DIRECTION DE LA TELEDIFFUSION</v>
          </cell>
          <cell r="K562" t="str">
            <v>Fonctionnement</v>
          </cell>
        </row>
        <row r="563">
          <cell r="A563">
            <v>2019</v>
          </cell>
          <cell r="H563">
            <v>264840</v>
          </cell>
          <cell r="J563" t="str">
            <v>DIRECTION DE LA TELEDIFFUSION</v>
          </cell>
          <cell r="K563" t="str">
            <v>Fonctionnement</v>
          </cell>
        </row>
        <row r="564">
          <cell r="A564">
            <v>2019</v>
          </cell>
          <cell r="H564">
            <v>441797.57</v>
          </cell>
          <cell r="J564" t="str">
            <v>DIRECTION DE LA TELEDIFFUSION</v>
          </cell>
          <cell r="K564" t="str">
            <v>Fonctionnement</v>
          </cell>
        </row>
        <row r="565">
          <cell r="A565">
            <v>2019</v>
          </cell>
          <cell r="H565">
            <v>43440</v>
          </cell>
          <cell r="J565" t="str">
            <v>DIRECTION DE LA TELEDIFFUSION</v>
          </cell>
          <cell r="K565" t="str">
            <v>Fonctionnement</v>
          </cell>
        </row>
        <row r="566">
          <cell r="A566">
            <v>2019</v>
          </cell>
          <cell r="H566">
            <v>78840</v>
          </cell>
          <cell r="J566" t="str">
            <v>DIRECTION DE LA TELEDIFFUSION</v>
          </cell>
          <cell r="K566" t="str">
            <v>Fonctionnement</v>
          </cell>
        </row>
        <row r="567">
          <cell r="A567">
            <v>2019</v>
          </cell>
          <cell r="H567">
            <v>28126</v>
          </cell>
          <cell r="J567" t="str">
            <v>DIRECTION DE LA TELEDIFFUSION</v>
          </cell>
          <cell r="K567" t="str">
            <v>Fonctionnement</v>
          </cell>
        </row>
        <row r="568">
          <cell r="A568">
            <v>2019</v>
          </cell>
          <cell r="H568">
            <v>57600</v>
          </cell>
          <cell r="J568" t="str">
            <v>DIRECTION DE LA TELEDIFFUSION</v>
          </cell>
          <cell r="K568" t="str">
            <v>Fonctionnement</v>
          </cell>
        </row>
        <row r="569">
          <cell r="A569">
            <v>2019</v>
          </cell>
          <cell r="H569">
            <v>67380</v>
          </cell>
          <cell r="J569" t="str">
            <v>DIRECTION DE LA TELEDIFFUSION</v>
          </cell>
          <cell r="K569" t="str">
            <v>Fonctionnement</v>
          </cell>
        </row>
        <row r="570">
          <cell r="A570">
            <v>2019</v>
          </cell>
          <cell r="H570">
            <v>395725.9</v>
          </cell>
          <cell r="J570" t="str">
            <v>DIRECTION DE LA TELEDIFFUSION</v>
          </cell>
          <cell r="K570" t="str">
            <v>Fonctionnement</v>
          </cell>
        </row>
        <row r="571">
          <cell r="A571">
            <v>2019</v>
          </cell>
          <cell r="H571">
            <v>24000</v>
          </cell>
          <cell r="J571" t="str">
            <v>DIRECTION DE LA TELEDIFFUSION</v>
          </cell>
          <cell r="K571" t="str">
            <v>Fonctionnement</v>
          </cell>
        </row>
        <row r="572">
          <cell r="A572">
            <v>2019</v>
          </cell>
          <cell r="H572">
            <v>68184</v>
          </cell>
          <cell r="J572" t="str">
            <v>DIRECTION DE LA TELEDIFFUSION</v>
          </cell>
          <cell r="K572" t="str">
            <v>Fonctionnement</v>
          </cell>
        </row>
        <row r="573">
          <cell r="A573">
            <v>2019</v>
          </cell>
          <cell r="H573">
            <v>8208</v>
          </cell>
          <cell r="J573" t="str">
            <v>DIRECTION DE LA TELEDIFFUSION</v>
          </cell>
          <cell r="K573" t="str">
            <v>Fonctionnement</v>
          </cell>
        </row>
        <row r="574">
          <cell r="A574">
            <v>2019</v>
          </cell>
          <cell r="H574">
            <v>291370.5</v>
          </cell>
          <cell r="J574" t="str">
            <v>DIRECTION DE LA TELEDIFFUSION</v>
          </cell>
          <cell r="K574" t="str">
            <v>Fonctionnement</v>
          </cell>
        </row>
        <row r="575">
          <cell r="A575">
            <v>2019</v>
          </cell>
          <cell r="H575">
            <v>34800</v>
          </cell>
          <cell r="J575" t="str">
            <v>DIRECTION DE LA TELEDIFFUSION</v>
          </cell>
          <cell r="K575" t="str">
            <v>Fonctionnement</v>
          </cell>
        </row>
        <row r="576">
          <cell r="A576">
            <v>2019</v>
          </cell>
          <cell r="H576">
            <v>39600</v>
          </cell>
          <cell r="J576" t="str">
            <v>DIRECTION DE LA TELEDIFFUSION</v>
          </cell>
          <cell r="K576" t="str">
            <v>Fonctionnement</v>
          </cell>
        </row>
        <row r="577">
          <cell r="A577">
            <v>2019</v>
          </cell>
          <cell r="H577">
            <v>1719.62</v>
          </cell>
          <cell r="J577" t="str">
            <v>DIRECTION DE LA TELEDIFFUSION</v>
          </cell>
          <cell r="K577" t="str">
            <v>Fonctionnement</v>
          </cell>
        </row>
        <row r="578">
          <cell r="A578">
            <v>2019</v>
          </cell>
          <cell r="H578">
            <v>15360</v>
          </cell>
          <cell r="J578" t="str">
            <v>DIRECTION DE LA TELEDIFFUSION</v>
          </cell>
          <cell r="K578" t="str">
            <v>Fonctionnement</v>
          </cell>
        </row>
        <row r="579">
          <cell r="A579">
            <v>2019</v>
          </cell>
          <cell r="H579">
            <v>228600</v>
          </cell>
          <cell r="J579" t="str">
            <v>DIRECTION DE LA TELEDIFFUSION</v>
          </cell>
          <cell r="K579" t="str">
            <v>Fonctionnement</v>
          </cell>
        </row>
        <row r="580">
          <cell r="A580">
            <v>2019</v>
          </cell>
          <cell r="H580">
            <v>432000</v>
          </cell>
          <cell r="J580" t="str">
            <v>DIRECTION DE LA TELEDIFFUSION</v>
          </cell>
          <cell r="K580" t="str">
            <v>Investissement</v>
          </cell>
        </row>
        <row r="581">
          <cell r="A581">
            <v>2019</v>
          </cell>
          <cell r="H581">
            <v>398160</v>
          </cell>
          <cell r="J581" t="str">
            <v>DIRECTION DE LA TELEDIFFUSION</v>
          </cell>
          <cell r="K581" t="str">
            <v>Investissement</v>
          </cell>
        </row>
        <row r="582">
          <cell r="A582">
            <v>2019</v>
          </cell>
          <cell r="H582">
            <v>101321.47</v>
          </cell>
          <cell r="J582" t="str">
            <v>DIRECTION DE LA TELEDIFFUSION</v>
          </cell>
          <cell r="K582" t="str">
            <v>Investissement</v>
          </cell>
        </row>
        <row r="583">
          <cell r="A583">
            <v>2019</v>
          </cell>
          <cell r="H583">
            <v>123148.8</v>
          </cell>
          <cell r="J583" t="str">
            <v>DIRECTION DE LA TELEDIFFUSION</v>
          </cell>
          <cell r="K583" t="str">
            <v>Investissement</v>
          </cell>
        </row>
        <row r="584">
          <cell r="A584">
            <v>2019</v>
          </cell>
          <cell r="H584">
            <v>108928.13</v>
          </cell>
          <cell r="J584" t="str">
            <v>DIRECTION DE LA TELEDIFFUSION</v>
          </cell>
          <cell r="K584" t="str">
            <v>Investissement</v>
          </cell>
        </row>
        <row r="585">
          <cell r="A585">
            <v>2019</v>
          </cell>
          <cell r="H585">
            <v>39999.983999999997</v>
          </cell>
          <cell r="J585" t="str">
            <v>DIRECTION DE LA TELEDIFFUSION</v>
          </cell>
          <cell r="K585" t="str">
            <v>Investissement</v>
          </cell>
        </row>
        <row r="586">
          <cell r="A586">
            <v>2019</v>
          </cell>
          <cell r="H586">
            <v>54780</v>
          </cell>
          <cell r="J586" t="str">
            <v>DIRECTION DE LA TELEDIFFUSION</v>
          </cell>
          <cell r="K586" t="str">
            <v>Investissement</v>
          </cell>
        </row>
        <row r="587">
          <cell r="A587">
            <v>2019</v>
          </cell>
          <cell r="H587">
            <v>396000</v>
          </cell>
          <cell r="J587" t="str">
            <v>DIRECTION DE LA TELEDIFFUSION</v>
          </cell>
          <cell r="K587" t="str">
            <v>Investissement</v>
          </cell>
        </row>
        <row r="588">
          <cell r="A588">
            <v>2019</v>
          </cell>
          <cell r="H588">
            <v>48000</v>
          </cell>
          <cell r="J588" t="str">
            <v>DIRECTION DE LA TELEDIFFUSION</v>
          </cell>
          <cell r="K588" t="str">
            <v>Investissement</v>
          </cell>
        </row>
        <row r="589">
          <cell r="A589">
            <v>2019</v>
          </cell>
          <cell r="H589">
            <v>46932</v>
          </cell>
          <cell r="J589" t="str">
            <v>DIRECTION DE LA TELEDIFFUSION</v>
          </cell>
          <cell r="K589" t="str">
            <v>Investissement</v>
          </cell>
        </row>
        <row r="590">
          <cell r="A590">
            <v>2019</v>
          </cell>
          <cell r="H590">
            <v>309600</v>
          </cell>
          <cell r="J590" t="str">
            <v>DIRECTION DE LA TELEDIFFUSION</v>
          </cell>
          <cell r="K590" t="str">
            <v>Investissement</v>
          </cell>
        </row>
        <row r="591">
          <cell r="A591">
            <v>2019</v>
          </cell>
          <cell r="H591">
            <v>92730</v>
          </cell>
          <cell r="J591" t="str">
            <v>DIRECTION DE LA TELEDIFFUSION</v>
          </cell>
          <cell r="K591" t="str">
            <v>Investissement</v>
          </cell>
        </row>
        <row r="592">
          <cell r="A592">
            <v>2019</v>
          </cell>
          <cell r="H592">
            <v>98670</v>
          </cell>
          <cell r="J592" t="str">
            <v>DIRECTION DE LA TELEDIFFUSION</v>
          </cell>
          <cell r="K592" t="str">
            <v>Investissement</v>
          </cell>
        </row>
        <row r="593">
          <cell r="A593">
            <v>2019</v>
          </cell>
          <cell r="H593">
            <v>72360</v>
          </cell>
          <cell r="J593" t="str">
            <v>DIRECTION DE LA TELEDIFFUSION</v>
          </cell>
          <cell r="K593" t="str">
            <v>Investissement</v>
          </cell>
        </row>
        <row r="594">
          <cell r="A594">
            <v>2019</v>
          </cell>
          <cell r="H594">
            <v>488682</v>
          </cell>
          <cell r="J594" t="str">
            <v>DIRECTION DE LA TELEDIFFUSION</v>
          </cell>
          <cell r="K594" t="str">
            <v>Investissement</v>
          </cell>
        </row>
        <row r="595">
          <cell r="A595">
            <v>2019</v>
          </cell>
          <cell r="H595">
            <v>136800</v>
          </cell>
          <cell r="J595" t="str">
            <v>DIRECTION DE LA TELEDIFFUSION</v>
          </cell>
          <cell r="K595" t="str">
            <v>Investissement</v>
          </cell>
        </row>
        <row r="596">
          <cell r="A596">
            <v>2019</v>
          </cell>
          <cell r="H596">
            <v>52800</v>
          </cell>
          <cell r="J596" t="str">
            <v>DIRECTION DE LA TELEDIFFUSION</v>
          </cell>
          <cell r="K596" t="str">
            <v>Investissement</v>
          </cell>
        </row>
        <row r="597">
          <cell r="A597">
            <v>2019</v>
          </cell>
          <cell r="H597">
            <v>16800</v>
          </cell>
          <cell r="J597" t="str">
            <v>DIRECTION DE LA TELEDIFFUSION</v>
          </cell>
          <cell r="K597" t="str">
            <v>Investissement</v>
          </cell>
        </row>
        <row r="598">
          <cell r="A598">
            <v>2019</v>
          </cell>
          <cell r="H598">
            <v>24000</v>
          </cell>
          <cell r="J598" t="str">
            <v>DIRECTION DE LA TELEDIFFUSION</v>
          </cell>
          <cell r="K598" t="str">
            <v>Investissement</v>
          </cell>
        </row>
        <row r="599">
          <cell r="A599">
            <v>2019</v>
          </cell>
          <cell r="H599">
            <v>31920</v>
          </cell>
          <cell r="J599" t="str">
            <v>DIRECTION DE LA TELEDIFFUSION</v>
          </cell>
          <cell r="K599" t="str">
            <v>Investissement</v>
          </cell>
        </row>
        <row r="600">
          <cell r="A600">
            <v>2019</v>
          </cell>
          <cell r="H600">
            <v>6000</v>
          </cell>
          <cell r="J600" t="str">
            <v>DIRECTION DE LA TELEDIFFUSION</v>
          </cell>
          <cell r="K600" t="str">
            <v>Investissement</v>
          </cell>
        </row>
        <row r="601">
          <cell r="A601">
            <v>2019</v>
          </cell>
          <cell r="H601">
            <v>108000</v>
          </cell>
          <cell r="J601" t="str">
            <v>DIRECTION DE LA TELEDIFFUSION</v>
          </cell>
          <cell r="K601" t="str">
            <v>Investissement</v>
          </cell>
        </row>
        <row r="602">
          <cell r="A602">
            <v>2019</v>
          </cell>
          <cell r="H602">
            <v>68400</v>
          </cell>
          <cell r="J602" t="str">
            <v>DIRECTION DE LA TELEDIFFUSION</v>
          </cell>
          <cell r="K602" t="str">
            <v>Investissement</v>
          </cell>
        </row>
        <row r="603">
          <cell r="A603">
            <v>2019</v>
          </cell>
          <cell r="H603">
            <v>146882.22</v>
          </cell>
          <cell r="J603" t="str">
            <v>DIRECTION DE LA TELEDIFFUSION</v>
          </cell>
          <cell r="K603" t="str">
            <v>Investissement</v>
          </cell>
        </row>
        <row r="604">
          <cell r="A604">
            <v>2019</v>
          </cell>
          <cell r="H604">
            <v>242400</v>
          </cell>
          <cell r="J604" t="str">
            <v>DIRECTION DE LA TELEDIFFUSION</v>
          </cell>
          <cell r="K604" t="str">
            <v>Investissement</v>
          </cell>
        </row>
        <row r="605">
          <cell r="A605">
            <v>2019</v>
          </cell>
          <cell r="H605">
            <v>156000</v>
          </cell>
          <cell r="J605" t="str">
            <v>DIRECTION DE LA TELEDIFFUSION</v>
          </cell>
          <cell r="K605" t="str">
            <v>Investissement</v>
          </cell>
        </row>
        <row r="606">
          <cell r="A606">
            <v>2019</v>
          </cell>
          <cell r="H606">
            <v>13200</v>
          </cell>
          <cell r="J606" t="str">
            <v>DIRECTION DE LA TELEDIFFUSION</v>
          </cell>
          <cell r="K606" t="str">
            <v>Investissement</v>
          </cell>
        </row>
        <row r="607">
          <cell r="A607">
            <v>2019</v>
          </cell>
          <cell r="H607">
            <v>22995.599999999999</v>
          </cell>
          <cell r="J607" t="str">
            <v>DIRECTION DE LA TELEDIFFUSION</v>
          </cell>
          <cell r="K607" t="str">
            <v>Investissement</v>
          </cell>
        </row>
        <row r="608">
          <cell r="A608">
            <v>2019</v>
          </cell>
          <cell r="H608">
            <v>19440</v>
          </cell>
          <cell r="J608" t="str">
            <v>DIRECTION DE LA TELEDIFFUSION</v>
          </cell>
          <cell r="K608" t="str">
            <v>Investissement</v>
          </cell>
        </row>
        <row r="609">
          <cell r="A609">
            <v>2019</v>
          </cell>
          <cell r="H609">
            <v>43344</v>
          </cell>
          <cell r="J609" t="str">
            <v>DIRECTION DE LA TELEDIFFUSION</v>
          </cell>
          <cell r="K609" t="str">
            <v>Investissement</v>
          </cell>
        </row>
        <row r="610">
          <cell r="A610">
            <v>2019</v>
          </cell>
          <cell r="H610">
            <v>14400</v>
          </cell>
          <cell r="J610" t="str">
            <v>DIRECTION DE LA TELEDIFFUSION</v>
          </cell>
          <cell r="K610" t="str">
            <v>Investissement</v>
          </cell>
        </row>
        <row r="611">
          <cell r="A611">
            <v>2019</v>
          </cell>
          <cell r="H611">
            <v>117360</v>
          </cell>
          <cell r="J611" t="str">
            <v>DIRECTION DE LA TELEDIFFUSION</v>
          </cell>
          <cell r="K611" t="str">
            <v>Investissement</v>
          </cell>
        </row>
        <row r="612">
          <cell r="A612">
            <v>2019</v>
          </cell>
          <cell r="H612">
            <v>35400</v>
          </cell>
          <cell r="J612" t="str">
            <v>DIRECTION DE LA TELEDIFFUSION</v>
          </cell>
          <cell r="K612" t="str">
            <v>Investissement</v>
          </cell>
        </row>
        <row r="613">
          <cell r="A613">
            <v>2020</v>
          </cell>
          <cell r="H613">
            <v>116400</v>
          </cell>
          <cell r="J613" t="str">
            <v>DIRECTION DE LA TELEDIFFUSION</v>
          </cell>
          <cell r="K613" t="str">
            <v>Fonctionnement</v>
          </cell>
        </row>
        <row r="614">
          <cell r="A614">
            <v>2020</v>
          </cell>
          <cell r="H614">
            <v>35232</v>
          </cell>
          <cell r="J614" t="str">
            <v>DIRECTION DE LA TELEDIFFUSION</v>
          </cell>
          <cell r="K614" t="str">
            <v>Fonctionnement</v>
          </cell>
        </row>
        <row r="615">
          <cell r="A615">
            <v>2020</v>
          </cell>
          <cell r="H615">
            <v>6790</v>
          </cell>
          <cell r="J615" t="str">
            <v>DIRECTION DE LA TELEDIFFUSION</v>
          </cell>
          <cell r="K615" t="str">
            <v>Fonctionnement</v>
          </cell>
        </row>
        <row r="616">
          <cell r="A616">
            <v>2020</v>
          </cell>
          <cell r="H616">
            <v>87950</v>
          </cell>
          <cell r="J616" t="str">
            <v>DIRECTION DE LA TELEDIFFUSION</v>
          </cell>
          <cell r="K616" t="str">
            <v>Fonctionnement</v>
          </cell>
        </row>
        <row r="617">
          <cell r="A617">
            <v>2020</v>
          </cell>
          <cell r="H617">
            <v>73854</v>
          </cell>
          <cell r="J617" t="str">
            <v>DIRECTION DE LA TELEDIFFUSION</v>
          </cell>
          <cell r="K617" t="str">
            <v>Fonctionnement</v>
          </cell>
        </row>
        <row r="618">
          <cell r="A618">
            <v>2020</v>
          </cell>
          <cell r="H618">
            <v>51000</v>
          </cell>
          <cell r="J618" t="str">
            <v>DIRECTION DE LA TELEDIFFUSION</v>
          </cell>
          <cell r="K618" t="str">
            <v>Fonctionnement</v>
          </cell>
        </row>
        <row r="619">
          <cell r="A619">
            <v>2020</v>
          </cell>
          <cell r="H619">
            <v>49200</v>
          </cell>
          <cell r="J619" t="str">
            <v>DIRECTION DE LA TELEDIFFUSION</v>
          </cell>
          <cell r="K619" t="str">
            <v>Fonctionnement</v>
          </cell>
        </row>
        <row r="620">
          <cell r="A620">
            <v>2020</v>
          </cell>
          <cell r="H620">
            <v>14080</v>
          </cell>
          <cell r="J620" t="str">
            <v>DIRECTION DE LA TELEDIFFUSION</v>
          </cell>
          <cell r="K620" t="str">
            <v>Fonctionnement</v>
          </cell>
        </row>
        <row r="621">
          <cell r="A621">
            <v>2020</v>
          </cell>
          <cell r="H621">
            <v>43500</v>
          </cell>
          <cell r="J621" t="str">
            <v>DIRECTION DE LA TELEDIFFUSION</v>
          </cell>
          <cell r="K621" t="str">
            <v>Fonctionnement</v>
          </cell>
        </row>
        <row r="622">
          <cell r="A622">
            <v>2020</v>
          </cell>
          <cell r="H622">
            <v>18755</v>
          </cell>
          <cell r="J622" t="str">
            <v>DIRECTION DE LA TELEDIFFUSION</v>
          </cell>
          <cell r="K622" t="str">
            <v>Fonctionnement</v>
          </cell>
        </row>
        <row r="623">
          <cell r="A623">
            <v>2020</v>
          </cell>
          <cell r="H623">
            <v>60016.000000000007</v>
          </cell>
          <cell r="J623" t="str">
            <v>DIRECTION DE LA TELEDIFFUSION</v>
          </cell>
          <cell r="K623" t="str">
            <v>Fonctionnement</v>
          </cell>
        </row>
        <row r="624">
          <cell r="A624">
            <v>2020</v>
          </cell>
          <cell r="H624">
            <v>28680</v>
          </cell>
          <cell r="J624" t="str">
            <v>DIRECTION DE LA TELEDIFFUSION</v>
          </cell>
          <cell r="K624" t="str">
            <v>Fonctionnement</v>
          </cell>
        </row>
        <row r="625">
          <cell r="A625">
            <v>2020</v>
          </cell>
          <cell r="H625">
            <v>19920</v>
          </cell>
          <cell r="J625" t="str">
            <v>DIRECTION DE LA TELEDIFFUSION</v>
          </cell>
          <cell r="K625" t="str">
            <v>Fonctionnement</v>
          </cell>
        </row>
        <row r="626">
          <cell r="A626">
            <v>2020</v>
          </cell>
          <cell r="H626">
            <v>120000</v>
          </cell>
          <cell r="J626" t="str">
            <v>DIRECTION DE LA TELEDIFFUSION</v>
          </cell>
          <cell r="K626" t="str">
            <v>Fonctionnement</v>
          </cell>
        </row>
        <row r="627">
          <cell r="A627">
            <v>2020</v>
          </cell>
          <cell r="H627">
            <v>79200</v>
          </cell>
          <cell r="J627" t="str">
            <v>DIRECTION DE LA TELEDIFFUSION</v>
          </cell>
          <cell r="K627" t="str">
            <v>Fonctionnement</v>
          </cell>
        </row>
        <row r="628">
          <cell r="A628">
            <v>2020</v>
          </cell>
          <cell r="H628">
            <v>119886</v>
          </cell>
          <cell r="J628" t="str">
            <v>DIRECTION DE LA TELEDIFFUSION</v>
          </cell>
          <cell r="K628" t="str">
            <v>Fonctionnement</v>
          </cell>
        </row>
        <row r="629">
          <cell r="A629">
            <v>2020</v>
          </cell>
          <cell r="H629">
            <v>58680</v>
          </cell>
          <cell r="J629" t="str">
            <v>DIRECTION DE LA TELEDIFFUSION</v>
          </cell>
          <cell r="K629" t="str">
            <v>Fonctionnement</v>
          </cell>
        </row>
        <row r="630">
          <cell r="A630">
            <v>2020</v>
          </cell>
          <cell r="H630">
            <v>165720</v>
          </cell>
          <cell r="J630" t="str">
            <v>DIRECTION DE LA TELEDIFFUSION</v>
          </cell>
          <cell r="K630" t="str">
            <v>Fonctionnement</v>
          </cell>
        </row>
        <row r="631">
          <cell r="A631">
            <v>2020</v>
          </cell>
          <cell r="H631">
            <v>392400</v>
          </cell>
          <cell r="J631" t="str">
            <v>DIRECTION DE LA TELEDIFFUSION</v>
          </cell>
          <cell r="K631" t="str">
            <v>Fonctionnement</v>
          </cell>
        </row>
        <row r="632">
          <cell r="A632">
            <v>2020</v>
          </cell>
          <cell r="H632">
            <v>46200.000000000007</v>
          </cell>
          <cell r="J632" t="str">
            <v>DIRECTION DE LA TELEDIFFUSION</v>
          </cell>
          <cell r="K632" t="str">
            <v>Fonctionnement</v>
          </cell>
        </row>
        <row r="633">
          <cell r="A633">
            <v>2020</v>
          </cell>
          <cell r="H633">
            <v>37950</v>
          </cell>
          <cell r="J633" t="str">
            <v>DIRECTION DE LA TELEDIFFUSION</v>
          </cell>
          <cell r="K633" t="str">
            <v>Fonctionnement</v>
          </cell>
        </row>
        <row r="634">
          <cell r="A634">
            <v>2020</v>
          </cell>
          <cell r="H634">
            <v>81864</v>
          </cell>
          <cell r="J634" t="str">
            <v>DIRECTION DE LA TELEDIFFUSION</v>
          </cell>
          <cell r="K634" t="str">
            <v>Investissement</v>
          </cell>
        </row>
        <row r="635">
          <cell r="A635">
            <v>2020</v>
          </cell>
          <cell r="H635">
            <v>220560</v>
          </cell>
          <cell r="J635" t="str">
            <v>DIRECTION DE LA TELEDIFFUSION</v>
          </cell>
          <cell r="K635" t="str">
            <v>Investissement</v>
          </cell>
        </row>
        <row r="636">
          <cell r="A636">
            <v>2020</v>
          </cell>
          <cell r="H636">
            <v>78414</v>
          </cell>
          <cell r="J636" t="str">
            <v>DIRECTION DE LA TELEDIFFUSION</v>
          </cell>
          <cell r="K636" t="str">
            <v>Investissement</v>
          </cell>
        </row>
        <row r="637">
          <cell r="A637">
            <v>2020</v>
          </cell>
          <cell r="H637">
            <v>52800</v>
          </cell>
          <cell r="J637" t="str">
            <v>DIRECTION DE LA TELEDIFFUSION</v>
          </cell>
          <cell r="K637" t="str">
            <v>Investissement</v>
          </cell>
        </row>
        <row r="638">
          <cell r="A638">
            <v>2020</v>
          </cell>
          <cell r="H638">
            <v>50400</v>
          </cell>
          <cell r="J638" t="str">
            <v>DIRECTION DE LA TELEDIFFUSION</v>
          </cell>
          <cell r="K638" t="str">
            <v>Investissement</v>
          </cell>
        </row>
        <row r="639">
          <cell r="A639">
            <v>2020</v>
          </cell>
          <cell r="H639">
            <v>30000</v>
          </cell>
          <cell r="J639" t="str">
            <v>DIRECTION DE LA TELEDIFFUSION</v>
          </cell>
          <cell r="K639" t="str">
            <v>Investissement</v>
          </cell>
        </row>
        <row r="640">
          <cell r="A640">
            <v>2020</v>
          </cell>
          <cell r="H640">
            <v>45396</v>
          </cell>
          <cell r="J640" t="str">
            <v>DIRECTION DE LA TELEDIFFUSION</v>
          </cell>
          <cell r="K640" t="str">
            <v>Investissement</v>
          </cell>
        </row>
        <row r="641">
          <cell r="A641">
            <v>2020</v>
          </cell>
          <cell r="H641">
            <v>36892.800000000003</v>
          </cell>
          <cell r="J641" t="str">
            <v>DIRECTION DE LA TELEDIFFUSION</v>
          </cell>
          <cell r="K641" t="str">
            <v>Investissement</v>
          </cell>
        </row>
        <row r="642">
          <cell r="A642">
            <v>2020</v>
          </cell>
          <cell r="H642">
            <v>474000</v>
          </cell>
          <cell r="J642" t="str">
            <v>DIRECTION DE LA TELEDIFFUSION</v>
          </cell>
          <cell r="K642" t="str">
            <v>Investissement</v>
          </cell>
        </row>
        <row r="643">
          <cell r="A643">
            <v>2020</v>
          </cell>
          <cell r="H643">
            <v>79800</v>
          </cell>
          <cell r="J643" t="str">
            <v>DIRECTION DE LA TELEDIFFUSION</v>
          </cell>
          <cell r="K643" t="str">
            <v>Investissement</v>
          </cell>
        </row>
        <row r="644">
          <cell r="A644">
            <v>2020</v>
          </cell>
          <cell r="H644">
            <v>55560</v>
          </cell>
          <cell r="J644" t="str">
            <v>DIRECTION DE LA TELEDIFFUSION</v>
          </cell>
          <cell r="K644" t="str">
            <v>Investissement</v>
          </cell>
        </row>
        <row r="645">
          <cell r="A645">
            <v>2020</v>
          </cell>
          <cell r="H645">
            <v>70010.28</v>
          </cell>
          <cell r="J645" t="str">
            <v>DIRECTION DE LA TELEDIFFUSION</v>
          </cell>
          <cell r="K645" t="str">
            <v>Investissement</v>
          </cell>
        </row>
        <row r="646">
          <cell r="A646">
            <v>2020</v>
          </cell>
          <cell r="H646">
            <v>47760</v>
          </cell>
          <cell r="J646" t="str">
            <v>DIRECTION DE LA TELEDIFFUSION</v>
          </cell>
          <cell r="K646" t="str">
            <v>Investissement</v>
          </cell>
        </row>
        <row r="647">
          <cell r="A647">
            <v>2020</v>
          </cell>
          <cell r="H647">
            <v>28800</v>
          </cell>
          <cell r="J647" t="str">
            <v>DIRECTION DE LA TELEDIFFUSION</v>
          </cell>
          <cell r="K647" t="str">
            <v>Investissement</v>
          </cell>
        </row>
        <row r="648">
          <cell r="A648">
            <v>2020</v>
          </cell>
          <cell r="H648">
            <v>18000</v>
          </cell>
          <cell r="J648" t="str">
            <v>DIRECTION DE LA TELEDIFFUSION</v>
          </cell>
          <cell r="K648" t="str">
            <v>Investissement</v>
          </cell>
        </row>
        <row r="649">
          <cell r="A649">
            <v>2020</v>
          </cell>
          <cell r="H649">
            <v>134844</v>
          </cell>
          <cell r="J649" t="str">
            <v>DIRECTION DE LA TELEDIFFUSION</v>
          </cell>
          <cell r="K649" t="str">
            <v>Investissement</v>
          </cell>
        </row>
        <row r="650">
          <cell r="A650">
            <v>2020</v>
          </cell>
          <cell r="H650">
            <v>195120</v>
          </cell>
          <cell r="J650" t="str">
            <v>DIRECTION DE LA TELEDIFFUSION</v>
          </cell>
          <cell r="K650" t="str">
            <v>Investissement</v>
          </cell>
        </row>
        <row r="651">
          <cell r="A651">
            <v>2020</v>
          </cell>
          <cell r="H651">
            <v>104640</v>
          </cell>
          <cell r="J651" t="str">
            <v>DIRECTION DE LA TELEDIFFUSION</v>
          </cell>
          <cell r="K651" t="str">
            <v>Investissement</v>
          </cell>
        </row>
        <row r="652">
          <cell r="A652">
            <v>2020</v>
          </cell>
          <cell r="H652">
            <v>72840</v>
          </cell>
          <cell r="J652" t="str">
            <v>DIRECTION DE LA TELEDIFFUSION</v>
          </cell>
          <cell r="K652" t="str">
            <v>Investissement</v>
          </cell>
        </row>
        <row r="653">
          <cell r="A653">
            <v>2020</v>
          </cell>
          <cell r="H653">
            <v>169800</v>
          </cell>
          <cell r="J653" t="str">
            <v>DIRECTION DE LA TELEDIFFUSION</v>
          </cell>
          <cell r="K653" t="str">
            <v>Investissement</v>
          </cell>
        </row>
        <row r="654">
          <cell r="A654">
            <v>2020</v>
          </cell>
          <cell r="H654">
            <v>125940</v>
          </cell>
          <cell r="J654" t="str">
            <v>DIRECTION DE LA TELEDIFFUSION</v>
          </cell>
          <cell r="K654" t="str">
            <v>Investissement</v>
          </cell>
        </row>
        <row r="655">
          <cell r="A655">
            <v>2020</v>
          </cell>
          <cell r="H655">
            <v>10800</v>
          </cell>
          <cell r="J655" t="str">
            <v>DIRECTION DE LA TELEDIFFUSION</v>
          </cell>
          <cell r="K655" t="str">
            <v>Investissement</v>
          </cell>
        </row>
        <row r="656">
          <cell r="A656">
            <v>2020</v>
          </cell>
          <cell r="H656">
            <v>81600</v>
          </cell>
          <cell r="J656" t="str">
            <v>DIRECTION DE LA TELEDIFFUSION</v>
          </cell>
          <cell r="K656" t="str">
            <v>Investissement</v>
          </cell>
        </row>
        <row r="657">
          <cell r="A657">
            <v>2020</v>
          </cell>
          <cell r="H657">
            <v>202800</v>
          </cell>
          <cell r="J657" t="str">
            <v>DIRECTION DE LA TELEDIFFUSION</v>
          </cell>
          <cell r="K657" t="str">
            <v>Investissement</v>
          </cell>
        </row>
        <row r="658">
          <cell r="A658">
            <v>2020</v>
          </cell>
          <cell r="H658">
            <v>57924.94</v>
          </cell>
          <cell r="J658" t="str">
            <v>DIRECTION DE LA TELEDIFFUSION</v>
          </cell>
          <cell r="K658" t="str">
            <v>Investissement</v>
          </cell>
        </row>
        <row r="659">
          <cell r="A659">
            <v>2020</v>
          </cell>
          <cell r="H659">
            <v>91860</v>
          </cell>
          <cell r="J659" t="str">
            <v>DIRECTION DE LA TELEDIFFUSION</v>
          </cell>
          <cell r="K659" t="str">
            <v>Investissement</v>
          </cell>
        </row>
        <row r="660">
          <cell r="A660">
            <v>2020</v>
          </cell>
          <cell r="H660">
            <v>259200</v>
          </cell>
          <cell r="J660" t="str">
            <v>DIRECTION DE LA TELEDIFFUSION</v>
          </cell>
          <cell r="K660" t="str">
            <v>Investissement</v>
          </cell>
        </row>
        <row r="661">
          <cell r="A661">
            <v>2020</v>
          </cell>
          <cell r="H661">
            <v>3719.64</v>
          </cell>
          <cell r="J661" t="str">
            <v>DIRECTION DE LA TELEDIFFUSION</v>
          </cell>
          <cell r="K661" t="str">
            <v>Investissement</v>
          </cell>
        </row>
        <row r="662">
          <cell r="A662">
            <v>2020</v>
          </cell>
          <cell r="H662">
            <v>121680</v>
          </cell>
          <cell r="J662" t="str">
            <v>DIRECTION DE LA TELEDIFFUSION</v>
          </cell>
          <cell r="K662" t="str">
            <v>Investissement</v>
          </cell>
        </row>
        <row r="663">
          <cell r="A663">
            <v>2020</v>
          </cell>
          <cell r="H663">
            <v>42987.503999999994</v>
          </cell>
          <cell r="J663" t="str">
            <v>DIRECTION DE LA TELEDIFFUSION</v>
          </cell>
          <cell r="K663" t="str">
            <v>Investissement</v>
          </cell>
        </row>
        <row r="664">
          <cell r="A664">
            <v>2016</v>
          </cell>
          <cell r="H664">
            <v>46788</v>
          </cell>
          <cell r="J664" t="str">
            <v>DIRECTION DE L'AUDIT ET DU CONTRÔLE DE LA GESTION</v>
          </cell>
          <cell r="K664" t="str">
            <v>Fonctionnement</v>
          </cell>
        </row>
        <row r="665">
          <cell r="A665">
            <v>2019</v>
          </cell>
          <cell r="H665">
            <v>99750</v>
          </cell>
          <cell r="J665" t="str">
            <v>DIRECTION DE L'AUDIT ET DU CONTRÔLE DE LA GESTION</v>
          </cell>
          <cell r="K665" t="str">
            <v>Fonctionnement</v>
          </cell>
        </row>
        <row r="666">
          <cell r="A666">
            <v>2019</v>
          </cell>
          <cell r="H666">
            <v>4920</v>
          </cell>
          <cell r="J666" t="str">
            <v>DIRECTION DE L'AUDIT ET DU CONTRÔLE DE LA GESTION</v>
          </cell>
          <cell r="K666" t="str">
            <v>Fonctionnement</v>
          </cell>
        </row>
        <row r="667">
          <cell r="A667">
            <v>2017</v>
          </cell>
          <cell r="H667">
            <v>69960</v>
          </cell>
          <cell r="J667" t="str">
            <v>DIRECTION DES ACHATS</v>
          </cell>
          <cell r="K667" t="str">
            <v>Fonctionnement</v>
          </cell>
        </row>
        <row r="668">
          <cell r="A668">
            <v>2017</v>
          </cell>
          <cell r="H668">
            <v>489600</v>
          </cell>
          <cell r="J668" t="str">
            <v>DIRECTION DES ACHATS</v>
          </cell>
          <cell r="K668" t="str">
            <v>Fonctionnement</v>
          </cell>
        </row>
        <row r="669">
          <cell r="A669">
            <v>2019</v>
          </cell>
          <cell r="H669">
            <v>165600</v>
          </cell>
          <cell r="J669" t="str">
            <v>DIRECTION DES ACHATS</v>
          </cell>
          <cell r="K669" t="str">
            <v>Fonctionnement</v>
          </cell>
        </row>
        <row r="670">
          <cell r="A670">
            <v>2019</v>
          </cell>
          <cell r="H670">
            <v>331200</v>
          </cell>
          <cell r="J670" t="str">
            <v>DIRECTION DES ACHATS</v>
          </cell>
          <cell r="K670" t="str">
            <v>Fonctionnement</v>
          </cell>
        </row>
        <row r="671">
          <cell r="A671">
            <v>2019</v>
          </cell>
          <cell r="H671">
            <v>12900.03</v>
          </cell>
          <cell r="J671" t="str">
            <v>DIRECTION DES ACHATS</v>
          </cell>
          <cell r="K671" t="str">
            <v>Fonctionnement</v>
          </cell>
        </row>
        <row r="672">
          <cell r="A672">
            <v>2019</v>
          </cell>
          <cell r="H672">
            <v>205200</v>
          </cell>
          <cell r="J672" t="str">
            <v>DIRECTION DES ACHATS</v>
          </cell>
          <cell r="K672" t="str">
            <v>Fonctionnement</v>
          </cell>
        </row>
        <row r="673">
          <cell r="A673">
            <v>2019</v>
          </cell>
          <cell r="H673">
            <v>19680</v>
          </cell>
          <cell r="J673" t="str">
            <v>DIRECTION DES ACHATS</v>
          </cell>
          <cell r="K673" t="str">
            <v>Fonctionnement</v>
          </cell>
        </row>
        <row r="674">
          <cell r="A674">
            <v>2019</v>
          </cell>
          <cell r="H674">
            <v>5679</v>
          </cell>
          <cell r="J674" t="str">
            <v>DIRECTION DES ACHATS</v>
          </cell>
          <cell r="K674" t="str">
            <v>Fonctionnement</v>
          </cell>
        </row>
        <row r="675">
          <cell r="A675">
            <v>2019</v>
          </cell>
          <cell r="H675">
            <v>88290</v>
          </cell>
          <cell r="J675" t="str">
            <v>DIRECTION DES ACHATS</v>
          </cell>
          <cell r="K675" t="str">
            <v>Fonctionnement</v>
          </cell>
        </row>
        <row r="676">
          <cell r="A676">
            <v>2019</v>
          </cell>
          <cell r="H676">
            <v>11663</v>
          </cell>
          <cell r="J676" t="str">
            <v>DIRECTION DES ACHATS</v>
          </cell>
          <cell r="K676" t="str">
            <v>Fonctionnement</v>
          </cell>
        </row>
        <row r="677">
          <cell r="A677">
            <v>2019</v>
          </cell>
          <cell r="H677">
            <v>12198</v>
          </cell>
          <cell r="J677" t="str">
            <v>DIRECTION DES ACHATS</v>
          </cell>
          <cell r="K677" t="str">
            <v>Fonctionnement</v>
          </cell>
        </row>
        <row r="678">
          <cell r="A678">
            <v>2019</v>
          </cell>
          <cell r="H678">
            <v>17665.699999999997</v>
          </cell>
          <cell r="J678" t="str">
            <v>DIRECTION DES ACHATS</v>
          </cell>
          <cell r="K678" t="str">
            <v>Fonctionnement</v>
          </cell>
        </row>
        <row r="679">
          <cell r="A679">
            <v>2020</v>
          </cell>
          <cell r="H679">
            <v>4883</v>
          </cell>
          <cell r="J679" t="str">
            <v>DIRECTION DES ACHATS</v>
          </cell>
          <cell r="K679" t="str">
            <v>Fonctionnement</v>
          </cell>
        </row>
        <row r="680">
          <cell r="A680">
            <v>2020</v>
          </cell>
          <cell r="H680">
            <v>10220</v>
          </cell>
          <cell r="J680" t="str">
            <v>DIRECTION DES ACHATS</v>
          </cell>
          <cell r="K680" t="str">
            <v>Fonctionnement</v>
          </cell>
        </row>
        <row r="681">
          <cell r="A681">
            <v>2020</v>
          </cell>
          <cell r="H681">
            <v>111700</v>
          </cell>
          <cell r="J681" t="str">
            <v>DIRECTION DES ACHATS</v>
          </cell>
          <cell r="K681" t="str">
            <v>Fonctionnement</v>
          </cell>
        </row>
        <row r="682">
          <cell r="A682">
            <v>2017</v>
          </cell>
          <cell r="H682">
            <v>264150</v>
          </cell>
          <cell r="J682" t="str">
            <v>DIRECTION DES CHAÎNES CORANIQUES TV RADIO</v>
          </cell>
          <cell r="K682" t="str">
            <v>Investissement</v>
          </cell>
        </row>
        <row r="683">
          <cell r="A683">
            <v>2019</v>
          </cell>
          <cell r="H683">
            <v>24532.799999999999</v>
          </cell>
          <cell r="J683" t="str">
            <v>DIRECTION DES CHAÎNES CORANIQUES TV RADIO</v>
          </cell>
          <cell r="K683" t="str">
            <v>Fonctionnement</v>
          </cell>
        </row>
        <row r="684">
          <cell r="A684">
            <v>2019</v>
          </cell>
          <cell r="H684">
            <v>357600</v>
          </cell>
          <cell r="J684" t="str">
            <v>DIRECTION DES CHAÎNES CORANIQUES TV RADIO</v>
          </cell>
          <cell r="K684" t="str">
            <v>Investissement</v>
          </cell>
        </row>
        <row r="685">
          <cell r="A685">
            <v>2020</v>
          </cell>
          <cell r="H685">
            <v>153720</v>
          </cell>
          <cell r="J685" t="str">
            <v>DIRECTION DES CHAÎNES CORANIQUES TV RADIO</v>
          </cell>
          <cell r="K685" t="str">
            <v>Fonctionnement</v>
          </cell>
        </row>
        <row r="686">
          <cell r="A686">
            <v>2020</v>
          </cell>
          <cell r="H686">
            <v>446400</v>
          </cell>
          <cell r="J686" t="str">
            <v>DIRECTION DES CHAÎNES CORANIQUES TV RADIO</v>
          </cell>
          <cell r="K686" t="str">
            <v>Investissement</v>
          </cell>
        </row>
        <row r="687">
          <cell r="A687">
            <v>2017</v>
          </cell>
          <cell r="H687">
            <v>32000</v>
          </cell>
          <cell r="J687" t="str">
            <v>DIRECTION DES RESSOURCES HUMAINES</v>
          </cell>
          <cell r="K687" t="str">
            <v>Fonctionnement</v>
          </cell>
        </row>
        <row r="688">
          <cell r="A688">
            <v>2017</v>
          </cell>
          <cell r="H688">
            <v>455787</v>
          </cell>
          <cell r="J688" t="str">
            <v>DIRECTION DES RESSOURCES HUMAINES</v>
          </cell>
          <cell r="K688" t="str">
            <v>Fonctionnement</v>
          </cell>
        </row>
        <row r="689">
          <cell r="A689">
            <v>2019</v>
          </cell>
          <cell r="H689">
            <v>91680</v>
          </cell>
          <cell r="J689" t="str">
            <v>DIRECTION DES RESSOURCES HUMAINES</v>
          </cell>
          <cell r="K689" t="str">
            <v>Fonctionnement</v>
          </cell>
        </row>
        <row r="690">
          <cell r="A690">
            <v>2020</v>
          </cell>
          <cell r="H690">
            <v>34440</v>
          </cell>
          <cell r="J690" t="str">
            <v>DIRECTION DES RESSOURCES HUMAINES</v>
          </cell>
          <cell r="K690" t="str">
            <v>Fonctionnement</v>
          </cell>
        </row>
        <row r="691">
          <cell r="A691">
            <v>2020</v>
          </cell>
          <cell r="H691">
            <v>90607.8</v>
          </cell>
          <cell r="J691" t="str">
            <v>DIRECTION DES RESSOURCES HUMAINES</v>
          </cell>
          <cell r="K691" t="str">
            <v>Fonctionnement</v>
          </cell>
        </row>
        <row r="692">
          <cell r="A692">
            <v>2020</v>
          </cell>
          <cell r="H692">
            <v>24120</v>
          </cell>
          <cell r="J692" t="str">
            <v>DIRECTION DES RESSOURCES HUMAINES</v>
          </cell>
          <cell r="K692" t="str">
            <v>Fonctionnement</v>
          </cell>
        </row>
        <row r="693">
          <cell r="A693">
            <v>2020</v>
          </cell>
          <cell r="H693">
            <v>47520</v>
          </cell>
          <cell r="J693" t="str">
            <v>DIRECTION DES RESSOURCES HUMAINES</v>
          </cell>
          <cell r="K693" t="str">
            <v>Fonctionnement</v>
          </cell>
        </row>
        <row r="694">
          <cell r="A694">
            <v>2020</v>
          </cell>
          <cell r="H694">
            <v>77526</v>
          </cell>
          <cell r="J694" t="str">
            <v>DIRECTION DES RESSOURCES HUMAINES</v>
          </cell>
          <cell r="K694" t="str">
            <v>Fonctionnement</v>
          </cell>
        </row>
        <row r="695">
          <cell r="A695">
            <v>2020</v>
          </cell>
          <cell r="H695">
            <v>47520</v>
          </cell>
          <cell r="J695" t="str">
            <v>DIRECTION DES RESSOURCES HUMAINES</v>
          </cell>
          <cell r="K695" t="str">
            <v>Fonctionnement</v>
          </cell>
        </row>
        <row r="696">
          <cell r="A696">
            <v>2020</v>
          </cell>
          <cell r="H696">
            <v>65610.600000000006</v>
          </cell>
          <cell r="J696" t="str">
            <v>DIRECTION DES RESSOURCES HUMAINES</v>
          </cell>
          <cell r="K696" t="str">
            <v>Fonctionnement</v>
          </cell>
        </row>
        <row r="697">
          <cell r="A697">
            <v>2020</v>
          </cell>
          <cell r="H697">
            <v>60840</v>
          </cell>
          <cell r="J697" t="str">
            <v>DIRECTION DES RESSOURCES HUMAINES</v>
          </cell>
          <cell r="K697" t="str">
            <v>Fonctionnement</v>
          </cell>
        </row>
        <row r="698">
          <cell r="A698">
            <v>2020</v>
          </cell>
          <cell r="H698">
            <v>13750.000000000002</v>
          </cell>
          <cell r="J698" t="str">
            <v>DIRECTION DES RESSOURCES HUMAINES</v>
          </cell>
          <cell r="K698" t="str">
            <v>Fonctionnement</v>
          </cell>
        </row>
        <row r="699">
          <cell r="A699">
            <v>2020</v>
          </cell>
          <cell r="H699">
            <v>53210.400000000001</v>
          </cell>
          <cell r="J699" t="str">
            <v>DIRECTION DES RESSOURCES HUMAINES</v>
          </cell>
          <cell r="K699" t="str">
            <v>Fonctionnement</v>
          </cell>
        </row>
        <row r="700">
          <cell r="A700">
            <v>2020</v>
          </cell>
          <cell r="H700">
            <v>99000</v>
          </cell>
          <cell r="J700" t="str">
            <v>DIRECTION DES RESSOURCES HUMAINES</v>
          </cell>
          <cell r="K700" t="str">
            <v>Fonctionnement</v>
          </cell>
        </row>
        <row r="701">
          <cell r="A701">
            <v>2020</v>
          </cell>
          <cell r="H701">
            <v>60000</v>
          </cell>
          <cell r="J701" t="str">
            <v>DIRECTION DES RESSOURCES HUMAINES</v>
          </cell>
          <cell r="K701" t="str">
            <v>Investissement</v>
          </cell>
        </row>
        <row r="702">
          <cell r="A702">
            <v>2020</v>
          </cell>
          <cell r="H702">
            <v>28368</v>
          </cell>
          <cell r="J702" t="str">
            <v>DIRECTION DES RESSOURCES HUMAINES</v>
          </cell>
          <cell r="K702" t="str">
            <v>Investissement</v>
          </cell>
        </row>
        <row r="703">
          <cell r="A703">
            <v>2016</v>
          </cell>
          <cell r="H703">
            <v>470400</v>
          </cell>
          <cell r="J703" t="str">
            <v>DIRECTION DES SYSTEMES D'INFORMATION</v>
          </cell>
          <cell r="K703" t="str">
            <v>Fonctionnement</v>
          </cell>
        </row>
        <row r="704">
          <cell r="A704">
            <v>2016</v>
          </cell>
          <cell r="H704">
            <v>456436.8</v>
          </cell>
          <cell r="J704" t="str">
            <v>DIRECTION DES SYSTEMES D'INFORMATION</v>
          </cell>
          <cell r="K704" t="str">
            <v>Fonctionnement</v>
          </cell>
        </row>
        <row r="705">
          <cell r="A705">
            <v>2016</v>
          </cell>
          <cell r="H705">
            <v>496800</v>
          </cell>
          <cell r="J705" t="str">
            <v>DIRECTION DES SYSTEMES D'INFORMATION</v>
          </cell>
          <cell r="K705" t="str">
            <v>Fonctionnement</v>
          </cell>
        </row>
        <row r="706">
          <cell r="A706">
            <v>2016</v>
          </cell>
          <cell r="H706">
            <v>158659.20000000001</v>
          </cell>
          <cell r="J706" t="str">
            <v>DIRECTION DES SYSTEMES D'INFORMATION</v>
          </cell>
          <cell r="K706" t="str">
            <v>Fonctionnement</v>
          </cell>
        </row>
        <row r="707">
          <cell r="A707">
            <v>2016</v>
          </cell>
          <cell r="H707">
            <v>207100</v>
          </cell>
          <cell r="J707" t="str">
            <v>DIRECTION DES SYSTEMES D'INFORMATION</v>
          </cell>
          <cell r="K707" t="str">
            <v>Fonctionnement</v>
          </cell>
        </row>
        <row r="708">
          <cell r="A708">
            <v>2016</v>
          </cell>
          <cell r="H708">
            <v>427968</v>
          </cell>
          <cell r="J708" t="str">
            <v>DIRECTION DES SYSTEMES D'INFORMATION</v>
          </cell>
          <cell r="K708" t="str">
            <v>Investissement</v>
          </cell>
        </row>
        <row r="709">
          <cell r="A709">
            <v>2016</v>
          </cell>
          <cell r="H709">
            <v>75864</v>
          </cell>
          <cell r="J709" t="str">
            <v>DIRECTION DES SYSTEMES D'INFORMATION</v>
          </cell>
          <cell r="K709" t="str">
            <v>Investissement</v>
          </cell>
        </row>
        <row r="710">
          <cell r="A710">
            <v>2016</v>
          </cell>
          <cell r="H710">
            <v>269760</v>
          </cell>
          <cell r="J710" t="str">
            <v>DIRECTION DES SYSTEMES D'INFORMATION</v>
          </cell>
          <cell r="K710" t="str">
            <v>Investissement</v>
          </cell>
        </row>
        <row r="711">
          <cell r="A711">
            <v>2017</v>
          </cell>
          <cell r="H711">
            <v>248850</v>
          </cell>
          <cell r="J711" t="str">
            <v>DIRECTION DES SYSTEMES D'INFORMATION</v>
          </cell>
          <cell r="K711" t="str">
            <v>Fonctionnement</v>
          </cell>
        </row>
        <row r="712">
          <cell r="A712">
            <v>2017</v>
          </cell>
          <cell r="H712">
            <v>388684.79999999999</v>
          </cell>
          <cell r="J712" t="str">
            <v>DIRECTION DES SYSTEMES D'INFORMATION</v>
          </cell>
          <cell r="K712" t="str">
            <v>Fonctionnement</v>
          </cell>
        </row>
        <row r="713">
          <cell r="A713">
            <v>2017</v>
          </cell>
          <cell r="H713">
            <v>422871.36</v>
          </cell>
          <cell r="J713" t="str">
            <v>DIRECTION DES SYSTEMES D'INFORMATION</v>
          </cell>
          <cell r="K713" t="str">
            <v>Fonctionnement</v>
          </cell>
        </row>
        <row r="714">
          <cell r="A714">
            <v>2017</v>
          </cell>
          <cell r="H714">
            <v>117600</v>
          </cell>
          <cell r="J714" t="str">
            <v>DIRECTION DES SYSTEMES D'INFORMATION</v>
          </cell>
          <cell r="K714" t="str">
            <v>Fonctionnement</v>
          </cell>
        </row>
        <row r="715">
          <cell r="A715">
            <v>2018</v>
          </cell>
          <cell r="H715">
            <v>489170.69</v>
          </cell>
          <cell r="J715" t="str">
            <v>DIRECTION DES SYSTEMES D'INFORMATION</v>
          </cell>
          <cell r="K715" t="str">
            <v>Fonctionnement</v>
          </cell>
        </row>
        <row r="716">
          <cell r="A716">
            <v>2018</v>
          </cell>
          <cell r="H716">
            <v>87600</v>
          </cell>
          <cell r="J716" t="str">
            <v>DIRECTION DES SYSTEMES D'INFORMATION</v>
          </cell>
          <cell r="K716" t="str">
            <v>Fonctionnement</v>
          </cell>
        </row>
        <row r="717">
          <cell r="A717">
            <v>2018</v>
          </cell>
          <cell r="H717">
            <v>270000</v>
          </cell>
          <cell r="J717" t="str">
            <v>DIRECTION DES SYSTEMES D'INFORMATION</v>
          </cell>
          <cell r="K717" t="str">
            <v>Fonctionnement</v>
          </cell>
        </row>
        <row r="718">
          <cell r="A718">
            <v>2018</v>
          </cell>
          <cell r="H718">
            <v>293400</v>
          </cell>
          <cell r="J718" t="str">
            <v>DIRECTION DES SYSTEMES D'INFORMATION</v>
          </cell>
          <cell r="K718" t="str">
            <v>Fonctionnement</v>
          </cell>
        </row>
        <row r="719">
          <cell r="A719">
            <v>2018</v>
          </cell>
          <cell r="H719">
            <v>151200</v>
          </cell>
          <cell r="J719" t="str">
            <v>DIRECTION DES SYSTEMES D'INFORMATION</v>
          </cell>
          <cell r="K719" t="str">
            <v>Fonctionnement</v>
          </cell>
        </row>
        <row r="720">
          <cell r="A720">
            <v>2018</v>
          </cell>
          <cell r="H720">
            <v>148180.02815</v>
          </cell>
          <cell r="J720" t="str">
            <v>DIRECTION DES SYSTEMES D'INFORMATION</v>
          </cell>
          <cell r="K720" t="str">
            <v>Fonctionnement</v>
          </cell>
        </row>
        <row r="721">
          <cell r="A721">
            <v>2018</v>
          </cell>
          <cell r="H721">
            <v>402462</v>
          </cell>
          <cell r="J721" t="str">
            <v>DIRECTION DES SYSTEMES D'INFORMATION</v>
          </cell>
          <cell r="K721" t="str">
            <v>Investissement</v>
          </cell>
        </row>
        <row r="722">
          <cell r="A722">
            <v>2018</v>
          </cell>
          <cell r="H722">
            <v>449683</v>
          </cell>
          <cell r="J722" t="str">
            <v>DIRECTION DES SYSTEMES D'INFORMATION</v>
          </cell>
          <cell r="K722" t="str">
            <v>Investissement</v>
          </cell>
        </row>
        <row r="723">
          <cell r="A723">
            <v>2019</v>
          </cell>
          <cell r="H723">
            <v>499656</v>
          </cell>
          <cell r="J723" t="str">
            <v>DIRECTION DES SYSTEMES D'INFORMATION</v>
          </cell>
          <cell r="K723" t="str">
            <v>Fonctionnement</v>
          </cell>
        </row>
        <row r="724">
          <cell r="A724">
            <v>2019</v>
          </cell>
          <cell r="H724">
            <v>429840</v>
          </cell>
          <cell r="J724" t="str">
            <v>DIRECTION DES SYSTEMES D'INFORMATION</v>
          </cell>
          <cell r="K724" t="str">
            <v>Fonctionnement</v>
          </cell>
        </row>
        <row r="725">
          <cell r="A725">
            <v>2019</v>
          </cell>
          <cell r="H725">
            <v>199620</v>
          </cell>
          <cell r="J725" t="str">
            <v>DIRECTION DES SYSTEMES D'INFORMATION</v>
          </cell>
          <cell r="K725" t="str">
            <v>Fonctionnement</v>
          </cell>
        </row>
        <row r="726">
          <cell r="A726">
            <v>2019</v>
          </cell>
          <cell r="H726">
            <v>15360</v>
          </cell>
          <cell r="J726" t="str">
            <v>DIRECTION DES SYSTEMES D'INFORMATION</v>
          </cell>
          <cell r="K726" t="str">
            <v>Fonctionnement</v>
          </cell>
        </row>
        <row r="727">
          <cell r="A727">
            <v>2019</v>
          </cell>
          <cell r="H727">
            <v>15000</v>
          </cell>
          <cell r="J727" t="str">
            <v>DIRECTION DES SYSTEMES D'INFORMATION</v>
          </cell>
          <cell r="K727" t="str">
            <v>Fonctionnement</v>
          </cell>
        </row>
        <row r="728">
          <cell r="A728">
            <v>2019</v>
          </cell>
          <cell r="H728">
            <v>153120</v>
          </cell>
          <cell r="J728" t="str">
            <v>DIRECTION DES SYSTEMES D'INFORMATION</v>
          </cell>
          <cell r="K728" t="str">
            <v>Fonctionnement</v>
          </cell>
        </row>
        <row r="729">
          <cell r="A729">
            <v>2019</v>
          </cell>
          <cell r="H729">
            <v>35640</v>
          </cell>
          <cell r="J729" t="str">
            <v>DIRECTION DES SYSTEMES D'INFORMATION</v>
          </cell>
          <cell r="K729" t="str">
            <v>Fonctionnement</v>
          </cell>
        </row>
        <row r="730">
          <cell r="A730">
            <v>2019</v>
          </cell>
          <cell r="H730">
            <v>4380</v>
          </cell>
          <cell r="J730" t="str">
            <v>DIRECTION DES SYSTEMES D'INFORMATION</v>
          </cell>
          <cell r="K730" t="str">
            <v>Fonctionnement</v>
          </cell>
        </row>
        <row r="731">
          <cell r="A731">
            <v>2019</v>
          </cell>
          <cell r="H731">
            <v>13200</v>
          </cell>
          <cell r="J731" t="str">
            <v>DIRECTION DES SYSTEMES D'INFORMATION</v>
          </cell>
          <cell r="K731" t="str">
            <v>Fonctionnement</v>
          </cell>
        </row>
        <row r="732">
          <cell r="A732">
            <v>2019</v>
          </cell>
          <cell r="H732">
            <v>5198.3999999999996</v>
          </cell>
          <cell r="J732" t="str">
            <v>DIRECTION DES SYSTEMES D'INFORMATION</v>
          </cell>
          <cell r="K732" t="str">
            <v>Fonctionnement</v>
          </cell>
        </row>
        <row r="733">
          <cell r="A733">
            <v>2019</v>
          </cell>
          <cell r="H733">
            <v>475653.125</v>
          </cell>
          <cell r="J733" t="str">
            <v>DIRECTION DES SYSTEMES D'INFORMATION</v>
          </cell>
          <cell r="K733" t="str">
            <v>Fonctionnement</v>
          </cell>
        </row>
        <row r="734">
          <cell r="A734">
            <v>2019</v>
          </cell>
          <cell r="H734">
            <v>498000</v>
          </cell>
          <cell r="J734" t="str">
            <v>DIRECTION DES SYSTEMES D'INFORMATION</v>
          </cell>
          <cell r="K734" t="str">
            <v>Investissement</v>
          </cell>
        </row>
        <row r="735">
          <cell r="A735">
            <v>2019</v>
          </cell>
          <cell r="H735">
            <v>497863.8</v>
          </cell>
          <cell r="J735" t="str">
            <v>DIRECTION DES SYSTEMES D'INFORMATION</v>
          </cell>
          <cell r="K735" t="str">
            <v>Investissement</v>
          </cell>
        </row>
        <row r="736">
          <cell r="A736">
            <v>2019</v>
          </cell>
          <cell r="H736">
            <v>198547.20000000001</v>
          </cell>
          <cell r="J736" t="str">
            <v>DIRECTION DES SYSTEMES D'INFORMATION</v>
          </cell>
          <cell r="K736" t="str">
            <v>Investissement</v>
          </cell>
        </row>
        <row r="737">
          <cell r="A737">
            <v>2019</v>
          </cell>
          <cell r="H737">
            <v>285600</v>
          </cell>
          <cell r="J737" t="str">
            <v>DIRECTION DES SYSTEMES D'INFORMATION</v>
          </cell>
          <cell r="K737" t="str">
            <v>Investissement</v>
          </cell>
        </row>
        <row r="738">
          <cell r="A738">
            <v>2019</v>
          </cell>
          <cell r="H738">
            <v>403931.76</v>
          </cell>
          <cell r="J738" t="str">
            <v>DIRECTION DES SYSTEMES D'INFORMATION</v>
          </cell>
          <cell r="K738" t="str">
            <v>Investissement</v>
          </cell>
        </row>
        <row r="739">
          <cell r="A739">
            <v>2019</v>
          </cell>
          <cell r="H739">
            <v>239473.2</v>
          </cell>
          <cell r="J739" t="str">
            <v>DIRECTION DES SYSTEMES D'INFORMATION</v>
          </cell>
          <cell r="K739" t="str">
            <v>Investissement</v>
          </cell>
        </row>
        <row r="740">
          <cell r="A740">
            <v>2019</v>
          </cell>
          <cell r="H740">
            <v>498000</v>
          </cell>
          <cell r="J740" t="str">
            <v>DIRECTION DES SYSTEMES D'INFORMATION</v>
          </cell>
          <cell r="K740" t="str">
            <v>Investissement</v>
          </cell>
        </row>
        <row r="741">
          <cell r="A741">
            <v>2020</v>
          </cell>
          <cell r="H741">
            <v>24000</v>
          </cell>
          <cell r="J741" t="str">
            <v>DIRECTION DES SYSTEMES D'INFORMATION</v>
          </cell>
          <cell r="K741" t="str">
            <v>Fonctionnement</v>
          </cell>
        </row>
        <row r="742">
          <cell r="A742">
            <v>2020</v>
          </cell>
          <cell r="H742">
            <v>207540</v>
          </cell>
          <cell r="J742" t="str">
            <v>DIRECTION DES SYSTEMES D'INFORMATION</v>
          </cell>
          <cell r="K742" t="str">
            <v>Fonctionnement</v>
          </cell>
        </row>
        <row r="743">
          <cell r="A743">
            <v>2020</v>
          </cell>
          <cell r="H743">
            <v>234000</v>
          </cell>
          <cell r="J743" t="str">
            <v>DIRECTION DES SYSTEMES D'INFORMATION</v>
          </cell>
          <cell r="K743" t="str">
            <v>Fonctionnement</v>
          </cell>
        </row>
        <row r="744">
          <cell r="A744">
            <v>2020</v>
          </cell>
          <cell r="H744">
            <v>224400</v>
          </cell>
          <cell r="J744" t="str">
            <v>DIRECTION DES SYSTEMES D'INFORMATION</v>
          </cell>
          <cell r="K744" t="str">
            <v>Fonctionnement</v>
          </cell>
        </row>
        <row r="745">
          <cell r="A745">
            <v>2020</v>
          </cell>
          <cell r="H745">
            <v>196911.5264</v>
          </cell>
          <cell r="J745" t="str">
            <v>DIRECTION DES SYSTEMES D'INFORMATION</v>
          </cell>
          <cell r="K745" t="str">
            <v>Fonctionnement</v>
          </cell>
        </row>
        <row r="746">
          <cell r="A746">
            <v>2020</v>
          </cell>
          <cell r="H746">
            <v>117600</v>
          </cell>
          <cell r="J746" t="str">
            <v>DIRECTION DES SYSTEMES D'INFORMATION</v>
          </cell>
          <cell r="K746" t="str">
            <v>Fonctionnement</v>
          </cell>
        </row>
        <row r="747">
          <cell r="A747">
            <v>2016</v>
          </cell>
          <cell r="H747">
            <v>159000</v>
          </cell>
          <cell r="J747" t="str">
            <v>DIRECTION DU PATRIMOINE  ET DES MOYENS GENERAUX</v>
          </cell>
          <cell r="K747" t="str">
            <v>Investissement</v>
          </cell>
        </row>
        <row r="748">
          <cell r="A748">
            <v>2016</v>
          </cell>
          <cell r="H748">
            <v>333600</v>
          </cell>
          <cell r="J748" t="str">
            <v>DIRECTION DU PATRIMOINE  ET DES MOYENS GENERAUX</v>
          </cell>
          <cell r="K748" t="str">
            <v>Investissement</v>
          </cell>
        </row>
        <row r="749">
          <cell r="A749">
            <v>2016</v>
          </cell>
          <cell r="H749">
            <v>142128</v>
          </cell>
          <cell r="J749" t="str">
            <v>DIRECTION DU PATRIMOINE  ET DES MOYENS GENERAUX</v>
          </cell>
          <cell r="K749" t="str">
            <v>Fonctionnement</v>
          </cell>
        </row>
        <row r="750">
          <cell r="A750">
            <v>2016</v>
          </cell>
          <cell r="H750">
            <v>186466.32</v>
          </cell>
          <cell r="J750" t="str">
            <v>DIRECTION DU PATRIMOINE  ET DES MOYENS GENERAUX</v>
          </cell>
          <cell r="K750" t="str">
            <v>Fonctionnement</v>
          </cell>
        </row>
        <row r="751">
          <cell r="A751">
            <v>2016</v>
          </cell>
          <cell r="H751">
            <v>36304.199999999997</v>
          </cell>
          <cell r="J751" t="str">
            <v>DIRECTION DU PATRIMOINE  ET DES MOYENS GENERAUX</v>
          </cell>
          <cell r="K751" t="str">
            <v>Fonctionnement</v>
          </cell>
        </row>
        <row r="752">
          <cell r="A752">
            <v>2016</v>
          </cell>
          <cell r="H752">
            <v>188496</v>
          </cell>
          <cell r="J752" t="str">
            <v>DIRECTION DU PATRIMOINE  ET DES MOYENS GENERAUX</v>
          </cell>
          <cell r="K752" t="str">
            <v>Fonctionnement</v>
          </cell>
        </row>
        <row r="753">
          <cell r="A753">
            <v>2016</v>
          </cell>
          <cell r="H753">
            <v>66648</v>
          </cell>
          <cell r="J753" t="str">
            <v>DIRECTION DU PATRIMOINE  ET DES MOYENS GENERAUX</v>
          </cell>
          <cell r="K753" t="str">
            <v>Fonctionnement</v>
          </cell>
        </row>
        <row r="754">
          <cell r="A754">
            <v>2016</v>
          </cell>
          <cell r="H754">
            <v>168000</v>
          </cell>
          <cell r="J754" t="str">
            <v>DIRECTION DU PATRIMOINE  ET DES MOYENS GENERAUX</v>
          </cell>
          <cell r="K754" t="str">
            <v>Fonctionnement</v>
          </cell>
        </row>
        <row r="755">
          <cell r="A755">
            <v>2016</v>
          </cell>
          <cell r="H755">
            <v>133440</v>
          </cell>
          <cell r="J755" t="str">
            <v>DIRECTION DU PATRIMOINE  ET DES MOYENS GENERAUX</v>
          </cell>
          <cell r="K755" t="str">
            <v>Fonctionnement</v>
          </cell>
        </row>
        <row r="756">
          <cell r="A756">
            <v>2016</v>
          </cell>
          <cell r="H756">
            <v>74640</v>
          </cell>
          <cell r="J756" t="str">
            <v>DIRECTION DU PATRIMOINE  ET DES MOYENS GENERAUX</v>
          </cell>
          <cell r="K756" t="str">
            <v>Fonctionnement</v>
          </cell>
        </row>
        <row r="757">
          <cell r="A757">
            <v>2016</v>
          </cell>
          <cell r="H757">
            <v>497160</v>
          </cell>
          <cell r="J757" t="str">
            <v>DIRECTION DU PATRIMOINE  ET DES MOYENS GENERAUX</v>
          </cell>
          <cell r="K757" t="str">
            <v>Fonctionnement</v>
          </cell>
        </row>
        <row r="758">
          <cell r="A758">
            <v>2016</v>
          </cell>
          <cell r="H758">
            <v>109440</v>
          </cell>
          <cell r="J758" t="str">
            <v>DIRECTION DU PATRIMOINE  ET DES MOYENS GENERAUX</v>
          </cell>
          <cell r="K758" t="str">
            <v>Fonctionnement</v>
          </cell>
        </row>
        <row r="759">
          <cell r="A759">
            <v>2016</v>
          </cell>
          <cell r="H759">
            <v>39660</v>
          </cell>
          <cell r="J759" t="str">
            <v>DIRECTION DU PATRIMOINE  ET DES MOYENS GENERAUX</v>
          </cell>
          <cell r="K759" t="str">
            <v>Fonctionnement</v>
          </cell>
        </row>
        <row r="760">
          <cell r="A760">
            <v>2016</v>
          </cell>
          <cell r="H760">
            <v>484337.86800000002</v>
          </cell>
          <cell r="J760" t="str">
            <v>DIRECTION DU PATRIMOINE  ET DES MOYENS GENERAUX</v>
          </cell>
          <cell r="K760" t="str">
            <v>Fonctionnement</v>
          </cell>
        </row>
        <row r="761">
          <cell r="A761">
            <v>2016</v>
          </cell>
          <cell r="H761">
            <v>141696</v>
          </cell>
          <cell r="J761" t="str">
            <v>DIRECTION DU PATRIMOINE  ET DES MOYENS GENERAUX</v>
          </cell>
          <cell r="K761" t="str">
            <v>Fonctionnement</v>
          </cell>
        </row>
        <row r="762">
          <cell r="A762">
            <v>2016</v>
          </cell>
          <cell r="H762">
            <v>154800</v>
          </cell>
          <cell r="J762" t="str">
            <v>DIRECTION DU PATRIMOINE  ET DES MOYENS GENERAUX</v>
          </cell>
          <cell r="K762" t="str">
            <v>Fonctionnement</v>
          </cell>
        </row>
        <row r="763">
          <cell r="A763">
            <v>2016</v>
          </cell>
          <cell r="H763">
            <v>82800.168000000005</v>
          </cell>
          <cell r="J763" t="str">
            <v>DIRECTION DU PATRIMOINE  ET DES MOYENS GENERAUX</v>
          </cell>
          <cell r="K763" t="str">
            <v>Fonctionnement</v>
          </cell>
        </row>
        <row r="764">
          <cell r="A764">
            <v>2016</v>
          </cell>
          <cell r="H764">
            <v>37050</v>
          </cell>
          <cell r="J764" t="str">
            <v>DIRECTION DU PATRIMOINE  ET DES MOYENS GENERAUX</v>
          </cell>
          <cell r="K764" t="str">
            <v>Fonctionnement</v>
          </cell>
        </row>
        <row r="765">
          <cell r="A765">
            <v>2016</v>
          </cell>
          <cell r="H765">
            <v>161046</v>
          </cell>
          <cell r="J765" t="str">
            <v>DIRECTION DU PATRIMOINE  ET DES MOYENS GENERAUX</v>
          </cell>
          <cell r="K765" t="str">
            <v>Fonctionnement</v>
          </cell>
        </row>
        <row r="766">
          <cell r="A766">
            <v>2016</v>
          </cell>
          <cell r="H766">
            <v>250000</v>
          </cell>
          <cell r="J766" t="str">
            <v>DIRECTION DU PATRIMOINE  ET DES MOYENS GENERAUX</v>
          </cell>
          <cell r="K766" t="str">
            <v>Fonctionnement</v>
          </cell>
        </row>
        <row r="767">
          <cell r="A767">
            <v>2016</v>
          </cell>
          <cell r="H767">
            <v>138360</v>
          </cell>
          <cell r="J767" t="str">
            <v>DIRECTION DU PATRIMOINE  ET DES MOYENS GENERAUX</v>
          </cell>
          <cell r="K767" t="str">
            <v>Investissement</v>
          </cell>
        </row>
        <row r="768">
          <cell r="A768">
            <v>2016</v>
          </cell>
          <cell r="H768">
            <v>62736</v>
          </cell>
          <cell r="J768" t="str">
            <v>DIRECTION DU PATRIMOINE  ET DES MOYENS GENERAUX</v>
          </cell>
          <cell r="K768" t="str">
            <v>Investissement</v>
          </cell>
        </row>
        <row r="769">
          <cell r="A769">
            <v>2016</v>
          </cell>
          <cell r="H769">
            <v>381600</v>
          </cell>
          <cell r="J769" t="str">
            <v>DIRECTION DU PATRIMOINE  ET DES MOYENS GENERAUX</v>
          </cell>
          <cell r="K769" t="str">
            <v>Investissement</v>
          </cell>
        </row>
        <row r="770">
          <cell r="A770">
            <v>2016</v>
          </cell>
          <cell r="H770">
            <v>127596</v>
          </cell>
          <cell r="J770" t="str">
            <v>DIRECTION DU PATRIMOINE  ET DES MOYENS GENERAUX</v>
          </cell>
          <cell r="K770" t="str">
            <v>Investissement</v>
          </cell>
        </row>
        <row r="771">
          <cell r="A771">
            <v>2016</v>
          </cell>
          <cell r="H771">
            <v>42720</v>
          </cell>
          <cell r="J771" t="str">
            <v>DIRECTION DU PATRIMOINE  ET DES MOYENS GENERAUX</v>
          </cell>
          <cell r="K771" t="str">
            <v>Investissement</v>
          </cell>
        </row>
        <row r="772">
          <cell r="A772">
            <v>2016</v>
          </cell>
          <cell r="H772">
            <v>399780</v>
          </cell>
          <cell r="J772" t="str">
            <v>DIRECTION DU PATRIMOINE  ET DES MOYENS GENERAUX</v>
          </cell>
          <cell r="K772" t="str">
            <v>Investissement</v>
          </cell>
        </row>
        <row r="773">
          <cell r="A773">
            <v>2016</v>
          </cell>
          <cell r="H773">
            <v>59520</v>
          </cell>
          <cell r="J773" t="str">
            <v>DIRECTION DU PATRIMOINE  ET DES MOYENS GENERAUX</v>
          </cell>
          <cell r="K773" t="str">
            <v>Investissement</v>
          </cell>
        </row>
        <row r="774">
          <cell r="A774">
            <v>2016</v>
          </cell>
          <cell r="H774">
            <v>106919.32</v>
          </cell>
          <cell r="J774" t="str">
            <v>DIRECTION DU PATRIMOINE  ET DES MOYENS GENERAUX</v>
          </cell>
          <cell r="K774" t="str">
            <v>Investissement</v>
          </cell>
        </row>
        <row r="775">
          <cell r="A775">
            <v>2016</v>
          </cell>
          <cell r="H775">
            <v>132180</v>
          </cell>
          <cell r="J775" t="str">
            <v>DIRECTION DU PATRIMOINE  ET DES MOYENS GENERAUX</v>
          </cell>
          <cell r="K775" t="str">
            <v>Investissement</v>
          </cell>
        </row>
        <row r="776">
          <cell r="A776">
            <v>2016</v>
          </cell>
          <cell r="H776">
            <v>263280</v>
          </cell>
          <cell r="J776" t="str">
            <v>DIRECTION DU PATRIMOINE  ET DES MOYENS GENERAUX</v>
          </cell>
          <cell r="K776" t="str">
            <v>Investissement</v>
          </cell>
        </row>
        <row r="777">
          <cell r="A777">
            <v>2016</v>
          </cell>
          <cell r="H777">
            <v>181860</v>
          </cell>
          <cell r="J777" t="str">
            <v>DIRECTION DU PATRIMOINE  ET DES MOYENS GENERAUX</v>
          </cell>
          <cell r="K777" t="str">
            <v>Investissement</v>
          </cell>
        </row>
        <row r="778">
          <cell r="A778">
            <v>2016</v>
          </cell>
          <cell r="H778">
            <v>337680</v>
          </cell>
          <cell r="J778" t="str">
            <v>DIRECTION DU PATRIMOINE  ET DES MOYENS GENERAUX</v>
          </cell>
          <cell r="K778" t="str">
            <v>Investissement</v>
          </cell>
        </row>
        <row r="779">
          <cell r="A779">
            <v>2016</v>
          </cell>
          <cell r="H779">
            <v>145440</v>
          </cell>
          <cell r="J779" t="str">
            <v>DIRECTION DU PATRIMOINE  ET DES MOYENS GENERAUX</v>
          </cell>
          <cell r="K779" t="str">
            <v>Investissement</v>
          </cell>
        </row>
        <row r="780">
          <cell r="A780">
            <v>2016</v>
          </cell>
          <cell r="H780">
            <v>89827.199999999997</v>
          </cell>
          <cell r="J780" t="str">
            <v>DIRECTION DU PATRIMOINE  ET DES MOYENS GENERAUX</v>
          </cell>
          <cell r="K780" t="str">
            <v>Investissement</v>
          </cell>
        </row>
        <row r="781">
          <cell r="A781">
            <v>2016</v>
          </cell>
          <cell r="H781">
            <v>92827.199999999997</v>
          </cell>
          <cell r="J781" t="str">
            <v>DIRECTION DU PATRIMOINE  ET DES MOYENS GENERAUX</v>
          </cell>
          <cell r="K781" t="str">
            <v>Investissement</v>
          </cell>
        </row>
        <row r="782">
          <cell r="A782">
            <v>2016</v>
          </cell>
          <cell r="H782">
            <v>228552</v>
          </cell>
          <cell r="J782" t="str">
            <v>DIRECTION DU PATRIMOINE  ET DES MOYENS GENERAUX</v>
          </cell>
          <cell r="K782" t="str">
            <v>Investissement</v>
          </cell>
        </row>
        <row r="783">
          <cell r="A783">
            <v>2016</v>
          </cell>
          <cell r="H783">
            <v>164856</v>
          </cell>
          <cell r="J783" t="str">
            <v>DIRECTION DU PATRIMOINE  ET DES MOYENS GENERAUX</v>
          </cell>
          <cell r="K783" t="str">
            <v>Investissement</v>
          </cell>
        </row>
        <row r="784">
          <cell r="A784">
            <v>2016</v>
          </cell>
          <cell r="H784">
            <v>329400</v>
          </cell>
          <cell r="J784" t="str">
            <v>DIRECTION DU PATRIMOINE  ET DES MOYENS GENERAUX</v>
          </cell>
          <cell r="K784" t="str">
            <v>Investissement</v>
          </cell>
        </row>
        <row r="785">
          <cell r="A785">
            <v>2016</v>
          </cell>
          <cell r="H785">
            <v>350100</v>
          </cell>
          <cell r="J785" t="str">
            <v>DIRECTION DU PATRIMOINE  ET DES MOYENS GENERAUX</v>
          </cell>
          <cell r="K785" t="str">
            <v>Investissement</v>
          </cell>
        </row>
        <row r="786">
          <cell r="A786">
            <v>2016</v>
          </cell>
          <cell r="H786">
            <v>296640</v>
          </cell>
          <cell r="J786" t="str">
            <v>DIRECTION DU PATRIMOINE  ET DES MOYENS GENERAUX</v>
          </cell>
          <cell r="K786" t="str">
            <v>Investissement</v>
          </cell>
        </row>
        <row r="787">
          <cell r="A787">
            <v>2017</v>
          </cell>
          <cell r="H787">
            <v>149120</v>
          </cell>
          <cell r="J787" t="str">
            <v>DIRECTION DU PATRIMOINE  ET DES MOYENS GENERAUX</v>
          </cell>
          <cell r="K787" t="str">
            <v>Fonctionnement</v>
          </cell>
        </row>
        <row r="788">
          <cell r="A788">
            <v>2017</v>
          </cell>
          <cell r="H788">
            <v>165600</v>
          </cell>
          <cell r="J788" t="str">
            <v>DIRECTION DU PATRIMOINE  ET DES MOYENS GENERAUX</v>
          </cell>
          <cell r="K788" t="str">
            <v>Fonctionnement</v>
          </cell>
        </row>
        <row r="789">
          <cell r="A789">
            <v>2017</v>
          </cell>
          <cell r="H789">
            <v>64423.199999999997</v>
          </cell>
          <cell r="J789" t="str">
            <v>DIRECTION DU PATRIMOINE  ET DES MOYENS GENERAUX</v>
          </cell>
          <cell r="K789" t="str">
            <v>Fonctionnement</v>
          </cell>
        </row>
        <row r="790">
          <cell r="A790">
            <v>2017</v>
          </cell>
          <cell r="H790">
            <v>75444</v>
          </cell>
          <cell r="J790" t="str">
            <v>DIRECTION DU PATRIMOINE  ET DES MOYENS GENERAUX</v>
          </cell>
          <cell r="K790" t="str">
            <v>Fonctionnement</v>
          </cell>
        </row>
        <row r="791">
          <cell r="A791">
            <v>2017</v>
          </cell>
          <cell r="H791">
            <v>69878</v>
          </cell>
          <cell r="J791" t="str">
            <v>DIRECTION DU PATRIMOINE  ET DES MOYENS GENERAUX</v>
          </cell>
          <cell r="K791" t="str">
            <v>Fonctionnement</v>
          </cell>
        </row>
        <row r="792">
          <cell r="A792">
            <v>2017</v>
          </cell>
          <cell r="H792">
            <v>141696</v>
          </cell>
          <cell r="J792" t="str">
            <v>DIRECTION DU PATRIMOINE  ET DES MOYENS GENERAUX</v>
          </cell>
          <cell r="K792" t="str">
            <v>Fonctionnement</v>
          </cell>
        </row>
        <row r="793">
          <cell r="A793">
            <v>2017</v>
          </cell>
          <cell r="H793">
            <v>278136</v>
          </cell>
          <cell r="J793" t="str">
            <v>DIRECTION DU PATRIMOINE  ET DES MOYENS GENERAUX</v>
          </cell>
          <cell r="K793" t="str">
            <v>Fonctionnement</v>
          </cell>
        </row>
        <row r="794">
          <cell r="A794">
            <v>2017</v>
          </cell>
          <cell r="H794">
            <v>496800</v>
          </cell>
          <cell r="J794" t="str">
            <v>DIRECTION DU PATRIMOINE  ET DES MOYENS GENERAUX</v>
          </cell>
          <cell r="K794" t="str">
            <v>Fonctionnement</v>
          </cell>
        </row>
        <row r="795">
          <cell r="A795">
            <v>2017</v>
          </cell>
          <cell r="H795">
            <v>498096</v>
          </cell>
          <cell r="J795" t="str">
            <v>DIRECTION DU PATRIMOINE  ET DES MOYENS GENERAUX</v>
          </cell>
          <cell r="K795" t="str">
            <v>Fonctionnement</v>
          </cell>
        </row>
        <row r="796">
          <cell r="A796">
            <v>2017</v>
          </cell>
          <cell r="H796">
            <v>244800</v>
          </cell>
          <cell r="J796" t="str">
            <v>DIRECTION DU PATRIMOINE  ET DES MOYENS GENERAUX</v>
          </cell>
          <cell r="K796" t="str">
            <v>Fonctionnement</v>
          </cell>
        </row>
        <row r="797">
          <cell r="A797">
            <v>2017</v>
          </cell>
          <cell r="H797">
            <v>68022</v>
          </cell>
          <cell r="J797" t="str">
            <v>DIRECTION DU PATRIMOINE  ET DES MOYENS GENERAUX</v>
          </cell>
          <cell r="K797" t="str">
            <v>Fonctionnement</v>
          </cell>
        </row>
        <row r="798">
          <cell r="A798">
            <v>2017</v>
          </cell>
          <cell r="H798">
            <v>146256</v>
          </cell>
          <cell r="J798" t="str">
            <v>DIRECTION DU PATRIMOINE  ET DES MOYENS GENERAUX</v>
          </cell>
          <cell r="K798" t="str">
            <v>Fonctionnement</v>
          </cell>
        </row>
        <row r="799">
          <cell r="A799">
            <v>2017</v>
          </cell>
          <cell r="H799">
            <v>62124</v>
          </cell>
          <cell r="J799" t="str">
            <v>DIRECTION DU PATRIMOINE  ET DES MOYENS GENERAUX</v>
          </cell>
          <cell r="K799" t="str">
            <v>Fonctionnement</v>
          </cell>
        </row>
        <row r="800">
          <cell r="A800">
            <v>2017</v>
          </cell>
          <cell r="H800">
            <v>397680</v>
          </cell>
          <cell r="J800" t="str">
            <v>DIRECTION DU PATRIMOINE  ET DES MOYENS GENERAUX</v>
          </cell>
          <cell r="K800" t="str">
            <v>Investissement</v>
          </cell>
        </row>
        <row r="801">
          <cell r="A801">
            <v>2017</v>
          </cell>
          <cell r="H801">
            <v>448506</v>
          </cell>
          <cell r="J801" t="str">
            <v>DIRECTION DU PATRIMOINE  ET DES MOYENS GENERAUX</v>
          </cell>
          <cell r="K801" t="str">
            <v>Investissement</v>
          </cell>
        </row>
        <row r="802">
          <cell r="A802">
            <v>2017</v>
          </cell>
          <cell r="H802">
            <v>59624.74</v>
          </cell>
          <cell r="J802" t="str">
            <v>DIRECTION DU PATRIMOINE  ET DES MOYENS GENERAUX</v>
          </cell>
          <cell r="K802" t="str">
            <v>Investissement</v>
          </cell>
        </row>
        <row r="803">
          <cell r="A803">
            <v>2017</v>
          </cell>
          <cell r="H803">
            <v>83289.240000000005</v>
          </cell>
          <cell r="J803" t="str">
            <v>DIRECTION DU PATRIMOINE  ET DES MOYENS GENERAUX</v>
          </cell>
          <cell r="K803" t="str">
            <v>Investissement</v>
          </cell>
        </row>
        <row r="804">
          <cell r="A804">
            <v>2017</v>
          </cell>
          <cell r="H804">
            <v>278208</v>
          </cell>
          <cell r="J804" t="str">
            <v>DIRECTION DU PATRIMOINE  ET DES MOYENS GENERAUX</v>
          </cell>
          <cell r="K804" t="str">
            <v>Investissement</v>
          </cell>
        </row>
        <row r="805">
          <cell r="A805">
            <v>2017</v>
          </cell>
          <cell r="H805">
            <v>127596</v>
          </cell>
          <cell r="J805" t="str">
            <v>DIRECTION DU PATRIMOINE  ET DES MOYENS GENERAUX</v>
          </cell>
          <cell r="K805" t="str">
            <v>Investissement</v>
          </cell>
        </row>
        <row r="806">
          <cell r="A806">
            <v>2017</v>
          </cell>
          <cell r="H806">
            <v>79200</v>
          </cell>
          <cell r="J806" t="str">
            <v>DIRECTION DU PATRIMOINE  ET DES MOYENS GENERAUX</v>
          </cell>
          <cell r="K806" t="str">
            <v>Investissement</v>
          </cell>
        </row>
        <row r="807">
          <cell r="A807">
            <v>2017</v>
          </cell>
          <cell r="H807">
            <v>409800</v>
          </cell>
          <cell r="J807" t="str">
            <v>DIRECTION DU PATRIMOINE  ET DES MOYENS GENERAUX</v>
          </cell>
          <cell r="K807" t="str">
            <v>Investissement</v>
          </cell>
        </row>
        <row r="808">
          <cell r="A808">
            <v>2017</v>
          </cell>
          <cell r="H808">
            <v>278160</v>
          </cell>
          <cell r="J808" t="str">
            <v>DIRECTION DU PATRIMOINE  ET DES MOYENS GENERAUX</v>
          </cell>
          <cell r="K808" t="str">
            <v>Investissement</v>
          </cell>
        </row>
        <row r="809">
          <cell r="A809">
            <v>2017</v>
          </cell>
          <cell r="H809">
            <v>398520</v>
          </cell>
          <cell r="J809" t="str">
            <v>DIRECTION DU PATRIMOINE  ET DES MOYENS GENERAUX</v>
          </cell>
          <cell r="K809" t="str">
            <v>Investissement</v>
          </cell>
        </row>
        <row r="810">
          <cell r="A810">
            <v>2017</v>
          </cell>
          <cell r="H810">
            <v>418080</v>
          </cell>
          <cell r="J810" t="str">
            <v>DIRECTION DU PATRIMOINE  ET DES MOYENS GENERAUX</v>
          </cell>
          <cell r="K810" t="str">
            <v>Investissement</v>
          </cell>
        </row>
        <row r="811">
          <cell r="A811">
            <v>2017</v>
          </cell>
          <cell r="H811">
            <v>120960</v>
          </cell>
          <cell r="J811" t="str">
            <v>DIRECTION DU PATRIMOINE  ET DES MOYENS GENERAUX</v>
          </cell>
          <cell r="K811" t="str">
            <v>Investissement</v>
          </cell>
        </row>
        <row r="812">
          <cell r="A812">
            <v>2017</v>
          </cell>
          <cell r="H812">
            <v>49200</v>
          </cell>
          <cell r="J812" t="str">
            <v>DIRECTION DU PATRIMOINE  ET DES MOYENS GENERAUX</v>
          </cell>
          <cell r="K812" t="str">
            <v>Investissement</v>
          </cell>
        </row>
        <row r="813">
          <cell r="A813">
            <v>2017</v>
          </cell>
          <cell r="H813">
            <v>496231</v>
          </cell>
          <cell r="J813" t="str">
            <v>DIRECTION DU PATRIMOINE  ET DES MOYENS GENERAUX</v>
          </cell>
          <cell r="K813" t="str">
            <v>Investissement</v>
          </cell>
        </row>
        <row r="814">
          <cell r="A814">
            <v>2018</v>
          </cell>
          <cell r="H814">
            <v>244800</v>
          </cell>
          <cell r="J814" t="str">
            <v>DIRECTION DU PATRIMOINE  ET DES MOYENS GENERAUX</v>
          </cell>
          <cell r="K814" t="str">
            <v>Fonctionnement</v>
          </cell>
        </row>
        <row r="815">
          <cell r="A815">
            <v>2018</v>
          </cell>
          <cell r="H815">
            <v>489600</v>
          </cell>
          <cell r="J815" t="str">
            <v>DIRECTION DU PATRIMOINE  ET DES MOYENS GENERAUX</v>
          </cell>
          <cell r="K815" t="str">
            <v>Fonctionnement</v>
          </cell>
        </row>
        <row r="816">
          <cell r="A816">
            <v>2018</v>
          </cell>
          <cell r="H816">
            <v>73440</v>
          </cell>
          <cell r="J816" t="str">
            <v>DIRECTION DU PATRIMOINE  ET DES MOYENS GENERAUX</v>
          </cell>
          <cell r="K816" t="str">
            <v>Fonctionnement</v>
          </cell>
        </row>
        <row r="817">
          <cell r="A817">
            <v>2018</v>
          </cell>
          <cell r="H817">
            <v>353469.6</v>
          </cell>
          <cell r="J817" t="str">
            <v>DIRECTION DU PATRIMOINE  ET DES MOYENS GENERAUX</v>
          </cell>
          <cell r="K817" t="str">
            <v>Fonctionnement</v>
          </cell>
        </row>
        <row r="818">
          <cell r="A818">
            <v>2018</v>
          </cell>
          <cell r="H818">
            <v>33440</v>
          </cell>
          <cell r="J818" t="str">
            <v>DIRECTION DU PATRIMOINE  ET DES MOYENS GENERAUX</v>
          </cell>
          <cell r="K818" t="str">
            <v>Fonctionnement</v>
          </cell>
        </row>
        <row r="819">
          <cell r="A819">
            <v>2018</v>
          </cell>
          <cell r="H819">
            <v>76608</v>
          </cell>
          <cell r="J819" t="str">
            <v>DIRECTION DU PATRIMOINE  ET DES MOYENS GENERAUX</v>
          </cell>
          <cell r="K819" t="str">
            <v>Fonctionnement</v>
          </cell>
        </row>
        <row r="820">
          <cell r="A820">
            <v>2018</v>
          </cell>
          <cell r="H820">
            <v>39740.400000000001</v>
          </cell>
          <cell r="J820" t="str">
            <v>DIRECTION DU PATRIMOINE  ET DES MOYENS GENERAUX</v>
          </cell>
          <cell r="K820" t="str">
            <v>Fonctionnement</v>
          </cell>
        </row>
        <row r="821">
          <cell r="A821">
            <v>2018</v>
          </cell>
          <cell r="H821">
            <v>204000</v>
          </cell>
          <cell r="J821" t="str">
            <v>DIRECTION DU PATRIMOINE  ET DES MOYENS GENERAUX</v>
          </cell>
          <cell r="K821" t="str">
            <v>Fonctionnement</v>
          </cell>
        </row>
        <row r="822">
          <cell r="A822">
            <v>2018</v>
          </cell>
          <cell r="H822">
            <v>88538.52</v>
          </cell>
          <cell r="J822" t="str">
            <v>DIRECTION DU PATRIMOINE  ET DES MOYENS GENERAUX</v>
          </cell>
          <cell r="K822" t="str">
            <v>Fonctionnement</v>
          </cell>
        </row>
        <row r="823">
          <cell r="A823">
            <v>2018</v>
          </cell>
          <cell r="H823">
            <v>100701.6</v>
          </cell>
          <cell r="J823" t="str">
            <v>DIRECTION DU PATRIMOINE  ET DES MOYENS GENERAUX</v>
          </cell>
          <cell r="K823" t="str">
            <v>Fonctionnement</v>
          </cell>
        </row>
        <row r="824">
          <cell r="A824">
            <v>2018</v>
          </cell>
          <cell r="H824">
            <v>51420.480000000003</v>
          </cell>
          <cell r="J824" t="str">
            <v>DIRECTION DU PATRIMOINE  ET DES MOYENS GENERAUX</v>
          </cell>
          <cell r="K824" t="str">
            <v>Fonctionnement</v>
          </cell>
        </row>
        <row r="825">
          <cell r="A825">
            <v>2018</v>
          </cell>
          <cell r="H825">
            <v>75810</v>
          </cell>
          <cell r="J825" t="str">
            <v>DIRECTION DU PATRIMOINE  ET DES MOYENS GENERAUX</v>
          </cell>
          <cell r="K825" t="str">
            <v>Fonctionnement</v>
          </cell>
        </row>
        <row r="826">
          <cell r="A826">
            <v>2018</v>
          </cell>
          <cell r="H826">
            <v>140800</v>
          </cell>
          <cell r="J826" t="str">
            <v>DIRECTION DU PATRIMOINE  ET DES MOYENS GENERAUX</v>
          </cell>
          <cell r="K826" t="str">
            <v>Fonctionnement</v>
          </cell>
        </row>
        <row r="827">
          <cell r="A827">
            <v>2018</v>
          </cell>
          <cell r="H827">
            <v>49328.4</v>
          </cell>
          <cell r="J827" t="str">
            <v>DIRECTION DU PATRIMOINE  ET DES MOYENS GENERAUX</v>
          </cell>
          <cell r="K827" t="str">
            <v>Fonctionnement</v>
          </cell>
        </row>
        <row r="828">
          <cell r="A828">
            <v>2018</v>
          </cell>
          <cell r="H828">
            <v>370008</v>
          </cell>
          <cell r="J828" t="str">
            <v>DIRECTION DU PATRIMOINE  ET DES MOYENS GENERAUX</v>
          </cell>
          <cell r="K828" t="str">
            <v>Fonctionnement</v>
          </cell>
        </row>
        <row r="829">
          <cell r="A829">
            <v>2018</v>
          </cell>
          <cell r="H829">
            <v>190089.78</v>
          </cell>
          <cell r="J829" t="str">
            <v>DIRECTION DU PATRIMOINE  ET DES MOYENS GENERAUX</v>
          </cell>
          <cell r="K829" t="str">
            <v>Fonctionnement</v>
          </cell>
        </row>
        <row r="830">
          <cell r="A830">
            <v>2018</v>
          </cell>
          <cell r="H830">
            <v>180264</v>
          </cell>
          <cell r="J830" t="str">
            <v>DIRECTION DU PATRIMOINE  ET DES MOYENS GENERAUX</v>
          </cell>
          <cell r="K830" t="str">
            <v>Fonctionnement</v>
          </cell>
        </row>
        <row r="831">
          <cell r="A831">
            <v>2018</v>
          </cell>
          <cell r="H831">
            <v>82500</v>
          </cell>
          <cell r="J831" t="str">
            <v>DIRECTION DU PATRIMOINE  ET DES MOYENS GENERAUX</v>
          </cell>
          <cell r="K831" t="str">
            <v>Fonctionnement</v>
          </cell>
        </row>
        <row r="832">
          <cell r="A832">
            <v>2018</v>
          </cell>
          <cell r="H832">
            <v>157200</v>
          </cell>
          <cell r="J832" t="str">
            <v>DIRECTION DU PATRIMOINE  ET DES MOYENS GENERAUX</v>
          </cell>
          <cell r="K832" t="str">
            <v>Fonctionnement</v>
          </cell>
        </row>
        <row r="833">
          <cell r="A833">
            <v>2018</v>
          </cell>
          <cell r="H833">
            <v>81600</v>
          </cell>
          <cell r="J833" t="str">
            <v>DIRECTION DU PATRIMOINE  ET DES MOYENS GENERAUX</v>
          </cell>
          <cell r="K833" t="str">
            <v>Fonctionnement</v>
          </cell>
        </row>
        <row r="834">
          <cell r="A834">
            <v>2018</v>
          </cell>
          <cell r="H834">
            <v>89300</v>
          </cell>
          <cell r="J834" t="str">
            <v>DIRECTION DU PATRIMOINE  ET DES MOYENS GENERAUX</v>
          </cell>
          <cell r="K834" t="str">
            <v>Fonctionnement</v>
          </cell>
        </row>
        <row r="835">
          <cell r="A835">
            <v>2018</v>
          </cell>
          <cell r="H835">
            <v>155520</v>
          </cell>
          <cell r="J835" t="str">
            <v>DIRECTION DU PATRIMOINE  ET DES MOYENS GENERAUX</v>
          </cell>
          <cell r="K835" t="str">
            <v>Fonctionnement</v>
          </cell>
        </row>
        <row r="836">
          <cell r="A836">
            <v>2018</v>
          </cell>
          <cell r="H836">
            <v>218752.35200000001</v>
          </cell>
          <cell r="J836" t="str">
            <v>DIRECTION DU PATRIMOINE  ET DES MOYENS GENERAUX</v>
          </cell>
          <cell r="K836" t="str">
            <v>Fonctionnement</v>
          </cell>
        </row>
        <row r="837">
          <cell r="A837">
            <v>2018</v>
          </cell>
          <cell r="H837">
            <v>88584</v>
          </cell>
          <cell r="J837" t="str">
            <v>DIRECTION DU PATRIMOINE  ET DES MOYENS GENERAUX</v>
          </cell>
          <cell r="K837" t="str">
            <v>Fonctionnement</v>
          </cell>
        </row>
        <row r="838">
          <cell r="A838">
            <v>2018</v>
          </cell>
          <cell r="H838">
            <v>150600</v>
          </cell>
          <cell r="J838" t="str">
            <v>DIRECTION DU PATRIMOINE  ET DES MOYENS GENERAUX</v>
          </cell>
          <cell r="K838" t="str">
            <v>Fonctionnement</v>
          </cell>
        </row>
        <row r="839">
          <cell r="A839">
            <v>2018</v>
          </cell>
          <cell r="H839">
            <v>229945.56</v>
          </cell>
          <cell r="J839" t="str">
            <v>DIRECTION DU PATRIMOINE  ET DES MOYENS GENERAUX</v>
          </cell>
          <cell r="K839" t="str">
            <v>Fonctionnement</v>
          </cell>
        </row>
        <row r="840">
          <cell r="A840">
            <v>2018</v>
          </cell>
          <cell r="H840">
            <v>86640</v>
          </cell>
          <cell r="J840" t="str">
            <v>DIRECTION DU PATRIMOINE  ET DES MOYENS GENERAUX</v>
          </cell>
          <cell r="K840" t="str">
            <v>Fonctionnement</v>
          </cell>
        </row>
        <row r="841">
          <cell r="A841">
            <v>2018</v>
          </cell>
          <cell r="H841">
            <v>359520</v>
          </cell>
          <cell r="J841" t="str">
            <v>DIRECTION DU PATRIMOINE  ET DES MOYENS GENERAUX</v>
          </cell>
          <cell r="K841" t="str">
            <v>Fonctionnement</v>
          </cell>
        </row>
        <row r="842">
          <cell r="A842">
            <v>2018</v>
          </cell>
          <cell r="H842">
            <v>389114.4</v>
          </cell>
          <cell r="J842" t="str">
            <v>DIRECTION DU PATRIMOINE  ET DES MOYENS GENERAUX</v>
          </cell>
          <cell r="K842" t="str">
            <v>Fonctionnement</v>
          </cell>
        </row>
        <row r="843">
          <cell r="A843">
            <v>2018</v>
          </cell>
          <cell r="H843">
            <v>66660</v>
          </cell>
          <cell r="J843" t="str">
            <v>DIRECTION DU PATRIMOINE  ET DES MOYENS GENERAUX</v>
          </cell>
          <cell r="K843" t="str">
            <v>Fonctionnement</v>
          </cell>
        </row>
        <row r="844">
          <cell r="A844">
            <v>2018</v>
          </cell>
          <cell r="H844">
            <v>141072</v>
          </cell>
          <cell r="J844" t="str">
            <v>DIRECTION DU PATRIMOINE  ET DES MOYENS GENERAUX</v>
          </cell>
          <cell r="K844" t="str">
            <v>Fonctionnement</v>
          </cell>
        </row>
        <row r="845">
          <cell r="A845">
            <v>2018</v>
          </cell>
          <cell r="H845">
            <v>165972</v>
          </cell>
          <cell r="J845" t="str">
            <v>DIRECTION DU PATRIMOINE  ET DES MOYENS GENERAUX</v>
          </cell>
          <cell r="K845" t="str">
            <v>Fonctionnement</v>
          </cell>
        </row>
        <row r="846">
          <cell r="A846">
            <v>2018</v>
          </cell>
          <cell r="H846">
            <v>116000</v>
          </cell>
          <cell r="J846" t="str">
            <v>DIRECTION DU PATRIMOINE  ET DES MOYENS GENERAUX</v>
          </cell>
          <cell r="K846" t="str">
            <v>Investissement</v>
          </cell>
        </row>
        <row r="847">
          <cell r="A847">
            <v>2018</v>
          </cell>
          <cell r="H847">
            <v>459900</v>
          </cell>
          <cell r="J847" t="str">
            <v>DIRECTION DU PATRIMOINE  ET DES MOYENS GENERAUX</v>
          </cell>
          <cell r="K847" t="str">
            <v>Investissement</v>
          </cell>
        </row>
        <row r="848">
          <cell r="A848">
            <v>2018</v>
          </cell>
          <cell r="H848">
            <v>81144</v>
          </cell>
          <cell r="J848" t="str">
            <v>DIRECTION DU PATRIMOINE  ET DES MOYENS GENERAUX</v>
          </cell>
          <cell r="K848" t="str">
            <v>Investissement</v>
          </cell>
        </row>
        <row r="849">
          <cell r="A849">
            <v>2018</v>
          </cell>
          <cell r="H849">
            <v>63726</v>
          </cell>
          <cell r="J849" t="str">
            <v>DIRECTION DU PATRIMOINE  ET DES MOYENS GENERAUX</v>
          </cell>
          <cell r="K849" t="str">
            <v>Investissement</v>
          </cell>
        </row>
        <row r="850">
          <cell r="A850">
            <v>2018</v>
          </cell>
          <cell r="H850">
            <v>198000</v>
          </cell>
          <cell r="J850" t="str">
            <v>DIRECTION DU PATRIMOINE  ET DES MOYENS GENERAUX</v>
          </cell>
          <cell r="K850" t="str">
            <v>Investissement</v>
          </cell>
        </row>
        <row r="851">
          <cell r="A851">
            <v>2018</v>
          </cell>
          <cell r="H851">
            <v>496800</v>
          </cell>
          <cell r="J851" t="str">
            <v>DIRECTION DU PATRIMOINE  ET DES MOYENS GENERAUX</v>
          </cell>
          <cell r="K851" t="str">
            <v>Investissement</v>
          </cell>
        </row>
        <row r="852">
          <cell r="A852">
            <v>2018</v>
          </cell>
          <cell r="H852">
            <v>260700</v>
          </cell>
          <cell r="J852" t="str">
            <v>DIRECTION DU PATRIMOINE  ET DES MOYENS GENERAUX</v>
          </cell>
          <cell r="K852" t="str">
            <v>Investissement</v>
          </cell>
        </row>
        <row r="853">
          <cell r="A853">
            <v>2018</v>
          </cell>
          <cell r="H853">
            <v>96000</v>
          </cell>
          <cell r="J853" t="str">
            <v>DIRECTION DU PATRIMOINE  ET DES MOYENS GENERAUX</v>
          </cell>
          <cell r="K853" t="str">
            <v>Investissement</v>
          </cell>
        </row>
        <row r="854">
          <cell r="A854">
            <v>2018</v>
          </cell>
          <cell r="H854">
            <v>201180</v>
          </cell>
          <cell r="J854" t="str">
            <v>DIRECTION DU PATRIMOINE  ET DES MOYENS GENERAUX</v>
          </cell>
          <cell r="K854" t="str">
            <v>Investissement</v>
          </cell>
        </row>
        <row r="855">
          <cell r="A855">
            <v>2018</v>
          </cell>
          <cell r="H855">
            <v>465840</v>
          </cell>
          <cell r="J855" t="str">
            <v>DIRECTION DU PATRIMOINE  ET DES MOYENS GENERAUX</v>
          </cell>
          <cell r="K855" t="str">
            <v>Investissement</v>
          </cell>
        </row>
        <row r="856">
          <cell r="A856">
            <v>2018</v>
          </cell>
          <cell r="H856">
            <v>165600</v>
          </cell>
          <cell r="J856" t="str">
            <v>DIRECTION DU PATRIMOINE  ET DES MOYENS GENERAUX</v>
          </cell>
          <cell r="K856" t="str">
            <v>Investissement</v>
          </cell>
        </row>
        <row r="857">
          <cell r="A857">
            <v>2018</v>
          </cell>
          <cell r="H857">
            <v>394800</v>
          </cell>
          <cell r="J857" t="str">
            <v>DIRECTION DU PATRIMOINE  ET DES MOYENS GENERAUX</v>
          </cell>
          <cell r="K857" t="str">
            <v>Investissement</v>
          </cell>
        </row>
        <row r="858">
          <cell r="A858">
            <v>2018</v>
          </cell>
          <cell r="H858">
            <v>297660</v>
          </cell>
          <cell r="J858" t="str">
            <v>DIRECTION DU PATRIMOINE  ET DES MOYENS GENERAUX</v>
          </cell>
          <cell r="K858" t="str">
            <v>Investissement</v>
          </cell>
        </row>
        <row r="859">
          <cell r="A859">
            <v>2018</v>
          </cell>
          <cell r="H859">
            <v>30720</v>
          </cell>
          <cell r="J859" t="str">
            <v>DIRECTION DU PATRIMOINE  ET DES MOYENS GENERAUX</v>
          </cell>
          <cell r="K859" t="str">
            <v>Investissement</v>
          </cell>
        </row>
        <row r="860">
          <cell r="A860">
            <v>2018</v>
          </cell>
          <cell r="H860">
            <v>282480</v>
          </cell>
          <cell r="J860" t="str">
            <v>DIRECTION DU PATRIMOINE  ET DES MOYENS GENERAUX</v>
          </cell>
          <cell r="K860" t="str">
            <v>Investissement</v>
          </cell>
        </row>
        <row r="861">
          <cell r="A861">
            <v>2018</v>
          </cell>
          <cell r="H861">
            <v>235800</v>
          </cell>
          <cell r="J861" t="str">
            <v>DIRECTION DU PATRIMOINE  ET DES MOYENS GENERAUX</v>
          </cell>
          <cell r="K861" t="str">
            <v>Investissement</v>
          </cell>
        </row>
        <row r="862">
          <cell r="A862">
            <v>2019</v>
          </cell>
          <cell r="H862">
            <v>59112</v>
          </cell>
          <cell r="J862" t="str">
            <v>DIRECTION DU PATRIMOINE  ET DES MOYENS GENERAUX</v>
          </cell>
          <cell r="K862" t="str">
            <v>Fonctionnement</v>
          </cell>
        </row>
        <row r="863">
          <cell r="A863">
            <v>2019</v>
          </cell>
          <cell r="H863">
            <v>38400</v>
          </cell>
          <cell r="J863" t="str">
            <v>DIRECTION DU PATRIMOINE  ET DES MOYENS GENERAUX</v>
          </cell>
          <cell r="K863" t="str">
            <v>Fonctionnement</v>
          </cell>
        </row>
        <row r="864">
          <cell r="A864">
            <v>2019</v>
          </cell>
          <cell r="H864">
            <v>68640</v>
          </cell>
          <cell r="J864" t="str">
            <v>DIRECTION DU PATRIMOINE  ET DES MOYENS GENERAUX</v>
          </cell>
          <cell r="K864" t="str">
            <v>Fonctionnement</v>
          </cell>
        </row>
        <row r="865">
          <cell r="A865">
            <v>2019</v>
          </cell>
          <cell r="H865">
            <v>67680</v>
          </cell>
          <cell r="J865" t="str">
            <v>DIRECTION DU PATRIMOINE  ET DES MOYENS GENERAUX</v>
          </cell>
          <cell r="K865" t="str">
            <v>Fonctionnement</v>
          </cell>
        </row>
        <row r="866">
          <cell r="A866">
            <v>2019</v>
          </cell>
          <cell r="H866">
            <v>56856</v>
          </cell>
          <cell r="J866" t="str">
            <v>DIRECTION DU PATRIMOINE  ET DES MOYENS GENERAUX</v>
          </cell>
          <cell r="K866" t="str">
            <v>Fonctionnement</v>
          </cell>
        </row>
        <row r="867">
          <cell r="A867">
            <v>2019</v>
          </cell>
          <cell r="H867">
            <v>408810.48</v>
          </cell>
          <cell r="J867" t="str">
            <v>DIRECTION DU PATRIMOINE  ET DES MOYENS GENERAUX</v>
          </cell>
          <cell r="K867" t="str">
            <v>Fonctionnement</v>
          </cell>
        </row>
        <row r="868">
          <cell r="A868">
            <v>2019</v>
          </cell>
          <cell r="H868">
            <v>198000</v>
          </cell>
          <cell r="J868" t="str">
            <v>DIRECTION DU PATRIMOINE  ET DES MOYENS GENERAUX</v>
          </cell>
          <cell r="K868" t="str">
            <v>Fonctionnement</v>
          </cell>
        </row>
        <row r="869">
          <cell r="A869">
            <v>2019</v>
          </cell>
          <cell r="H869">
            <v>154385.51999999999</v>
          </cell>
          <cell r="J869" t="str">
            <v>DIRECTION DU PATRIMOINE  ET DES MOYENS GENERAUX</v>
          </cell>
          <cell r="K869" t="str">
            <v>Fonctionnement</v>
          </cell>
        </row>
        <row r="870">
          <cell r="A870">
            <v>2019</v>
          </cell>
          <cell r="H870">
            <v>151200</v>
          </cell>
          <cell r="J870" t="str">
            <v>DIRECTION DU PATRIMOINE  ET DES MOYENS GENERAUX</v>
          </cell>
          <cell r="K870" t="str">
            <v>Fonctionnement</v>
          </cell>
        </row>
        <row r="871">
          <cell r="A871">
            <v>2019</v>
          </cell>
          <cell r="H871">
            <v>495036</v>
          </cell>
          <cell r="J871" t="str">
            <v>DIRECTION DU PATRIMOINE  ET DES MOYENS GENERAUX</v>
          </cell>
          <cell r="K871" t="str">
            <v>Fonctionnement</v>
          </cell>
        </row>
        <row r="872">
          <cell r="A872">
            <v>2019</v>
          </cell>
          <cell r="H872">
            <v>76608</v>
          </cell>
          <cell r="J872" t="str">
            <v>DIRECTION DU PATRIMOINE  ET DES MOYENS GENERAUX</v>
          </cell>
          <cell r="K872" t="str">
            <v>Fonctionnement</v>
          </cell>
        </row>
        <row r="873">
          <cell r="A873">
            <v>2019</v>
          </cell>
          <cell r="H873">
            <v>37368</v>
          </cell>
          <cell r="J873" t="str">
            <v>DIRECTION DU PATRIMOINE  ET DES MOYENS GENERAUX</v>
          </cell>
          <cell r="K873" t="str">
            <v>Fonctionnement</v>
          </cell>
        </row>
        <row r="874">
          <cell r="A874">
            <v>2019</v>
          </cell>
          <cell r="H874">
            <v>228000</v>
          </cell>
          <cell r="J874" t="str">
            <v>DIRECTION DU PATRIMOINE  ET DES MOYENS GENERAUX</v>
          </cell>
          <cell r="K874" t="str">
            <v>Fonctionnement</v>
          </cell>
        </row>
        <row r="875">
          <cell r="A875">
            <v>2019</v>
          </cell>
          <cell r="H875">
            <v>72210</v>
          </cell>
          <cell r="J875" t="str">
            <v>DIRECTION DU PATRIMOINE  ET DES MOYENS GENERAUX</v>
          </cell>
          <cell r="K875" t="str">
            <v>Fonctionnement</v>
          </cell>
        </row>
        <row r="876">
          <cell r="A876">
            <v>2019</v>
          </cell>
          <cell r="H876">
            <v>7360</v>
          </cell>
          <cell r="J876" t="str">
            <v>DIRECTION DU PATRIMOINE  ET DES MOYENS GENERAUX</v>
          </cell>
          <cell r="K876" t="str">
            <v>Fonctionnement</v>
          </cell>
        </row>
        <row r="877">
          <cell r="A877">
            <v>2019</v>
          </cell>
          <cell r="H877">
            <v>28800</v>
          </cell>
          <cell r="J877" t="str">
            <v>DIRECTION DU PATRIMOINE  ET DES MOYENS GENERAUX</v>
          </cell>
          <cell r="K877" t="str">
            <v>Fonctionnement</v>
          </cell>
        </row>
        <row r="878">
          <cell r="A878">
            <v>2019</v>
          </cell>
          <cell r="H878">
            <v>117760</v>
          </cell>
          <cell r="J878" t="str">
            <v>DIRECTION DU PATRIMOINE  ET DES MOYENS GENERAUX</v>
          </cell>
          <cell r="K878" t="str">
            <v>Fonctionnement</v>
          </cell>
        </row>
        <row r="879">
          <cell r="A879">
            <v>2019</v>
          </cell>
          <cell r="H879">
            <v>2880</v>
          </cell>
          <cell r="J879" t="str">
            <v>DIRECTION DU PATRIMOINE  ET DES MOYENS GENERAUX</v>
          </cell>
          <cell r="K879" t="str">
            <v>Fonctionnement</v>
          </cell>
        </row>
        <row r="880">
          <cell r="A880">
            <v>2019</v>
          </cell>
          <cell r="H880">
            <v>12082.2</v>
          </cell>
          <cell r="J880" t="str">
            <v>DIRECTION DU PATRIMOINE  ET DES MOYENS GENERAUX</v>
          </cell>
          <cell r="K880" t="str">
            <v>Fonctionnement</v>
          </cell>
        </row>
        <row r="881">
          <cell r="A881">
            <v>2019</v>
          </cell>
          <cell r="H881">
            <v>175104</v>
          </cell>
          <cell r="J881" t="str">
            <v>DIRECTION DU PATRIMOINE  ET DES MOYENS GENERAUX</v>
          </cell>
          <cell r="K881" t="str">
            <v>Fonctionnement</v>
          </cell>
        </row>
        <row r="882">
          <cell r="A882">
            <v>2019</v>
          </cell>
          <cell r="H882">
            <v>25517.64</v>
          </cell>
          <cell r="J882" t="str">
            <v>DIRECTION DU PATRIMOINE  ET DES MOYENS GENERAUX</v>
          </cell>
          <cell r="K882" t="str">
            <v>Fonctionnement</v>
          </cell>
        </row>
        <row r="883">
          <cell r="A883">
            <v>2019</v>
          </cell>
          <cell r="H883">
            <v>11159.5</v>
          </cell>
          <cell r="J883" t="str">
            <v>DIRECTION DU PATRIMOINE  ET DES MOYENS GENERAUX</v>
          </cell>
          <cell r="K883" t="str">
            <v>Fonctionnement</v>
          </cell>
        </row>
        <row r="884">
          <cell r="A884">
            <v>2019</v>
          </cell>
          <cell r="H884">
            <v>30970.799999999999</v>
          </cell>
          <cell r="J884" t="str">
            <v>DIRECTION DU PATRIMOINE  ET DES MOYENS GENERAUX</v>
          </cell>
          <cell r="K884" t="str">
            <v>Fonctionnement</v>
          </cell>
        </row>
        <row r="885">
          <cell r="A885">
            <v>2019</v>
          </cell>
          <cell r="H885">
            <v>58800</v>
          </cell>
          <cell r="J885" t="str">
            <v>DIRECTION DU PATRIMOINE  ET DES MOYENS GENERAUX</v>
          </cell>
          <cell r="K885" t="str">
            <v>Fonctionnement</v>
          </cell>
        </row>
        <row r="886">
          <cell r="A886">
            <v>2019</v>
          </cell>
          <cell r="H886">
            <v>4575</v>
          </cell>
          <cell r="J886" t="str">
            <v>DIRECTION DU PATRIMOINE  ET DES MOYENS GENERAUX</v>
          </cell>
          <cell r="K886" t="str">
            <v>Fonctionnement</v>
          </cell>
        </row>
        <row r="887">
          <cell r="A887">
            <v>2019</v>
          </cell>
          <cell r="H887">
            <v>78000</v>
          </cell>
          <cell r="J887" t="str">
            <v>DIRECTION DU PATRIMOINE  ET DES MOYENS GENERAUX</v>
          </cell>
          <cell r="K887" t="str">
            <v>Fonctionnement</v>
          </cell>
        </row>
        <row r="888">
          <cell r="A888">
            <v>2019</v>
          </cell>
          <cell r="H888">
            <v>39900</v>
          </cell>
          <cell r="J888" t="str">
            <v>DIRECTION DU PATRIMOINE  ET DES MOYENS GENERAUX</v>
          </cell>
          <cell r="K888" t="str">
            <v>Fonctionnement</v>
          </cell>
        </row>
        <row r="889">
          <cell r="A889">
            <v>2019</v>
          </cell>
          <cell r="H889">
            <v>10800</v>
          </cell>
          <cell r="J889" t="str">
            <v>DIRECTION DU PATRIMOINE  ET DES MOYENS GENERAUX</v>
          </cell>
          <cell r="K889" t="str">
            <v>Fonctionnement</v>
          </cell>
        </row>
        <row r="890">
          <cell r="A890">
            <v>2019</v>
          </cell>
          <cell r="H890">
            <v>16819.8</v>
          </cell>
          <cell r="J890" t="str">
            <v>DIRECTION DU PATRIMOINE  ET DES MOYENS GENERAUX</v>
          </cell>
          <cell r="K890" t="str">
            <v>Fonctionnement</v>
          </cell>
        </row>
        <row r="891">
          <cell r="A891">
            <v>2019</v>
          </cell>
          <cell r="H891">
            <v>29200</v>
          </cell>
          <cell r="J891" t="str">
            <v>DIRECTION DU PATRIMOINE  ET DES MOYENS GENERAUX</v>
          </cell>
          <cell r="K891" t="str">
            <v>Fonctionnement</v>
          </cell>
        </row>
        <row r="892">
          <cell r="A892">
            <v>2019</v>
          </cell>
          <cell r="H892">
            <v>138480</v>
          </cell>
          <cell r="J892" t="str">
            <v>DIRECTION DU PATRIMOINE  ET DES MOYENS GENERAUX</v>
          </cell>
          <cell r="K892" t="str">
            <v>Fonctionnement</v>
          </cell>
        </row>
        <row r="893">
          <cell r="A893">
            <v>2019</v>
          </cell>
          <cell r="H893">
            <v>17849.98</v>
          </cell>
          <cell r="J893" t="str">
            <v>DIRECTION DU PATRIMOINE  ET DES MOYENS GENERAUX</v>
          </cell>
          <cell r="K893" t="str">
            <v>Fonctionnement</v>
          </cell>
        </row>
        <row r="894">
          <cell r="A894">
            <v>2019</v>
          </cell>
          <cell r="H894">
            <v>147000</v>
          </cell>
          <cell r="J894" t="str">
            <v>DIRECTION DU PATRIMOINE  ET DES MOYENS GENERAUX</v>
          </cell>
          <cell r="K894" t="str">
            <v>Fonctionnement</v>
          </cell>
        </row>
        <row r="895">
          <cell r="A895">
            <v>2019</v>
          </cell>
          <cell r="H895">
            <v>9360</v>
          </cell>
          <cell r="J895" t="str">
            <v>DIRECTION DU PATRIMOINE  ET DES MOYENS GENERAUX</v>
          </cell>
          <cell r="K895" t="str">
            <v>Fonctionnement</v>
          </cell>
        </row>
        <row r="896">
          <cell r="A896">
            <v>2019</v>
          </cell>
          <cell r="H896">
            <v>144600.01199999999</v>
          </cell>
          <cell r="J896" t="str">
            <v>DIRECTION DU PATRIMOINE  ET DES MOYENS GENERAUX</v>
          </cell>
          <cell r="K896" t="str">
            <v>Fonctionnement</v>
          </cell>
        </row>
        <row r="897">
          <cell r="A897">
            <v>2019</v>
          </cell>
          <cell r="H897">
            <v>36768</v>
          </cell>
          <cell r="J897" t="str">
            <v>DIRECTION DU PATRIMOINE  ET DES MOYENS GENERAUX</v>
          </cell>
          <cell r="K897" t="str">
            <v>Fonctionnement</v>
          </cell>
        </row>
        <row r="898">
          <cell r="A898">
            <v>2019</v>
          </cell>
          <cell r="H898">
            <v>4080</v>
          </cell>
          <cell r="J898" t="str">
            <v>DIRECTION DU PATRIMOINE  ET DES MOYENS GENERAUX</v>
          </cell>
          <cell r="K898" t="str">
            <v>Fonctionnement</v>
          </cell>
        </row>
        <row r="899">
          <cell r="A899">
            <v>2019</v>
          </cell>
          <cell r="H899">
            <v>25116</v>
          </cell>
          <cell r="J899" t="str">
            <v>DIRECTION DU PATRIMOINE  ET DES MOYENS GENERAUX</v>
          </cell>
          <cell r="K899" t="str">
            <v>Fonctionnement</v>
          </cell>
        </row>
        <row r="900">
          <cell r="A900">
            <v>2019</v>
          </cell>
          <cell r="H900">
            <v>114564</v>
          </cell>
          <cell r="J900" t="str">
            <v>DIRECTION DU PATRIMOINE  ET DES MOYENS GENERAUX</v>
          </cell>
          <cell r="K900" t="str">
            <v>Investissement</v>
          </cell>
        </row>
        <row r="901">
          <cell r="A901">
            <v>2019</v>
          </cell>
          <cell r="H901">
            <v>128520</v>
          </cell>
          <cell r="J901" t="str">
            <v>DIRECTION DU PATRIMOINE  ET DES MOYENS GENERAUX</v>
          </cell>
          <cell r="K901" t="str">
            <v>Investissement</v>
          </cell>
        </row>
        <row r="902">
          <cell r="A902">
            <v>2019</v>
          </cell>
          <cell r="H902">
            <v>130950</v>
          </cell>
          <cell r="J902" t="str">
            <v>DIRECTION DU PATRIMOINE  ET DES MOYENS GENERAUX</v>
          </cell>
          <cell r="K902" t="str">
            <v>Investissement</v>
          </cell>
        </row>
        <row r="903">
          <cell r="A903">
            <v>2019</v>
          </cell>
          <cell r="H903">
            <v>444780</v>
          </cell>
          <cell r="J903" t="str">
            <v>DIRECTION DU PATRIMOINE  ET DES MOYENS GENERAUX</v>
          </cell>
          <cell r="K903" t="str">
            <v>Investissement</v>
          </cell>
        </row>
        <row r="904">
          <cell r="A904">
            <v>2019</v>
          </cell>
          <cell r="H904">
            <v>68328</v>
          </cell>
          <cell r="J904" t="str">
            <v>DIRECTION DU PATRIMOINE  ET DES MOYENS GENERAUX</v>
          </cell>
          <cell r="K904" t="str">
            <v>Investissement</v>
          </cell>
        </row>
        <row r="905">
          <cell r="A905">
            <v>2019</v>
          </cell>
          <cell r="H905">
            <v>93600</v>
          </cell>
          <cell r="J905" t="str">
            <v>DIRECTION DU PATRIMOINE  ET DES MOYENS GENERAUX</v>
          </cell>
          <cell r="K905" t="str">
            <v>Investissement</v>
          </cell>
        </row>
        <row r="906">
          <cell r="A906">
            <v>2019</v>
          </cell>
          <cell r="H906">
            <v>133710</v>
          </cell>
          <cell r="J906" t="str">
            <v>DIRECTION DU PATRIMOINE  ET DES MOYENS GENERAUX</v>
          </cell>
          <cell r="K906" t="str">
            <v>Investissement</v>
          </cell>
        </row>
        <row r="907">
          <cell r="A907">
            <v>2019</v>
          </cell>
          <cell r="H907">
            <v>54000</v>
          </cell>
          <cell r="J907" t="str">
            <v>DIRECTION DU PATRIMOINE  ET DES MOYENS GENERAUX</v>
          </cell>
          <cell r="K907" t="str">
            <v>Investissement</v>
          </cell>
        </row>
        <row r="908">
          <cell r="A908">
            <v>2019</v>
          </cell>
          <cell r="H908">
            <v>126102</v>
          </cell>
          <cell r="J908" t="str">
            <v>DIRECTION DU PATRIMOINE  ET DES MOYENS GENERAUX</v>
          </cell>
          <cell r="K908" t="str">
            <v>Investissement</v>
          </cell>
        </row>
        <row r="909">
          <cell r="A909">
            <v>2020</v>
          </cell>
          <cell r="H909">
            <v>52152</v>
          </cell>
          <cell r="J909" t="str">
            <v>DIRECTION DU PATRIMOINE  ET DES MOYENS GENERAUX</v>
          </cell>
          <cell r="K909" t="str">
            <v>Fonctionnement</v>
          </cell>
        </row>
        <row r="910">
          <cell r="A910">
            <v>2020</v>
          </cell>
          <cell r="H910">
            <v>4560</v>
          </cell>
          <cell r="J910" t="str">
            <v>DIRECTION DU PATRIMOINE  ET DES MOYENS GENERAUX</v>
          </cell>
          <cell r="K910" t="str">
            <v>Fonctionnement</v>
          </cell>
        </row>
        <row r="911">
          <cell r="A911">
            <v>2020</v>
          </cell>
          <cell r="H911">
            <v>75720</v>
          </cell>
          <cell r="J911" t="str">
            <v>DIRECTION DU PATRIMOINE  ET DES MOYENS GENERAUX</v>
          </cell>
          <cell r="K911" t="str">
            <v>Fonctionnement</v>
          </cell>
        </row>
        <row r="912">
          <cell r="A912">
            <v>2020</v>
          </cell>
          <cell r="H912">
            <v>29961.16</v>
          </cell>
          <cell r="J912" t="str">
            <v>DIRECTION DU PATRIMOINE  ET DES MOYENS GENERAUX</v>
          </cell>
          <cell r="K912" t="str">
            <v>Fonctionnement</v>
          </cell>
        </row>
        <row r="913">
          <cell r="A913">
            <v>2020</v>
          </cell>
          <cell r="H913">
            <v>80080</v>
          </cell>
          <cell r="J913" t="str">
            <v>DIRECTION DU PATRIMOINE  ET DES MOYENS GENERAUX</v>
          </cell>
          <cell r="K913" t="str">
            <v>Fonctionnement</v>
          </cell>
        </row>
        <row r="914">
          <cell r="A914">
            <v>2020</v>
          </cell>
          <cell r="H914">
            <v>43495.199999999997</v>
          </cell>
          <cell r="J914" t="str">
            <v>DIRECTION DU PATRIMOINE  ET DES MOYENS GENERAUX</v>
          </cell>
          <cell r="K914" t="str">
            <v>Fonctionnement</v>
          </cell>
        </row>
        <row r="915">
          <cell r="A915">
            <v>2020</v>
          </cell>
          <cell r="H915">
            <v>78480</v>
          </cell>
          <cell r="J915" t="str">
            <v>DIRECTION DU PATRIMOINE  ET DES MOYENS GENERAUX</v>
          </cell>
          <cell r="K915" t="str">
            <v>Fonctionnement</v>
          </cell>
        </row>
        <row r="916">
          <cell r="A916">
            <v>2020</v>
          </cell>
          <cell r="H916">
            <v>21100</v>
          </cell>
          <cell r="J916" t="str">
            <v>DIRECTION DU PATRIMOINE  ET DES MOYENS GENERAUX</v>
          </cell>
          <cell r="K916" t="str">
            <v>Fonctionnement</v>
          </cell>
        </row>
        <row r="917">
          <cell r="A917">
            <v>2020</v>
          </cell>
          <cell r="H917">
            <v>10362.995999999999</v>
          </cell>
          <cell r="J917" t="str">
            <v>DIRECTION DU PATRIMOINE  ET DES MOYENS GENERAUX</v>
          </cell>
          <cell r="K917" t="str">
            <v>Fonctionnement</v>
          </cell>
        </row>
        <row r="918">
          <cell r="A918">
            <v>2020</v>
          </cell>
          <cell r="H918">
            <v>8003.625</v>
          </cell>
          <cell r="J918" t="str">
            <v>DIRECTION DU PATRIMOINE  ET DES MOYENS GENERAUX</v>
          </cell>
          <cell r="K918" t="str">
            <v>Fonctionnement</v>
          </cell>
        </row>
        <row r="919">
          <cell r="A919">
            <v>2020</v>
          </cell>
          <cell r="H919">
            <v>29400</v>
          </cell>
          <cell r="J919" t="str">
            <v>DIRECTION DU PATRIMOINE  ET DES MOYENS GENERAUX</v>
          </cell>
          <cell r="K919" t="str">
            <v>Fonctionnement</v>
          </cell>
        </row>
        <row r="920">
          <cell r="A920">
            <v>2020</v>
          </cell>
          <cell r="H920">
            <v>243600</v>
          </cell>
          <cell r="J920" t="str">
            <v>DIRECTION DU PATRIMOINE  ET DES MOYENS GENERAUX</v>
          </cell>
          <cell r="K920" t="str">
            <v>Fonctionnement</v>
          </cell>
        </row>
        <row r="921">
          <cell r="A921">
            <v>2020</v>
          </cell>
          <cell r="H921">
            <v>31230</v>
          </cell>
          <cell r="J921" t="str">
            <v>DIRECTION DU PATRIMOINE  ET DES MOYENS GENERAUX</v>
          </cell>
          <cell r="K921" t="str">
            <v>Fonctionnement</v>
          </cell>
        </row>
        <row r="922">
          <cell r="A922">
            <v>2020</v>
          </cell>
          <cell r="H922">
            <v>24000</v>
          </cell>
          <cell r="J922" t="str">
            <v>DIRECTION DU PATRIMOINE  ET DES MOYENS GENERAUX</v>
          </cell>
          <cell r="K922" t="str">
            <v>Fonctionnement</v>
          </cell>
        </row>
        <row r="923">
          <cell r="A923">
            <v>2020</v>
          </cell>
          <cell r="H923">
            <v>20160</v>
          </cell>
          <cell r="J923" t="str">
            <v>DIRECTION DU PATRIMOINE  ET DES MOYENS GENERAUX</v>
          </cell>
          <cell r="K923" t="str">
            <v>Fonctionnement</v>
          </cell>
        </row>
        <row r="924">
          <cell r="A924">
            <v>2020</v>
          </cell>
          <cell r="H924">
            <v>160512</v>
          </cell>
          <cell r="J924" t="str">
            <v>DIRECTION DU PATRIMOINE  ET DES MOYENS GENERAUX</v>
          </cell>
          <cell r="K924" t="str">
            <v>Fonctionnement</v>
          </cell>
        </row>
        <row r="925">
          <cell r="A925">
            <v>2020</v>
          </cell>
          <cell r="H925">
            <v>28800</v>
          </cell>
          <cell r="J925" t="str">
            <v>DIRECTION DU PATRIMOINE  ET DES MOYENS GENERAUX</v>
          </cell>
          <cell r="K925" t="str">
            <v>Fonctionnement</v>
          </cell>
        </row>
        <row r="926">
          <cell r="A926">
            <v>2020</v>
          </cell>
          <cell r="H926">
            <v>286500</v>
          </cell>
          <cell r="J926" t="str">
            <v>DIRECTION DU PATRIMOINE  ET DES MOYENS GENERAUX</v>
          </cell>
          <cell r="K926" t="str">
            <v>Fonctionnement</v>
          </cell>
        </row>
        <row r="927">
          <cell r="A927">
            <v>2020</v>
          </cell>
          <cell r="H927">
            <v>250824</v>
          </cell>
          <cell r="J927" t="str">
            <v>DIRECTION DU PATRIMOINE  ET DES MOYENS GENERAUX</v>
          </cell>
          <cell r="K927" t="str">
            <v>Fonctionnement</v>
          </cell>
        </row>
        <row r="928">
          <cell r="A928">
            <v>2020</v>
          </cell>
          <cell r="H928">
            <v>86280</v>
          </cell>
          <cell r="J928" t="str">
            <v>DIRECTION DU PATRIMOINE  ET DES MOYENS GENERAUX</v>
          </cell>
          <cell r="K928" t="str">
            <v>Fonctionnement</v>
          </cell>
        </row>
        <row r="929">
          <cell r="A929">
            <v>2020</v>
          </cell>
          <cell r="H929">
            <v>120000</v>
          </cell>
          <cell r="J929" t="str">
            <v>DIRECTION DU PATRIMOINE  ET DES MOYENS GENERAUX</v>
          </cell>
          <cell r="K929" t="str">
            <v>Fonctionnement</v>
          </cell>
        </row>
        <row r="930">
          <cell r="A930">
            <v>2020</v>
          </cell>
          <cell r="H930">
            <v>135000</v>
          </cell>
          <cell r="J930" t="str">
            <v>DIRECTION DU PATRIMOINE  ET DES MOYENS GENERAUX</v>
          </cell>
          <cell r="K930" t="str">
            <v>Fonctionnement</v>
          </cell>
        </row>
        <row r="931">
          <cell r="A931">
            <v>2020</v>
          </cell>
          <cell r="H931">
            <v>33264</v>
          </cell>
          <cell r="J931" t="str">
            <v>DIRECTION DU PATRIMOINE  ET DES MOYENS GENERAUX</v>
          </cell>
          <cell r="K931" t="str">
            <v>Fonctionnement</v>
          </cell>
        </row>
        <row r="932">
          <cell r="A932">
            <v>2020</v>
          </cell>
          <cell r="H932">
            <v>2040</v>
          </cell>
          <cell r="J932" t="str">
            <v>DIRECTION DU PATRIMOINE  ET DES MOYENS GENERAUX</v>
          </cell>
          <cell r="K932" t="str">
            <v>Fonctionnement</v>
          </cell>
        </row>
        <row r="933">
          <cell r="A933">
            <v>2020</v>
          </cell>
          <cell r="H933">
            <v>116310</v>
          </cell>
          <cell r="J933" t="str">
            <v>DIRECTION DU PATRIMOINE  ET DES MOYENS GENERAUX</v>
          </cell>
          <cell r="K933" t="str">
            <v>Fonctionnement</v>
          </cell>
        </row>
        <row r="934">
          <cell r="A934">
            <v>2020</v>
          </cell>
          <cell r="H934">
            <v>30854.400000000001</v>
          </cell>
          <cell r="J934" t="str">
            <v>DIRECTION DU PATRIMOINE  ET DES MOYENS GENERAUX</v>
          </cell>
          <cell r="K934" t="str">
            <v>Fonctionnement</v>
          </cell>
        </row>
        <row r="935">
          <cell r="A935">
            <v>2020</v>
          </cell>
          <cell r="H935">
            <v>367030</v>
          </cell>
          <cell r="J935" t="str">
            <v>DIRECTION DU PATRIMOINE  ET DES MOYENS GENERAUX</v>
          </cell>
          <cell r="K935" t="str">
            <v>Fonctionnement</v>
          </cell>
        </row>
        <row r="936">
          <cell r="A936">
            <v>2020</v>
          </cell>
          <cell r="H936">
            <v>372830.39999999997</v>
          </cell>
          <cell r="J936" t="str">
            <v>DIRECTION DU PATRIMOINE  ET DES MOYENS GENERAUX</v>
          </cell>
          <cell r="K936" t="str">
            <v>Fonctionnement</v>
          </cell>
        </row>
        <row r="937">
          <cell r="A937">
            <v>2020</v>
          </cell>
          <cell r="H937">
            <v>24000</v>
          </cell>
          <cell r="J937" t="str">
            <v>DIRECTION DU PATRIMOINE  ET DES MOYENS GENERAUX</v>
          </cell>
          <cell r="K937" t="str">
            <v>Fonctionnement</v>
          </cell>
        </row>
        <row r="938">
          <cell r="A938">
            <v>2020</v>
          </cell>
          <cell r="H938">
            <v>24000</v>
          </cell>
          <cell r="J938" t="str">
            <v>DIRECTION DU PATRIMOINE  ET DES MOYENS GENERAUX</v>
          </cell>
          <cell r="K938" t="str">
            <v>Fonctionnement</v>
          </cell>
        </row>
        <row r="939">
          <cell r="A939">
            <v>2020</v>
          </cell>
          <cell r="H939">
            <v>3000</v>
          </cell>
          <cell r="J939" t="str">
            <v>DIRECTION DU PATRIMOINE  ET DES MOYENS GENERAUX</v>
          </cell>
          <cell r="K939" t="str">
            <v>Fonctionnement</v>
          </cell>
        </row>
        <row r="940">
          <cell r="A940">
            <v>2020</v>
          </cell>
          <cell r="H940">
            <v>44280</v>
          </cell>
          <cell r="J940" t="str">
            <v>DIRECTION DU PATRIMOINE  ET DES MOYENS GENERAUX</v>
          </cell>
          <cell r="K940" t="str">
            <v>Fonctionnement</v>
          </cell>
        </row>
        <row r="941">
          <cell r="A941">
            <v>2020</v>
          </cell>
          <cell r="H941">
            <v>196872</v>
          </cell>
          <cell r="J941" t="str">
            <v>DIRECTION DU PATRIMOINE  ET DES MOYENS GENERAUX</v>
          </cell>
          <cell r="K941" t="str">
            <v>Fonctionnement</v>
          </cell>
        </row>
        <row r="942">
          <cell r="A942">
            <v>2020</v>
          </cell>
          <cell r="H942">
            <v>393451.42800000001</v>
          </cell>
          <cell r="J942" t="str">
            <v>DIRECTION DU PATRIMOINE  ET DES MOYENS GENERAUX</v>
          </cell>
          <cell r="K942" t="str">
            <v>Fonctionnement</v>
          </cell>
        </row>
        <row r="943">
          <cell r="A943">
            <v>2020</v>
          </cell>
          <cell r="H943">
            <v>67200</v>
          </cell>
          <cell r="J943" t="str">
            <v>DIRECTION DU PATRIMOINE  ET DES MOYENS GENERAUX</v>
          </cell>
          <cell r="K943" t="str">
            <v>Fonctionnement</v>
          </cell>
        </row>
        <row r="944">
          <cell r="A944">
            <v>2020</v>
          </cell>
          <cell r="H944">
            <v>1920</v>
          </cell>
          <cell r="J944" t="str">
            <v>DIRECTION DU PATRIMOINE  ET DES MOYENS GENERAUX</v>
          </cell>
          <cell r="K944" t="str">
            <v>Fonctionnement</v>
          </cell>
        </row>
        <row r="945">
          <cell r="A945">
            <v>2020</v>
          </cell>
          <cell r="H945">
            <v>187344</v>
          </cell>
          <cell r="J945" t="str">
            <v>DIRECTION DU PATRIMOINE  ET DES MOYENS GENERAUX</v>
          </cell>
          <cell r="K945" t="str">
            <v>Fonctionnement</v>
          </cell>
        </row>
        <row r="946">
          <cell r="A946">
            <v>2020</v>
          </cell>
          <cell r="H946">
            <v>145634.16</v>
          </cell>
          <cell r="J946" t="str">
            <v>DIRECTION DU PATRIMOINE  ET DES MOYENS GENERAUX</v>
          </cell>
          <cell r="K946" t="str">
            <v>Investissement</v>
          </cell>
        </row>
        <row r="947">
          <cell r="A947">
            <v>2020</v>
          </cell>
          <cell r="H947">
            <v>111840</v>
          </cell>
          <cell r="J947" t="str">
            <v>DIRECTION DU PATRIMOINE  ET DES MOYENS GENERAUX</v>
          </cell>
          <cell r="K947" t="str">
            <v>Investissement</v>
          </cell>
        </row>
        <row r="948">
          <cell r="A948">
            <v>2020</v>
          </cell>
          <cell r="H948">
            <v>119940</v>
          </cell>
          <cell r="J948" t="str">
            <v>DIRECTION DU PATRIMOINE  ET DES MOYENS GENERAUX</v>
          </cell>
          <cell r="K948" t="str">
            <v>Investissement</v>
          </cell>
        </row>
        <row r="949">
          <cell r="A949">
            <v>2020</v>
          </cell>
          <cell r="H949">
            <v>14400</v>
          </cell>
          <cell r="J949" t="str">
            <v>DIRECTION DU PATRIMOINE  ET DES MOYENS GENERAUX</v>
          </cell>
          <cell r="K949" t="str">
            <v>Investissement</v>
          </cell>
        </row>
        <row r="950">
          <cell r="A950">
            <v>2020</v>
          </cell>
          <cell r="H950">
            <v>66084</v>
          </cell>
          <cell r="J950" t="str">
            <v>DIRECTION DU PATRIMOINE  ET DES MOYENS GENERAUX</v>
          </cell>
          <cell r="K950" t="str">
            <v>Investissement</v>
          </cell>
        </row>
        <row r="951">
          <cell r="A951">
            <v>2020</v>
          </cell>
          <cell r="H951">
            <v>118680</v>
          </cell>
          <cell r="J951" t="str">
            <v>DIRECTION DU PATRIMOINE  ET DES MOYENS GENERAUX</v>
          </cell>
          <cell r="K951" t="str">
            <v>Investissement</v>
          </cell>
        </row>
        <row r="952">
          <cell r="A952">
            <v>2020</v>
          </cell>
          <cell r="H952">
            <v>325200</v>
          </cell>
          <cell r="J952" t="str">
            <v>DIRECTION DU PATRIMOINE  ET DES MOYENS GENERAUX</v>
          </cell>
          <cell r="K952" t="str">
            <v>Investissement</v>
          </cell>
        </row>
        <row r="953">
          <cell r="A953">
            <v>2020</v>
          </cell>
          <cell r="H953">
            <v>78900</v>
          </cell>
          <cell r="J953" t="str">
            <v>DIRECTION DU PATRIMOINE  ET DES MOYENS GENERAUX</v>
          </cell>
          <cell r="K953" t="str">
            <v>Investissement</v>
          </cell>
        </row>
        <row r="954">
          <cell r="A954">
            <v>2020</v>
          </cell>
          <cell r="H954">
            <v>399600</v>
          </cell>
          <cell r="J954" t="str">
            <v>DIRECTION DU PATRIMOINE  ET DES MOYENS GENERAUX</v>
          </cell>
          <cell r="K954" t="str">
            <v>Investissement</v>
          </cell>
        </row>
        <row r="955">
          <cell r="A955">
            <v>2020</v>
          </cell>
          <cell r="H955">
            <v>483675.40800000005</v>
          </cell>
          <cell r="J955" t="str">
            <v>DIRECTION DU PATRIMOINE  ET DES MOYENS GENERAUX</v>
          </cell>
          <cell r="K955" t="str">
            <v>Investissement</v>
          </cell>
        </row>
        <row r="956">
          <cell r="A956">
            <v>2016</v>
          </cell>
          <cell r="H956">
            <v>196200</v>
          </cell>
          <cell r="J956" t="str">
            <v>DIRECTION FINANCIERE</v>
          </cell>
          <cell r="K956" t="str">
            <v>Fonctionnement</v>
          </cell>
        </row>
        <row r="957">
          <cell r="A957">
            <v>2017</v>
          </cell>
          <cell r="H957">
            <v>496502.4</v>
          </cell>
          <cell r="J957" t="str">
            <v>DIRECTION FINANCIERE</v>
          </cell>
          <cell r="K957" t="str">
            <v>Fonctionnement</v>
          </cell>
        </row>
        <row r="958">
          <cell r="A958">
            <v>2018</v>
          </cell>
          <cell r="H958">
            <v>309084</v>
          </cell>
          <cell r="J958" t="str">
            <v>DIRECTION FINANCIERE</v>
          </cell>
          <cell r="K958" t="str">
            <v>Fonctionnement</v>
          </cell>
        </row>
        <row r="959">
          <cell r="A959">
            <v>2019</v>
          </cell>
          <cell r="H959">
            <v>11520</v>
          </cell>
          <cell r="J959" t="str">
            <v>DIRECTION FINANCIERE</v>
          </cell>
          <cell r="K959" t="str">
            <v>Fonctionnement</v>
          </cell>
        </row>
        <row r="960">
          <cell r="A960">
            <v>2019</v>
          </cell>
          <cell r="H960">
            <v>2090.4</v>
          </cell>
          <cell r="J960" t="str">
            <v>DIRECTION FINANCIERE</v>
          </cell>
          <cell r="K960" t="str">
            <v>Fonctionnement</v>
          </cell>
        </row>
        <row r="961">
          <cell r="A961">
            <v>2019</v>
          </cell>
          <cell r="H961">
            <v>30000</v>
          </cell>
          <cell r="J961" t="str">
            <v>DIRECTION FINANCIERE</v>
          </cell>
          <cell r="K961" t="str">
            <v>Fonctionnement</v>
          </cell>
        </row>
        <row r="962">
          <cell r="A962">
            <v>2020</v>
          </cell>
          <cell r="H962">
            <v>9600</v>
          </cell>
          <cell r="J962" t="str">
            <v>DIRECTION FINANCIERE</v>
          </cell>
          <cell r="K962" t="str">
            <v>Fonctionnement</v>
          </cell>
        </row>
        <row r="963">
          <cell r="A963">
            <v>2016</v>
          </cell>
          <cell r="H963">
            <v>65340</v>
          </cell>
          <cell r="J963" t="str">
            <v>DIRECTION JURIDIQUE</v>
          </cell>
          <cell r="K963" t="str">
            <v>Fonctionnement</v>
          </cell>
        </row>
        <row r="964">
          <cell r="A964">
            <v>2016</v>
          </cell>
          <cell r="H964">
            <v>42000</v>
          </cell>
          <cell r="J964" t="str">
            <v>DIRECTION JURIDIQUE</v>
          </cell>
          <cell r="K964" t="str">
            <v>Fonctionnement</v>
          </cell>
        </row>
        <row r="965">
          <cell r="A965">
            <v>2017</v>
          </cell>
          <cell r="H965">
            <v>65340</v>
          </cell>
          <cell r="J965" t="str">
            <v>DIRECTION JURIDIQUE</v>
          </cell>
          <cell r="K965" t="str">
            <v>Fonctionnement</v>
          </cell>
        </row>
        <row r="966">
          <cell r="A966">
            <v>2017</v>
          </cell>
          <cell r="H966">
            <v>42981.728000000003</v>
          </cell>
          <cell r="J966" t="str">
            <v>DIRECTION JURIDIQUE</v>
          </cell>
          <cell r="K966" t="str">
            <v>Fonctionnement</v>
          </cell>
        </row>
        <row r="967">
          <cell r="A967">
            <v>2018</v>
          </cell>
          <cell r="H967">
            <v>65340</v>
          </cell>
          <cell r="J967" t="str">
            <v>DIRECTION JURIDIQUE</v>
          </cell>
          <cell r="K967" t="str">
            <v>Fonctionnement</v>
          </cell>
        </row>
        <row r="968">
          <cell r="A968">
            <v>2016</v>
          </cell>
          <cell r="H968">
            <v>225600</v>
          </cell>
          <cell r="J968" t="str">
            <v>DIRECTION MARKETING ET PROGRAMATION TV</v>
          </cell>
          <cell r="K968" t="str">
            <v>Fonctionnement</v>
          </cell>
        </row>
        <row r="969">
          <cell r="A969">
            <v>2016</v>
          </cell>
          <cell r="H969">
            <v>485519.76</v>
          </cell>
          <cell r="J969" t="str">
            <v>DIRECTION MARKETING ET PROGRAMATION TV</v>
          </cell>
          <cell r="K969" t="str">
            <v>Fonctionnement</v>
          </cell>
        </row>
        <row r="970">
          <cell r="A970">
            <v>2016</v>
          </cell>
          <cell r="H970">
            <v>499920</v>
          </cell>
          <cell r="J970" t="str">
            <v>DIRECTION MARKETING ET PROGRAMATION TV</v>
          </cell>
          <cell r="K970" t="str">
            <v>Fonctionnement</v>
          </cell>
        </row>
        <row r="971">
          <cell r="A971">
            <v>2016</v>
          </cell>
          <cell r="H971">
            <v>493200</v>
          </cell>
          <cell r="J971" t="str">
            <v>DIRECTION MARKETING ET PROGRAMATION TV</v>
          </cell>
          <cell r="K971" t="str">
            <v>Fonctionnement</v>
          </cell>
        </row>
        <row r="972">
          <cell r="A972">
            <v>2016</v>
          </cell>
          <cell r="H972">
            <v>331920</v>
          </cell>
          <cell r="J972" t="str">
            <v>DIRECTION MARKETING ET PROGRAMATION TV</v>
          </cell>
          <cell r="K972" t="str">
            <v>Fonctionnement</v>
          </cell>
        </row>
        <row r="973">
          <cell r="A973">
            <v>2016</v>
          </cell>
          <cell r="H973">
            <v>182880</v>
          </cell>
          <cell r="J973" t="str">
            <v>DIRECTION MARKETING ET PROGRAMATION TV</v>
          </cell>
          <cell r="K973" t="str">
            <v>Fonctionnement</v>
          </cell>
        </row>
        <row r="974">
          <cell r="A974">
            <v>2016</v>
          </cell>
          <cell r="H974">
            <v>454404</v>
          </cell>
          <cell r="J974" t="str">
            <v>DIRECTION MARKETING ET PROGRAMATION TV</v>
          </cell>
          <cell r="K974" t="str">
            <v>Fonctionnement</v>
          </cell>
        </row>
        <row r="975">
          <cell r="A975">
            <v>2016</v>
          </cell>
          <cell r="H975">
            <v>380826.26399999997</v>
          </cell>
          <cell r="J975" t="str">
            <v>DIRECTION MARKETING ET PROGRAMATION TV</v>
          </cell>
          <cell r="K975" t="str">
            <v>Fonctionnement</v>
          </cell>
        </row>
        <row r="976">
          <cell r="A976">
            <v>2016</v>
          </cell>
          <cell r="H976">
            <v>78000</v>
          </cell>
          <cell r="J976" t="str">
            <v>DIRECTION MARKETING ET PROGRAMATION TV</v>
          </cell>
          <cell r="K976" t="str">
            <v>Fonctionnement</v>
          </cell>
        </row>
        <row r="977">
          <cell r="A977">
            <v>2016</v>
          </cell>
          <cell r="H977">
            <v>272574.12</v>
          </cell>
          <cell r="J977" t="str">
            <v>DIRECTION MARKETING ET PROGRAMATION TV</v>
          </cell>
          <cell r="K977" t="str">
            <v>Fonctionnement</v>
          </cell>
        </row>
        <row r="978">
          <cell r="A978">
            <v>2016</v>
          </cell>
          <cell r="H978">
            <v>65400</v>
          </cell>
          <cell r="J978" t="str">
            <v>DIRECTION MARKETING ET PROGRAMATION TV</v>
          </cell>
          <cell r="K978" t="str">
            <v>Fonctionnement</v>
          </cell>
        </row>
        <row r="979">
          <cell r="A979">
            <v>2016</v>
          </cell>
          <cell r="H979">
            <v>52320</v>
          </cell>
          <cell r="J979" t="str">
            <v>DIRECTION MARKETING ET PROGRAMATION TV</v>
          </cell>
          <cell r="K979" t="str">
            <v>Fonctionnement</v>
          </cell>
        </row>
        <row r="980">
          <cell r="A980">
            <v>2016</v>
          </cell>
          <cell r="H980">
            <v>114659.93400000001</v>
          </cell>
          <cell r="J980" t="str">
            <v>DIRECTION MARKETING ET PROGRAMATION TV</v>
          </cell>
          <cell r="K980" t="str">
            <v>Fonctionnement</v>
          </cell>
        </row>
        <row r="981">
          <cell r="A981">
            <v>2016</v>
          </cell>
          <cell r="H981">
            <v>136250</v>
          </cell>
          <cell r="J981" t="str">
            <v>DIRECTION MARKETING ET PROGRAMATION TV</v>
          </cell>
          <cell r="K981" t="str">
            <v>Fonctionnement</v>
          </cell>
        </row>
        <row r="982">
          <cell r="A982">
            <v>2016</v>
          </cell>
          <cell r="H982">
            <v>352942</v>
          </cell>
          <cell r="J982" t="str">
            <v>DIRECTION MARKETING ET PROGRAMATION TV</v>
          </cell>
          <cell r="K982" t="str">
            <v>Fonctionnement</v>
          </cell>
        </row>
        <row r="983">
          <cell r="A983">
            <v>2016</v>
          </cell>
          <cell r="H983">
            <v>288000</v>
          </cell>
          <cell r="J983" t="str">
            <v>DIRECTION MARKETING ET PROGRAMATION TV</v>
          </cell>
          <cell r="K983" t="str">
            <v>Investissement</v>
          </cell>
        </row>
        <row r="984">
          <cell r="A984">
            <v>2016</v>
          </cell>
          <cell r="H984">
            <v>480000</v>
          </cell>
          <cell r="J984" t="str">
            <v>DIRECTION MARKETING ET PROGRAMATION TV</v>
          </cell>
          <cell r="K984" t="str">
            <v>Investissement</v>
          </cell>
        </row>
        <row r="985">
          <cell r="A985">
            <v>2016</v>
          </cell>
          <cell r="H985">
            <v>385800</v>
          </cell>
          <cell r="J985" t="str">
            <v>DIRECTION MARKETING ET PROGRAMATION TV</v>
          </cell>
          <cell r="K985" t="str">
            <v>Investissement</v>
          </cell>
        </row>
        <row r="986">
          <cell r="A986">
            <v>2017</v>
          </cell>
          <cell r="H986">
            <v>493200</v>
          </cell>
          <cell r="J986" t="str">
            <v>DIRECTION MARKETING ET PROGRAMATION TV</v>
          </cell>
          <cell r="K986" t="str">
            <v>Fonctionnement</v>
          </cell>
        </row>
        <row r="987">
          <cell r="A987">
            <v>2017</v>
          </cell>
          <cell r="H987">
            <v>306000</v>
          </cell>
          <cell r="J987" t="str">
            <v>DIRECTION MARKETING ET PROGRAMATION TV</v>
          </cell>
          <cell r="K987" t="str">
            <v>Fonctionnement</v>
          </cell>
        </row>
        <row r="988">
          <cell r="A988">
            <v>2017</v>
          </cell>
          <cell r="H988">
            <v>173700</v>
          </cell>
          <cell r="J988" t="str">
            <v>DIRECTION MARKETING ET PROGRAMATION TV</v>
          </cell>
          <cell r="K988" t="str">
            <v>Fonctionnement</v>
          </cell>
        </row>
        <row r="989">
          <cell r="A989">
            <v>2017</v>
          </cell>
          <cell r="H989">
            <v>196560</v>
          </cell>
          <cell r="J989" t="str">
            <v>DIRECTION MARKETING ET PROGRAMATION TV</v>
          </cell>
          <cell r="K989" t="str">
            <v>Fonctionnement</v>
          </cell>
        </row>
        <row r="990">
          <cell r="A990">
            <v>2017</v>
          </cell>
          <cell r="H990">
            <v>474000</v>
          </cell>
          <cell r="J990" t="str">
            <v>DIRECTION MARKETING ET PROGRAMATION TV</v>
          </cell>
          <cell r="K990" t="str">
            <v>Fonctionnement</v>
          </cell>
        </row>
        <row r="991">
          <cell r="A991">
            <v>2017</v>
          </cell>
          <cell r="H991">
            <v>69300</v>
          </cell>
          <cell r="J991" t="str">
            <v>DIRECTION MARKETING ET PROGRAMATION TV</v>
          </cell>
          <cell r="K991" t="str">
            <v>Fonctionnement</v>
          </cell>
        </row>
        <row r="992">
          <cell r="A992">
            <v>2017</v>
          </cell>
          <cell r="H992">
            <v>84000</v>
          </cell>
          <cell r="J992" t="str">
            <v>DIRECTION MARKETING ET PROGRAMATION TV</v>
          </cell>
          <cell r="K992" t="str">
            <v>Fonctionnement</v>
          </cell>
        </row>
        <row r="993">
          <cell r="A993">
            <v>2017</v>
          </cell>
          <cell r="H993">
            <v>156000</v>
          </cell>
          <cell r="J993" t="str">
            <v>DIRECTION MARKETING ET PROGRAMATION TV</v>
          </cell>
          <cell r="K993" t="str">
            <v>Fonctionnement</v>
          </cell>
        </row>
        <row r="994">
          <cell r="A994">
            <v>2017</v>
          </cell>
          <cell r="H994">
            <v>197330.592</v>
          </cell>
          <cell r="J994" t="str">
            <v>DIRECTION MARKETING ET PROGRAMATION TV</v>
          </cell>
          <cell r="K994" t="str">
            <v>Fonctionnement</v>
          </cell>
        </row>
        <row r="995">
          <cell r="A995">
            <v>2017</v>
          </cell>
          <cell r="H995">
            <v>78000</v>
          </cell>
          <cell r="J995" t="str">
            <v>DIRECTION MARKETING ET PROGRAMATION TV</v>
          </cell>
          <cell r="K995" t="str">
            <v>Fonctionnement</v>
          </cell>
        </row>
        <row r="996">
          <cell r="A996">
            <v>2017</v>
          </cell>
          <cell r="H996">
            <v>386085</v>
          </cell>
          <cell r="J996" t="str">
            <v>DIRECTION MARKETING ET PROGRAMATION TV</v>
          </cell>
          <cell r="K996" t="str">
            <v>Fonctionnement</v>
          </cell>
        </row>
        <row r="997">
          <cell r="A997">
            <v>2017</v>
          </cell>
          <cell r="H997">
            <v>76800</v>
          </cell>
          <cell r="J997" t="str">
            <v>DIRECTION MARKETING ET PROGRAMATION TV</v>
          </cell>
          <cell r="K997" t="str">
            <v>Fonctionnement</v>
          </cell>
        </row>
        <row r="998">
          <cell r="A998">
            <v>2017</v>
          </cell>
          <cell r="H998">
            <v>295560</v>
          </cell>
          <cell r="J998" t="str">
            <v>DIRECTION MARKETING ET PROGRAMATION TV</v>
          </cell>
          <cell r="K998" t="str">
            <v>Fonctionnement</v>
          </cell>
        </row>
        <row r="999">
          <cell r="A999">
            <v>2017</v>
          </cell>
          <cell r="H999">
            <v>60000</v>
          </cell>
          <cell r="J999" t="str">
            <v>DIRECTION MARKETING ET PROGRAMATION TV</v>
          </cell>
          <cell r="K999" t="str">
            <v>Fonctionnement</v>
          </cell>
        </row>
        <row r="1000">
          <cell r="A1000">
            <v>2017</v>
          </cell>
          <cell r="H1000">
            <v>120960</v>
          </cell>
          <cell r="J1000" t="str">
            <v>DIRECTION MARKETING ET PROGRAMATION TV</v>
          </cell>
          <cell r="K1000" t="str">
            <v>Fonctionnement</v>
          </cell>
        </row>
        <row r="1001">
          <cell r="A1001">
            <v>2017</v>
          </cell>
          <cell r="H1001">
            <v>127422</v>
          </cell>
          <cell r="J1001" t="str">
            <v>DIRECTION MARKETING ET PROGRAMATION TV</v>
          </cell>
          <cell r="K1001" t="str">
            <v>Fonctionnement</v>
          </cell>
        </row>
        <row r="1002">
          <cell r="A1002">
            <v>2017</v>
          </cell>
          <cell r="H1002">
            <v>39120</v>
          </cell>
          <cell r="J1002" t="str">
            <v>DIRECTION MARKETING ET PROGRAMATION TV</v>
          </cell>
          <cell r="K1002" t="str">
            <v>Fonctionnement</v>
          </cell>
        </row>
        <row r="1003">
          <cell r="A1003">
            <v>2017</v>
          </cell>
          <cell r="H1003">
            <v>79500</v>
          </cell>
          <cell r="J1003" t="str">
            <v>DIRECTION MARKETING ET PROGRAMATION TV</v>
          </cell>
          <cell r="K1003" t="str">
            <v>Fonctionnement</v>
          </cell>
        </row>
        <row r="1004">
          <cell r="A1004">
            <v>2017</v>
          </cell>
          <cell r="H1004">
            <v>132500</v>
          </cell>
          <cell r="J1004" t="str">
            <v>DIRECTION MARKETING ET PROGRAMATION TV</v>
          </cell>
          <cell r="K1004" t="str">
            <v>Fonctionnement</v>
          </cell>
        </row>
        <row r="1005">
          <cell r="A1005">
            <v>2017</v>
          </cell>
          <cell r="H1005">
            <v>42400</v>
          </cell>
          <cell r="J1005" t="str">
            <v>DIRECTION MARKETING ET PROGRAMATION TV</v>
          </cell>
          <cell r="K1005" t="str">
            <v>Fonctionnement</v>
          </cell>
        </row>
        <row r="1006">
          <cell r="A1006">
            <v>2017</v>
          </cell>
          <cell r="H1006">
            <v>62784</v>
          </cell>
          <cell r="J1006" t="str">
            <v>DIRECTION MARKETING ET PROGRAMATION TV</v>
          </cell>
          <cell r="K1006" t="str">
            <v>Investissement</v>
          </cell>
        </row>
        <row r="1007">
          <cell r="A1007">
            <v>2018</v>
          </cell>
          <cell r="H1007">
            <v>217688.54399999999</v>
          </cell>
          <cell r="J1007" t="str">
            <v>DIRECTION MARKETING ET PROGRAMATION TV</v>
          </cell>
          <cell r="K1007" t="str">
            <v>Fonctionnement</v>
          </cell>
        </row>
        <row r="1008">
          <cell r="A1008">
            <v>2018</v>
          </cell>
          <cell r="H1008">
            <v>499934.81999999995</v>
          </cell>
          <cell r="J1008" t="str">
            <v>DIRECTION MARKETING ET PROGRAMATION TV</v>
          </cell>
          <cell r="K1008" t="str">
            <v>Fonctionnement</v>
          </cell>
        </row>
        <row r="1009">
          <cell r="A1009">
            <v>2018</v>
          </cell>
          <cell r="H1009">
            <v>84720</v>
          </cell>
          <cell r="J1009" t="str">
            <v>DIRECTION MARKETING ET PROGRAMATION TV</v>
          </cell>
          <cell r="K1009" t="str">
            <v>Fonctionnement</v>
          </cell>
        </row>
        <row r="1010">
          <cell r="A1010">
            <v>2018</v>
          </cell>
          <cell r="H1010">
            <v>289320</v>
          </cell>
          <cell r="J1010" t="str">
            <v>DIRECTION MARKETING ET PROGRAMATION TV</v>
          </cell>
          <cell r="K1010" t="str">
            <v>Fonctionnement</v>
          </cell>
        </row>
        <row r="1011">
          <cell r="A1011">
            <v>2018</v>
          </cell>
          <cell r="H1011">
            <v>103800</v>
          </cell>
          <cell r="J1011" t="str">
            <v>DIRECTION MARKETING ET PROGRAMATION TV</v>
          </cell>
          <cell r="K1011" t="str">
            <v>Fonctionnement</v>
          </cell>
        </row>
        <row r="1012">
          <cell r="A1012">
            <v>2018</v>
          </cell>
          <cell r="H1012">
            <v>432000</v>
          </cell>
          <cell r="J1012" t="str">
            <v>DIRECTION MARKETING ET PROGRAMATION TV</v>
          </cell>
          <cell r="K1012" t="str">
            <v>Fonctionnement</v>
          </cell>
        </row>
        <row r="1013">
          <cell r="A1013">
            <v>2018</v>
          </cell>
          <cell r="H1013">
            <v>360000</v>
          </cell>
          <cell r="J1013" t="str">
            <v>DIRECTION MARKETING ET PROGRAMATION TV</v>
          </cell>
          <cell r="K1013" t="str">
            <v>Fonctionnement</v>
          </cell>
        </row>
        <row r="1014">
          <cell r="A1014">
            <v>2018</v>
          </cell>
          <cell r="H1014">
            <v>332520</v>
          </cell>
          <cell r="J1014" t="str">
            <v>DIRECTION MARKETING ET PROGRAMATION TV</v>
          </cell>
          <cell r="K1014" t="str">
            <v>Fonctionnement</v>
          </cell>
        </row>
        <row r="1015">
          <cell r="A1015">
            <v>2018</v>
          </cell>
          <cell r="H1015">
            <v>300000</v>
          </cell>
          <cell r="J1015" t="str">
            <v>DIRECTION MARKETING ET PROGRAMATION TV</v>
          </cell>
          <cell r="K1015" t="str">
            <v>Fonctionnement</v>
          </cell>
        </row>
        <row r="1016">
          <cell r="A1016">
            <v>2018</v>
          </cell>
          <cell r="H1016">
            <v>51069</v>
          </cell>
          <cell r="J1016" t="str">
            <v>DIRECTION MARKETING ET PROGRAMATION TV</v>
          </cell>
          <cell r="K1016" t="str">
            <v>Fonctionnement</v>
          </cell>
        </row>
        <row r="1017">
          <cell r="A1017">
            <v>2018</v>
          </cell>
          <cell r="H1017">
            <v>72000</v>
          </cell>
          <cell r="J1017" t="str">
            <v>DIRECTION MARKETING ET PROGRAMATION TV</v>
          </cell>
          <cell r="K1017" t="str">
            <v>Fonctionnement</v>
          </cell>
        </row>
        <row r="1018">
          <cell r="A1018">
            <v>2018</v>
          </cell>
          <cell r="H1018">
            <v>180018.6</v>
          </cell>
          <cell r="J1018" t="str">
            <v>DIRECTION MARKETING ET PROGRAMATION TV</v>
          </cell>
          <cell r="K1018" t="str">
            <v>Fonctionnement</v>
          </cell>
        </row>
        <row r="1019">
          <cell r="A1019">
            <v>2018</v>
          </cell>
          <cell r="H1019">
            <v>89280</v>
          </cell>
          <cell r="J1019" t="str">
            <v>DIRECTION MARKETING ET PROGRAMATION TV</v>
          </cell>
          <cell r="K1019" t="str">
            <v>Fonctionnement</v>
          </cell>
        </row>
        <row r="1020">
          <cell r="A1020">
            <v>2018</v>
          </cell>
          <cell r="H1020">
            <v>480000</v>
          </cell>
          <cell r="J1020" t="str">
            <v>DIRECTION MARKETING ET PROGRAMATION TV</v>
          </cell>
          <cell r="K1020" t="str">
            <v>Fonctionnement</v>
          </cell>
        </row>
        <row r="1021">
          <cell r="A1021">
            <v>2018</v>
          </cell>
          <cell r="H1021">
            <v>90000</v>
          </cell>
          <cell r="J1021" t="str">
            <v>DIRECTION MARKETING ET PROGRAMATION TV</v>
          </cell>
          <cell r="K1021" t="str">
            <v>Fonctionnement</v>
          </cell>
        </row>
        <row r="1022">
          <cell r="A1022">
            <v>2018</v>
          </cell>
          <cell r="H1022">
            <v>67200</v>
          </cell>
          <cell r="J1022" t="str">
            <v>DIRECTION MARKETING ET PROGRAMATION TV</v>
          </cell>
          <cell r="K1022" t="str">
            <v>Fonctionnement</v>
          </cell>
        </row>
        <row r="1023">
          <cell r="A1023">
            <v>2018</v>
          </cell>
          <cell r="H1023">
            <v>60000</v>
          </cell>
          <cell r="J1023" t="str">
            <v>DIRECTION MARKETING ET PROGRAMATION TV</v>
          </cell>
          <cell r="K1023" t="str">
            <v>Fonctionnement</v>
          </cell>
        </row>
        <row r="1024">
          <cell r="A1024">
            <v>2018</v>
          </cell>
          <cell r="H1024">
            <v>321600</v>
          </cell>
          <cell r="J1024" t="str">
            <v>DIRECTION MARKETING ET PROGRAMATION TV</v>
          </cell>
          <cell r="K1024" t="str">
            <v>Fonctionnement</v>
          </cell>
        </row>
        <row r="1025">
          <cell r="A1025">
            <v>2018</v>
          </cell>
          <cell r="H1025">
            <v>69000</v>
          </cell>
          <cell r="J1025" t="str">
            <v>DIRECTION MARKETING ET PROGRAMATION TV</v>
          </cell>
          <cell r="K1025" t="str">
            <v>Fonctionnement</v>
          </cell>
        </row>
        <row r="1026">
          <cell r="A1026">
            <v>2018</v>
          </cell>
          <cell r="H1026">
            <v>203040</v>
          </cell>
          <cell r="J1026" t="str">
            <v>DIRECTION MARKETING ET PROGRAMATION TV</v>
          </cell>
          <cell r="K1026" t="str">
            <v>Fonctionnement</v>
          </cell>
        </row>
        <row r="1027">
          <cell r="A1027">
            <v>2018</v>
          </cell>
          <cell r="H1027">
            <v>42840</v>
          </cell>
          <cell r="J1027" t="str">
            <v>DIRECTION MARKETING ET PROGRAMATION TV</v>
          </cell>
          <cell r="K1027" t="str">
            <v>Fonctionnement</v>
          </cell>
        </row>
        <row r="1028">
          <cell r="A1028">
            <v>2018</v>
          </cell>
          <cell r="H1028">
            <v>75360</v>
          </cell>
          <cell r="J1028" t="str">
            <v>DIRECTION MARKETING ET PROGRAMATION TV</v>
          </cell>
          <cell r="K1028" t="str">
            <v>Fonctionnement</v>
          </cell>
        </row>
        <row r="1029">
          <cell r="A1029">
            <v>2018</v>
          </cell>
          <cell r="H1029">
            <v>43200</v>
          </cell>
          <cell r="J1029" t="str">
            <v>DIRECTION MARKETING ET PROGRAMATION TV</v>
          </cell>
          <cell r="K1029" t="str">
            <v>Fonctionnement</v>
          </cell>
        </row>
        <row r="1030">
          <cell r="A1030">
            <v>2018</v>
          </cell>
          <cell r="H1030">
            <v>180000</v>
          </cell>
          <cell r="J1030" t="str">
            <v>DIRECTION MARKETING ET PROGRAMATION TV</v>
          </cell>
          <cell r="K1030" t="str">
            <v>Fonctionnement</v>
          </cell>
        </row>
        <row r="1031">
          <cell r="A1031">
            <v>2018</v>
          </cell>
          <cell r="H1031">
            <v>272160</v>
          </cell>
          <cell r="J1031" t="str">
            <v>DIRECTION MARKETING ET PROGRAMATION TV</v>
          </cell>
          <cell r="K1031" t="str">
            <v>Fonctionnement</v>
          </cell>
        </row>
        <row r="1032">
          <cell r="A1032">
            <v>2018</v>
          </cell>
          <cell r="H1032">
            <v>164070</v>
          </cell>
          <cell r="J1032" t="str">
            <v>DIRECTION MARKETING ET PROGRAMATION TV</v>
          </cell>
          <cell r="K1032" t="str">
            <v>Fonctionnement</v>
          </cell>
        </row>
        <row r="1033">
          <cell r="A1033">
            <v>2018</v>
          </cell>
          <cell r="H1033">
            <v>114240</v>
          </cell>
          <cell r="J1033" t="str">
            <v>DIRECTION MARKETING ET PROGRAMATION TV</v>
          </cell>
          <cell r="K1033" t="str">
            <v>Fonctionnement</v>
          </cell>
        </row>
        <row r="1034">
          <cell r="A1034">
            <v>2018</v>
          </cell>
          <cell r="H1034">
            <v>300000</v>
          </cell>
          <cell r="J1034" t="str">
            <v>DIRECTION MARKETING ET PROGRAMATION TV</v>
          </cell>
          <cell r="K1034" t="str">
            <v>Fonctionnement</v>
          </cell>
        </row>
        <row r="1035">
          <cell r="A1035">
            <v>2018</v>
          </cell>
          <cell r="H1035">
            <v>172762.61249999999</v>
          </cell>
          <cell r="J1035" t="str">
            <v>DIRECTION MARKETING ET PROGRAMATION TV</v>
          </cell>
          <cell r="K1035" t="str">
            <v>Fonctionnement</v>
          </cell>
        </row>
        <row r="1036">
          <cell r="A1036">
            <v>2018</v>
          </cell>
          <cell r="H1036">
            <v>50400</v>
          </cell>
          <cell r="J1036" t="str">
            <v>DIRECTION MARKETING ET PROGRAMATION TV</v>
          </cell>
          <cell r="K1036" t="str">
            <v>Investissement</v>
          </cell>
        </row>
        <row r="1037">
          <cell r="A1037">
            <v>2018</v>
          </cell>
          <cell r="H1037">
            <v>130296</v>
          </cell>
          <cell r="J1037" t="str">
            <v>DIRECTION MARKETING ET PROGRAMATION TV</v>
          </cell>
          <cell r="K1037" t="str">
            <v>Investissement</v>
          </cell>
        </row>
        <row r="1038">
          <cell r="A1038">
            <v>2019</v>
          </cell>
          <cell r="H1038">
            <v>354948</v>
          </cell>
          <cell r="J1038" t="str">
            <v>DIRECTION MARKETING ET PROGRAMATION TV</v>
          </cell>
          <cell r="K1038" t="str">
            <v>Fonctionnement</v>
          </cell>
        </row>
        <row r="1039">
          <cell r="A1039">
            <v>2019</v>
          </cell>
          <cell r="H1039">
            <v>54500</v>
          </cell>
          <cell r="J1039" t="str">
            <v>DIRECTION MARKETING ET PROGRAMATION TV</v>
          </cell>
          <cell r="K1039" t="str">
            <v>Fonctionnement</v>
          </cell>
        </row>
        <row r="1040">
          <cell r="A1040">
            <v>2019</v>
          </cell>
          <cell r="H1040">
            <v>120960</v>
          </cell>
          <cell r="J1040" t="str">
            <v>DIRECTION MARKETING ET PROGRAMATION TV</v>
          </cell>
          <cell r="K1040" t="str">
            <v>Fonctionnement</v>
          </cell>
        </row>
        <row r="1041">
          <cell r="A1041">
            <v>2019</v>
          </cell>
          <cell r="H1041">
            <v>60000</v>
          </cell>
          <cell r="J1041" t="str">
            <v>DIRECTION MARKETING ET PROGRAMATION TV</v>
          </cell>
          <cell r="K1041" t="str">
            <v>Fonctionnement</v>
          </cell>
        </row>
        <row r="1042">
          <cell r="A1042">
            <v>2019</v>
          </cell>
          <cell r="H1042">
            <v>39000</v>
          </cell>
          <cell r="J1042" t="str">
            <v>DIRECTION MARKETING ET PROGRAMATION TV</v>
          </cell>
          <cell r="K1042" t="str">
            <v>Fonctionnement</v>
          </cell>
        </row>
        <row r="1043">
          <cell r="A1043">
            <v>2019</v>
          </cell>
          <cell r="H1043">
            <v>192000</v>
          </cell>
          <cell r="J1043" t="str">
            <v>DIRECTION MARKETING ET PROGRAMATION TV</v>
          </cell>
          <cell r="K1043" t="str">
            <v>Fonctionnement</v>
          </cell>
        </row>
        <row r="1044">
          <cell r="A1044">
            <v>2019</v>
          </cell>
          <cell r="H1044">
            <v>60000</v>
          </cell>
          <cell r="J1044" t="str">
            <v>DIRECTION MARKETING ET PROGRAMATION TV</v>
          </cell>
          <cell r="K1044" t="str">
            <v>Fonctionnement</v>
          </cell>
        </row>
        <row r="1045">
          <cell r="A1045">
            <v>2019</v>
          </cell>
          <cell r="H1045">
            <v>90000</v>
          </cell>
          <cell r="J1045" t="str">
            <v>DIRECTION MARKETING ET PROGRAMATION TV</v>
          </cell>
          <cell r="K1045" t="str">
            <v>Fonctionnement</v>
          </cell>
        </row>
        <row r="1046">
          <cell r="A1046">
            <v>2019</v>
          </cell>
          <cell r="H1046">
            <v>468000</v>
          </cell>
          <cell r="J1046" t="str">
            <v>DIRECTION MARKETING ET PROGRAMATION TV</v>
          </cell>
          <cell r="K1046" t="str">
            <v>Fonctionnement</v>
          </cell>
        </row>
        <row r="1047">
          <cell r="A1047">
            <v>2019</v>
          </cell>
          <cell r="H1047">
            <v>432000</v>
          </cell>
          <cell r="J1047" t="str">
            <v>DIRECTION MARKETING ET PROGRAMATION TV</v>
          </cell>
          <cell r="K1047" t="str">
            <v>Fonctionnement</v>
          </cell>
        </row>
        <row r="1048">
          <cell r="A1048">
            <v>2019</v>
          </cell>
          <cell r="H1048">
            <v>266100</v>
          </cell>
          <cell r="J1048" t="str">
            <v>DIRECTION MARKETING ET PROGRAMATION TV</v>
          </cell>
          <cell r="K1048" t="str">
            <v>Fonctionnement</v>
          </cell>
        </row>
        <row r="1049">
          <cell r="A1049">
            <v>2019</v>
          </cell>
          <cell r="H1049">
            <v>72000</v>
          </cell>
          <cell r="J1049" t="str">
            <v>DIRECTION MARKETING ET PROGRAMATION TV</v>
          </cell>
          <cell r="K1049" t="str">
            <v>Fonctionnement</v>
          </cell>
        </row>
        <row r="1050">
          <cell r="A1050">
            <v>2019</v>
          </cell>
          <cell r="H1050">
            <v>354000</v>
          </cell>
          <cell r="J1050" t="str">
            <v>DIRECTION MARKETING ET PROGRAMATION TV</v>
          </cell>
          <cell r="K1050" t="str">
            <v>Fonctionnement</v>
          </cell>
        </row>
        <row r="1051">
          <cell r="A1051">
            <v>2019</v>
          </cell>
          <cell r="H1051">
            <v>414000</v>
          </cell>
          <cell r="J1051" t="str">
            <v>DIRECTION MARKETING ET PROGRAMATION TV</v>
          </cell>
          <cell r="K1051" t="str">
            <v>Fonctionnement</v>
          </cell>
        </row>
        <row r="1052">
          <cell r="A1052">
            <v>2019</v>
          </cell>
          <cell r="H1052">
            <v>420000</v>
          </cell>
          <cell r="J1052" t="str">
            <v>DIRECTION MARKETING ET PROGRAMATION TV</v>
          </cell>
          <cell r="K1052" t="str">
            <v>Fonctionnement</v>
          </cell>
        </row>
        <row r="1053">
          <cell r="A1053">
            <v>2019</v>
          </cell>
          <cell r="H1053">
            <v>412800</v>
          </cell>
          <cell r="J1053" t="str">
            <v>DIRECTION MARKETING ET PROGRAMATION TV</v>
          </cell>
          <cell r="K1053" t="str">
            <v>Fonctionnement</v>
          </cell>
        </row>
        <row r="1054">
          <cell r="A1054">
            <v>2019</v>
          </cell>
          <cell r="H1054">
            <v>43200</v>
          </cell>
          <cell r="J1054" t="str">
            <v>DIRECTION MARKETING ET PROGRAMATION TV</v>
          </cell>
          <cell r="K1054" t="str">
            <v>Fonctionnement</v>
          </cell>
        </row>
        <row r="1055">
          <cell r="A1055">
            <v>2019</v>
          </cell>
          <cell r="H1055">
            <v>60480</v>
          </cell>
          <cell r="J1055" t="str">
            <v>DIRECTION MARKETING ET PROGRAMATION TV</v>
          </cell>
          <cell r="K1055" t="str">
            <v>Fonctionnement</v>
          </cell>
        </row>
        <row r="1056">
          <cell r="A1056">
            <v>2019</v>
          </cell>
          <cell r="H1056">
            <v>72000</v>
          </cell>
          <cell r="J1056" t="str">
            <v>DIRECTION MARKETING ET PROGRAMATION TV</v>
          </cell>
          <cell r="K1056" t="str">
            <v>Fonctionnement</v>
          </cell>
        </row>
        <row r="1057">
          <cell r="A1057">
            <v>2019</v>
          </cell>
          <cell r="H1057">
            <v>39900</v>
          </cell>
          <cell r="J1057" t="str">
            <v>DIRECTION MARKETING ET PROGRAMATION TV</v>
          </cell>
          <cell r="K1057" t="str">
            <v>Fonctionnement</v>
          </cell>
        </row>
        <row r="1058">
          <cell r="A1058">
            <v>2019</v>
          </cell>
          <cell r="H1058">
            <v>170640</v>
          </cell>
          <cell r="J1058" t="str">
            <v>DIRECTION MARKETING ET PROGRAMATION TV</v>
          </cell>
          <cell r="K1058" t="str">
            <v>Fonctionnement</v>
          </cell>
        </row>
        <row r="1059">
          <cell r="A1059">
            <v>2019</v>
          </cell>
          <cell r="H1059">
            <v>39600</v>
          </cell>
          <cell r="J1059" t="str">
            <v>DIRECTION MARKETING ET PROGRAMATION TV</v>
          </cell>
          <cell r="K1059" t="str">
            <v>Fonctionnement</v>
          </cell>
        </row>
        <row r="1060">
          <cell r="A1060">
            <v>2019</v>
          </cell>
          <cell r="H1060">
            <v>120000</v>
          </cell>
          <cell r="J1060" t="str">
            <v>DIRECTION MARKETING ET PROGRAMATION TV</v>
          </cell>
          <cell r="K1060" t="str">
            <v>Fonctionnement</v>
          </cell>
        </row>
        <row r="1061">
          <cell r="A1061">
            <v>2019</v>
          </cell>
          <cell r="H1061">
            <v>73135.199999999997</v>
          </cell>
          <cell r="J1061" t="str">
            <v>DIRECTION MARKETING ET PROGRAMATION TV</v>
          </cell>
          <cell r="K1061" t="str">
            <v>Fonctionnement</v>
          </cell>
        </row>
        <row r="1062">
          <cell r="A1062">
            <v>2019</v>
          </cell>
          <cell r="H1062">
            <v>22860</v>
          </cell>
          <cell r="J1062" t="str">
            <v>DIRECTION MARKETING ET PROGRAMATION TV</v>
          </cell>
          <cell r="K1062" t="str">
            <v>Fonctionnement</v>
          </cell>
        </row>
        <row r="1063">
          <cell r="A1063">
            <v>2019</v>
          </cell>
          <cell r="H1063">
            <v>58986</v>
          </cell>
          <cell r="J1063" t="str">
            <v>DIRECTION MARKETING ET PROGRAMATION TV</v>
          </cell>
          <cell r="K1063" t="str">
            <v>Fonctionnement</v>
          </cell>
        </row>
        <row r="1064">
          <cell r="A1064">
            <v>2019</v>
          </cell>
          <cell r="H1064">
            <v>192600</v>
          </cell>
          <cell r="J1064" t="str">
            <v>DIRECTION MARKETING ET PROGRAMATION TV</v>
          </cell>
          <cell r="K1064" t="str">
            <v>Fonctionnement</v>
          </cell>
        </row>
        <row r="1065">
          <cell r="A1065">
            <v>2020</v>
          </cell>
          <cell r="H1065">
            <v>120960</v>
          </cell>
          <cell r="J1065" t="str">
            <v>DIRECTION MARKETING ET PROGRAMATION TV</v>
          </cell>
          <cell r="K1065" t="str">
            <v>Fonctionnement</v>
          </cell>
        </row>
        <row r="1066">
          <cell r="A1066">
            <v>2020</v>
          </cell>
          <cell r="H1066">
            <v>60000</v>
          </cell>
          <cell r="J1066" t="str">
            <v>DIRECTION MARKETING ET PROGRAMATION TV</v>
          </cell>
          <cell r="K1066" t="str">
            <v>Fonctionnement</v>
          </cell>
        </row>
        <row r="1067">
          <cell r="A1067">
            <v>2020</v>
          </cell>
          <cell r="H1067">
            <v>42000</v>
          </cell>
          <cell r="J1067" t="str">
            <v>DIRECTION MARKETING ET PROGRAMATION TV</v>
          </cell>
          <cell r="K1067" t="str">
            <v>Fonctionnement</v>
          </cell>
        </row>
        <row r="1068">
          <cell r="A1068">
            <v>2020</v>
          </cell>
          <cell r="H1068">
            <v>6600</v>
          </cell>
          <cell r="J1068" t="str">
            <v>DIRECTION MARKETING ET PROGRAMATION TV</v>
          </cell>
          <cell r="K1068" t="str">
            <v>Fonctionnement</v>
          </cell>
        </row>
        <row r="1069">
          <cell r="A1069">
            <v>2020</v>
          </cell>
          <cell r="H1069">
            <v>330000</v>
          </cell>
          <cell r="J1069" t="str">
            <v>DIRECTION MARKETING ET PROGRAMATION TV</v>
          </cell>
          <cell r="K1069" t="str">
            <v>Fonctionnement</v>
          </cell>
        </row>
        <row r="1070">
          <cell r="A1070">
            <v>2020</v>
          </cell>
          <cell r="H1070">
            <v>168000</v>
          </cell>
          <cell r="J1070" t="str">
            <v>DIRECTION MARKETING ET PROGRAMATION TV</v>
          </cell>
          <cell r="K1070" t="str">
            <v>Fonctionnement</v>
          </cell>
        </row>
        <row r="1071">
          <cell r="A1071">
            <v>2020</v>
          </cell>
          <cell r="H1071">
            <v>72000</v>
          </cell>
          <cell r="J1071" t="str">
            <v>DIRECTION MARKETING ET PROGRAMATION TV</v>
          </cell>
          <cell r="K1071" t="str">
            <v>Fonctionnement</v>
          </cell>
        </row>
        <row r="1072">
          <cell r="A1072">
            <v>2020</v>
          </cell>
          <cell r="H1072">
            <v>108000</v>
          </cell>
          <cell r="J1072" t="str">
            <v>DIRECTION MARKETING ET PROGRAMATION TV</v>
          </cell>
          <cell r="K1072" t="str">
            <v>Fonctionnement</v>
          </cell>
        </row>
        <row r="1073">
          <cell r="A1073">
            <v>2020</v>
          </cell>
          <cell r="H1073">
            <v>180000</v>
          </cell>
          <cell r="J1073" t="str">
            <v>DIRECTION MARKETING ET PROGRAMATION TV</v>
          </cell>
          <cell r="K1073" t="str">
            <v>Fonctionnement</v>
          </cell>
        </row>
        <row r="1074">
          <cell r="A1074">
            <v>2020</v>
          </cell>
          <cell r="H1074">
            <v>79200</v>
          </cell>
          <cell r="J1074" t="str">
            <v>DIRECTION MARKETING ET PROGRAMATION TV</v>
          </cell>
          <cell r="K1074" t="str">
            <v>Fonctionnement</v>
          </cell>
        </row>
        <row r="1075">
          <cell r="A1075">
            <v>2020</v>
          </cell>
          <cell r="H1075">
            <v>63600</v>
          </cell>
          <cell r="J1075" t="str">
            <v>DIRECTION MARKETING ET PROGRAMATION TV</v>
          </cell>
          <cell r="K1075" t="str">
            <v>Fonctionnement</v>
          </cell>
        </row>
        <row r="1076">
          <cell r="A1076">
            <v>2020</v>
          </cell>
          <cell r="H1076">
            <v>198000</v>
          </cell>
          <cell r="J1076" t="str">
            <v>DIRECTION MARKETING ET PROGRAMATION TV</v>
          </cell>
          <cell r="K1076" t="str">
            <v>Fonctionnement</v>
          </cell>
        </row>
        <row r="1077">
          <cell r="A1077">
            <v>2020</v>
          </cell>
          <cell r="H1077">
            <v>296640</v>
          </cell>
          <cell r="J1077" t="str">
            <v>DIRECTION MARKETING ET PROGRAMATION TV</v>
          </cell>
          <cell r="K1077" t="str">
            <v>Fonctionnement</v>
          </cell>
        </row>
        <row r="1078">
          <cell r="A1078">
            <v>2020</v>
          </cell>
          <cell r="H1078">
            <v>30000</v>
          </cell>
          <cell r="J1078" t="str">
            <v>DIRECTION MARKETING ET PROGRAMATION TV</v>
          </cell>
          <cell r="K1078" t="str">
            <v>Fonctionnement</v>
          </cell>
        </row>
        <row r="1079">
          <cell r="A1079">
            <v>2020</v>
          </cell>
          <cell r="H1079">
            <v>274200</v>
          </cell>
          <cell r="J1079" t="str">
            <v>DIRECTION MARKETING ET PROGRAMATION TV</v>
          </cell>
          <cell r="K1079" t="str">
            <v>Fonctionnement</v>
          </cell>
        </row>
        <row r="1080">
          <cell r="A1080">
            <v>2020</v>
          </cell>
          <cell r="H1080">
            <v>89236.800000000003</v>
          </cell>
          <cell r="J1080" t="str">
            <v>DIRECTION MARKETING ET PROGRAMATION TV</v>
          </cell>
          <cell r="K1080" t="str">
            <v>Fonctionnement</v>
          </cell>
        </row>
        <row r="1081">
          <cell r="A1081">
            <v>2020</v>
          </cell>
          <cell r="H1081">
            <v>198900</v>
          </cell>
          <cell r="J1081" t="str">
            <v>DIRECTION MARKETING ET PROGRAMATION TV</v>
          </cell>
          <cell r="K1081" t="str">
            <v>Fonctionnement</v>
          </cell>
        </row>
        <row r="1082">
          <cell r="A1082">
            <v>2020</v>
          </cell>
          <cell r="H1082">
            <v>456000</v>
          </cell>
          <cell r="J1082" t="str">
            <v>DIRECTION MARKETING ET PROGRAMATION TV</v>
          </cell>
          <cell r="K1082" t="str">
            <v>Investissement</v>
          </cell>
        </row>
        <row r="1083">
          <cell r="A1083">
            <v>2020</v>
          </cell>
          <cell r="H1083">
            <v>167520</v>
          </cell>
          <cell r="J1083" t="str">
            <v>DIRECTION MARKETING ET PROGRAMATION TV</v>
          </cell>
          <cell r="K1083" t="str">
            <v>Investissement</v>
          </cell>
        </row>
        <row r="1084">
          <cell r="A1084">
            <v>2016</v>
          </cell>
          <cell r="H1084">
            <v>277950</v>
          </cell>
          <cell r="J1084" t="str">
            <v>DIRECTION TECHNIQUE</v>
          </cell>
          <cell r="K1084" t="str">
            <v>Fonctionnement</v>
          </cell>
        </row>
        <row r="1085">
          <cell r="A1085">
            <v>2016</v>
          </cell>
          <cell r="H1085">
            <v>91082.035000000003</v>
          </cell>
          <cell r="J1085" t="str">
            <v>DIRECTION TECHNIQUE</v>
          </cell>
          <cell r="K1085" t="str">
            <v>Fonctionnement</v>
          </cell>
        </row>
        <row r="1086">
          <cell r="A1086">
            <v>2016</v>
          </cell>
          <cell r="H1086">
            <v>43600</v>
          </cell>
          <cell r="J1086" t="str">
            <v>DIRECTION TECHNIQUE</v>
          </cell>
          <cell r="K1086" t="str">
            <v>Fonctionnement</v>
          </cell>
        </row>
        <row r="1087">
          <cell r="A1087">
            <v>2016</v>
          </cell>
          <cell r="H1087">
            <v>65400</v>
          </cell>
          <cell r="J1087" t="str">
            <v>DIRECTION TECHNIQUE</v>
          </cell>
          <cell r="K1087" t="str">
            <v>Fonctionnement</v>
          </cell>
        </row>
        <row r="1088">
          <cell r="A1088">
            <v>2016</v>
          </cell>
          <cell r="H1088">
            <v>104422</v>
          </cell>
          <cell r="J1088" t="str">
            <v>DIRECTION TECHNIQUE</v>
          </cell>
          <cell r="K1088" t="str">
            <v>Fonctionnement</v>
          </cell>
        </row>
        <row r="1089">
          <cell r="A1089">
            <v>2016</v>
          </cell>
          <cell r="H1089">
            <v>47960</v>
          </cell>
          <cell r="J1089" t="str">
            <v>DIRECTION TECHNIQUE</v>
          </cell>
          <cell r="K1089" t="str">
            <v>Fonctionnement</v>
          </cell>
        </row>
        <row r="1090">
          <cell r="A1090">
            <v>2016</v>
          </cell>
          <cell r="H1090">
            <v>56462</v>
          </cell>
          <cell r="J1090" t="str">
            <v>DIRECTION TECHNIQUE</v>
          </cell>
          <cell r="K1090" t="str">
            <v>Fonctionnement</v>
          </cell>
        </row>
        <row r="1091">
          <cell r="A1091">
            <v>2016</v>
          </cell>
          <cell r="H1091">
            <v>103550</v>
          </cell>
          <cell r="J1091" t="str">
            <v>DIRECTION TECHNIQUE</v>
          </cell>
          <cell r="K1091" t="str">
            <v>Fonctionnement</v>
          </cell>
        </row>
        <row r="1092">
          <cell r="A1092">
            <v>2016</v>
          </cell>
          <cell r="H1092">
            <v>293428</v>
          </cell>
          <cell r="J1092" t="str">
            <v>DIRECTION TECHNIQUE</v>
          </cell>
          <cell r="K1092" t="str">
            <v>Fonctionnement</v>
          </cell>
        </row>
        <row r="1093">
          <cell r="A1093">
            <v>2016</v>
          </cell>
          <cell r="H1093">
            <v>48354.798000000003</v>
          </cell>
          <cell r="J1093" t="str">
            <v>DIRECTION TECHNIQUE</v>
          </cell>
          <cell r="K1093" t="str">
            <v>Fonctionnement</v>
          </cell>
        </row>
        <row r="1094">
          <cell r="A1094">
            <v>2016</v>
          </cell>
          <cell r="H1094">
            <v>99811.3</v>
          </cell>
          <cell r="J1094" t="str">
            <v>DIRECTION TECHNIQUE</v>
          </cell>
          <cell r="K1094" t="str">
            <v>Fonctionnement</v>
          </cell>
        </row>
        <row r="1095">
          <cell r="A1095">
            <v>2016</v>
          </cell>
          <cell r="H1095">
            <v>33049.299999999996</v>
          </cell>
          <cell r="J1095" t="str">
            <v>DIRECTION TECHNIQUE</v>
          </cell>
          <cell r="K1095" t="str">
            <v>Fonctionnement</v>
          </cell>
        </row>
        <row r="1096">
          <cell r="A1096">
            <v>2016</v>
          </cell>
          <cell r="H1096">
            <v>52235.100000000006</v>
          </cell>
          <cell r="J1096" t="str">
            <v>DIRECTION TECHNIQUE</v>
          </cell>
          <cell r="K1096" t="str">
            <v>Fonctionnement</v>
          </cell>
        </row>
        <row r="1097">
          <cell r="A1097">
            <v>2016</v>
          </cell>
          <cell r="H1097">
            <v>57940.7</v>
          </cell>
          <cell r="J1097" t="str">
            <v>DIRECTION TECHNIQUE</v>
          </cell>
          <cell r="K1097" t="str">
            <v>Fonctionnement</v>
          </cell>
        </row>
        <row r="1098">
          <cell r="A1098">
            <v>2016</v>
          </cell>
          <cell r="H1098">
            <v>213618.42</v>
          </cell>
          <cell r="J1098" t="str">
            <v>DIRECTION TECHNIQUE</v>
          </cell>
          <cell r="K1098" t="str">
            <v>Investissement</v>
          </cell>
        </row>
        <row r="1099">
          <cell r="A1099">
            <v>2016</v>
          </cell>
          <cell r="H1099">
            <v>487548</v>
          </cell>
          <cell r="J1099" t="str">
            <v>DIRECTION TECHNIQUE</v>
          </cell>
          <cell r="K1099" t="str">
            <v>Investissement</v>
          </cell>
        </row>
        <row r="1100">
          <cell r="A1100">
            <v>2016</v>
          </cell>
          <cell r="H1100">
            <v>294840</v>
          </cell>
          <cell r="J1100" t="str">
            <v>DIRECTION TECHNIQUE</v>
          </cell>
          <cell r="K1100" t="str">
            <v>Investissement</v>
          </cell>
        </row>
        <row r="1101">
          <cell r="A1101">
            <v>2016</v>
          </cell>
          <cell r="H1101">
            <v>499560</v>
          </cell>
          <cell r="J1101" t="str">
            <v>DIRECTION TECHNIQUE</v>
          </cell>
          <cell r="K1101" t="str">
            <v>Investissement</v>
          </cell>
        </row>
        <row r="1102">
          <cell r="A1102">
            <v>2017</v>
          </cell>
          <cell r="H1102">
            <v>110458.68</v>
          </cell>
          <cell r="J1102" t="str">
            <v>DIRECTION TECHNIQUE</v>
          </cell>
          <cell r="K1102" t="str">
            <v>Fonctionnement</v>
          </cell>
        </row>
        <row r="1103">
          <cell r="A1103">
            <v>2017</v>
          </cell>
          <cell r="H1103">
            <v>124386.79</v>
          </cell>
          <cell r="J1103" t="str">
            <v>DIRECTION TECHNIQUE</v>
          </cell>
          <cell r="K1103" t="str">
            <v>Fonctionnement</v>
          </cell>
        </row>
        <row r="1104">
          <cell r="A1104">
            <v>2017</v>
          </cell>
          <cell r="H1104">
            <v>48111.37</v>
          </cell>
          <cell r="J1104" t="str">
            <v>DIRECTION TECHNIQUE</v>
          </cell>
          <cell r="K1104" t="str">
            <v>Fonctionnement</v>
          </cell>
        </row>
        <row r="1105">
          <cell r="A1105">
            <v>2017</v>
          </cell>
          <cell r="H1105">
            <v>248782</v>
          </cell>
          <cell r="J1105" t="str">
            <v>DIRECTION TECHNIQUE</v>
          </cell>
          <cell r="K1105" t="str">
            <v>Fonctionnement</v>
          </cell>
        </row>
        <row r="1106">
          <cell r="A1106">
            <v>2017</v>
          </cell>
          <cell r="H1106">
            <v>238140</v>
          </cell>
          <cell r="J1106" t="str">
            <v>DIRECTION TECHNIQUE</v>
          </cell>
          <cell r="K1106" t="str">
            <v>Investissement</v>
          </cell>
        </row>
        <row r="1107">
          <cell r="A1107">
            <v>2017</v>
          </cell>
          <cell r="H1107">
            <v>424999.2</v>
          </cell>
          <cell r="J1107" t="str">
            <v>DIRECTION TECHNIQUE</v>
          </cell>
          <cell r="K1107" t="str">
            <v>Investissement</v>
          </cell>
        </row>
        <row r="1108">
          <cell r="A1108">
            <v>2017</v>
          </cell>
          <cell r="H1108">
            <v>128959.59999999999</v>
          </cell>
          <cell r="J1108" t="str">
            <v>DIRECTION TECHNIQUE</v>
          </cell>
          <cell r="K1108" t="str">
            <v>Fonctionnement</v>
          </cell>
        </row>
        <row r="1109">
          <cell r="A1109">
            <v>2017</v>
          </cell>
          <cell r="H1109">
            <v>244800</v>
          </cell>
          <cell r="J1109" t="str">
            <v>DIRECTION TECHNIQUE</v>
          </cell>
          <cell r="K1109" t="str">
            <v>Fonctionnement</v>
          </cell>
        </row>
        <row r="1110">
          <cell r="A1110">
            <v>2017</v>
          </cell>
          <cell r="H1110">
            <v>157603.20000000001</v>
          </cell>
          <cell r="J1110" t="str">
            <v>DIRECTION TECHNIQUE</v>
          </cell>
          <cell r="K1110" t="str">
            <v>Fonctionnement</v>
          </cell>
        </row>
        <row r="1111">
          <cell r="A1111">
            <v>2017</v>
          </cell>
          <cell r="H1111">
            <v>144000</v>
          </cell>
          <cell r="J1111" t="str">
            <v>DIRECTION TECHNIQUE</v>
          </cell>
          <cell r="K1111" t="str">
            <v>Investissement</v>
          </cell>
        </row>
        <row r="1112">
          <cell r="A1112">
            <v>2018</v>
          </cell>
          <cell r="H1112">
            <v>73440</v>
          </cell>
          <cell r="J1112" t="str">
            <v>DIRECTION TECHNIQUE</v>
          </cell>
          <cell r="K1112" t="str">
            <v>Investissement</v>
          </cell>
        </row>
        <row r="1113">
          <cell r="A1113">
            <v>2018</v>
          </cell>
          <cell r="H1113">
            <v>259440</v>
          </cell>
          <cell r="J1113" t="str">
            <v>DIRECTION TECHNIQUE</v>
          </cell>
          <cell r="K1113" t="str">
            <v>Investissement</v>
          </cell>
        </row>
        <row r="1114">
          <cell r="A1114">
            <v>2018</v>
          </cell>
          <cell r="H1114">
            <v>71724.960000000006</v>
          </cell>
          <cell r="J1114" t="str">
            <v>DIRECTION TECHNIQUE</v>
          </cell>
          <cell r="K1114" t="str">
            <v>Investissement</v>
          </cell>
        </row>
        <row r="1115">
          <cell r="A1115">
            <v>2018</v>
          </cell>
          <cell r="H1115">
            <v>130288.68</v>
          </cell>
          <cell r="J1115" t="str">
            <v>DIRECTION TECHNIQUE</v>
          </cell>
          <cell r="K1115" t="str">
            <v>Investissement</v>
          </cell>
        </row>
        <row r="1116">
          <cell r="A1116">
            <v>2018</v>
          </cell>
          <cell r="H1116">
            <v>63936</v>
          </cell>
          <cell r="J1116" t="str">
            <v>DIRECTION TECHNIQUE</v>
          </cell>
          <cell r="K1116" t="str">
            <v>Investissement</v>
          </cell>
        </row>
        <row r="1117">
          <cell r="A1117">
            <v>2018</v>
          </cell>
          <cell r="H1117">
            <v>244800</v>
          </cell>
          <cell r="J1117" t="str">
            <v>DIRECTION TECHNIQUE</v>
          </cell>
          <cell r="K1117" t="str">
            <v>Investissement</v>
          </cell>
        </row>
        <row r="1118">
          <cell r="A1118">
            <v>2019</v>
          </cell>
          <cell r="H1118">
            <v>179269.2</v>
          </cell>
          <cell r="J1118" t="str">
            <v>DIRECTION TECHNIQUE</v>
          </cell>
          <cell r="K1118" t="str">
            <v>Fonctionnement</v>
          </cell>
        </row>
        <row r="1119">
          <cell r="A1119">
            <v>2019</v>
          </cell>
          <cell r="H1119">
            <v>144000</v>
          </cell>
          <cell r="J1119" t="str">
            <v>DIRECTION TECHNIQUE</v>
          </cell>
          <cell r="K1119" t="str">
            <v>Fonctionnement</v>
          </cell>
        </row>
        <row r="1120">
          <cell r="A1120">
            <v>2019</v>
          </cell>
          <cell r="H1120">
            <v>286521.59999999998</v>
          </cell>
          <cell r="J1120" t="str">
            <v>DIRECTION TECHNIQUE</v>
          </cell>
          <cell r="K1120" t="str">
            <v>Fonctionnement</v>
          </cell>
        </row>
        <row r="1121">
          <cell r="A1121">
            <v>2019</v>
          </cell>
          <cell r="H1121">
            <v>488400</v>
          </cell>
          <cell r="J1121" t="str">
            <v>DIRECTION TECHNIQUE</v>
          </cell>
          <cell r="K1121" t="str">
            <v>Fonctionnement</v>
          </cell>
        </row>
        <row r="1122">
          <cell r="A1122">
            <v>2019</v>
          </cell>
          <cell r="H1122">
            <v>3300</v>
          </cell>
          <cell r="J1122" t="str">
            <v>DIRECTION TECHNIQUE</v>
          </cell>
          <cell r="K1122" t="str">
            <v>Fonctionnement</v>
          </cell>
        </row>
        <row r="1123">
          <cell r="A1123">
            <v>2019</v>
          </cell>
          <cell r="H1123">
            <v>7800</v>
          </cell>
          <cell r="J1123" t="str">
            <v>DIRECTION TECHNIQUE</v>
          </cell>
          <cell r="K1123" t="str">
            <v>Fonctionnement</v>
          </cell>
        </row>
        <row r="1124">
          <cell r="A1124">
            <v>2019</v>
          </cell>
          <cell r="H1124">
            <v>177318.16</v>
          </cell>
          <cell r="J1124" t="str">
            <v>DIRECTION TECHNIQUE</v>
          </cell>
          <cell r="K1124" t="str">
            <v>Fonctionnement</v>
          </cell>
        </row>
        <row r="1125">
          <cell r="A1125">
            <v>2019</v>
          </cell>
          <cell r="H1125">
            <v>8024.9999999999991</v>
          </cell>
          <cell r="J1125" t="str">
            <v>DIRECTION TECHNIQUE</v>
          </cell>
          <cell r="K1125" t="str">
            <v>Fonctionnement</v>
          </cell>
        </row>
        <row r="1126">
          <cell r="A1126">
            <v>2019</v>
          </cell>
          <cell r="H1126">
            <v>4284</v>
          </cell>
          <cell r="J1126" t="str">
            <v>DIRECTION TECHNIQUE</v>
          </cell>
          <cell r="K1126" t="str">
            <v>Fonctionnement</v>
          </cell>
        </row>
        <row r="1127">
          <cell r="A1127">
            <v>2019</v>
          </cell>
          <cell r="H1127">
            <v>499966.15</v>
          </cell>
          <cell r="J1127" t="str">
            <v>DIRECTION TECHNIQUE</v>
          </cell>
          <cell r="K1127" t="str">
            <v>Investissement</v>
          </cell>
        </row>
        <row r="1128">
          <cell r="A1128">
            <v>2019</v>
          </cell>
          <cell r="H1128">
            <v>111902.39999999999</v>
          </cell>
          <cell r="J1128" t="str">
            <v>DIRECTION TECHNIQUE</v>
          </cell>
          <cell r="K1128" t="str">
            <v>Investissement</v>
          </cell>
        </row>
        <row r="1129">
          <cell r="A1129">
            <v>2019</v>
          </cell>
          <cell r="H1129">
            <v>340215</v>
          </cell>
          <cell r="J1129" t="str">
            <v>DIRECTION TECHNIQUE</v>
          </cell>
          <cell r="K1129" t="str">
            <v>Investissement</v>
          </cell>
        </row>
        <row r="1130">
          <cell r="A1130">
            <v>2019</v>
          </cell>
          <cell r="H1130">
            <v>185505.93599999999</v>
          </cell>
          <cell r="J1130" t="str">
            <v>DIRECTION TECHNIQUE</v>
          </cell>
          <cell r="K1130" t="str">
            <v>Investissement</v>
          </cell>
        </row>
        <row r="1131">
          <cell r="A1131">
            <v>2019</v>
          </cell>
          <cell r="H1131">
            <v>5472</v>
          </cell>
          <cell r="J1131" t="str">
            <v>DIRECTION TECHNIQUE</v>
          </cell>
          <cell r="K1131" t="str">
            <v>Investissement</v>
          </cell>
        </row>
        <row r="1132">
          <cell r="A1132">
            <v>2020</v>
          </cell>
          <cell r="H1132">
            <v>45803.16</v>
          </cell>
          <cell r="J1132" t="str">
            <v>DIRECTION TECHNIQUE</v>
          </cell>
          <cell r="K1132" t="str">
            <v>Fonctionnement</v>
          </cell>
        </row>
        <row r="1133">
          <cell r="A1133">
            <v>2020</v>
          </cell>
          <cell r="H1133">
            <v>32832</v>
          </cell>
          <cell r="J1133" t="str">
            <v>DIRECTION TECHNIQUE</v>
          </cell>
          <cell r="K1133" t="str">
            <v>Fonctionnement</v>
          </cell>
        </row>
        <row r="1134">
          <cell r="A1134">
            <v>2020</v>
          </cell>
          <cell r="H1134">
            <v>489927.36</v>
          </cell>
          <cell r="J1134" t="str">
            <v>DIRECTION TECHNIQUE</v>
          </cell>
          <cell r="K1134" t="str">
            <v>Fonctionnement</v>
          </cell>
        </row>
        <row r="1135">
          <cell r="A1135">
            <v>2020</v>
          </cell>
          <cell r="H1135">
            <v>141067.20000000001</v>
          </cell>
          <cell r="J1135" t="str">
            <v>DIRECTION TECHNIQUE</v>
          </cell>
          <cell r="K1135" t="str">
            <v>Investissement</v>
          </cell>
        </row>
        <row r="1136">
          <cell r="A1136">
            <v>2020</v>
          </cell>
          <cell r="H1136">
            <v>68289.600000000006</v>
          </cell>
          <cell r="J1136" t="str">
            <v>DIRECTION TECHNIQUE</v>
          </cell>
          <cell r="K1136" t="str">
            <v>Investissement</v>
          </cell>
        </row>
        <row r="1137">
          <cell r="A1137">
            <v>2020</v>
          </cell>
          <cell r="H1137">
            <v>347776.1</v>
          </cell>
          <cell r="J1137" t="str">
            <v>DIRECTION TECHNIQUE</v>
          </cell>
          <cell r="K1137" t="str">
            <v>Investissement</v>
          </cell>
        </row>
        <row r="1138">
          <cell r="A1138">
            <v>2020</v>
          </cell>
          <cell r="H1138">
            <v>142000</v>
          </cell>
          <cell r="J1138" t="str">
            <v>DIRECTION TECHNIQUE</v>
          </cell>
          <cell r="K1138" t="str">
            <v>Investissement</v>
          </cell>
        </row>
        <row r="1139">
          <cell r="A1139">
            <v>2020</v>
          </cell>
          <cell r="H1139">
            <v>34982.46</v>
          </cell>
          <cell r="J1139" t="str">
            <v>DIRECTION TECHNIQUE</v>
          </cell>
          <cell r="K1139" t="str">
            <v>Investissement</v>
          </cell>
        </row>
        <row r="1140">
          <cell r="A1140">
            <v>2020</v>
          </cell>
          <cell r="H1140">
            <v>142951.20000000001</v>
          </cell>
          <cell r="J1140" t="str">
            <v>DIRECTION TECHNIQUE</v>
          </cell>
          <cell r="K1140" t="str">
            <v>Investissement</v>
          </cell>
        </row>
        <row r="1141">
          <cell r="A1141">
            <v>2020</v>
          </cell>
          <cell r="H1141">
            <v>20640</v>
          </cell>
          <cell r="J1141" t="str">
            <v>DIRECTION TECHNIQUE</v>
          </cell>
          <cell r="K1141" t="str">
            <v>Investissement</v>
          </cell>
        </row>
        <row r="1142">
          <cell r="A1142">
            <v>2020</v>
          </cell>
          <cell r="H1142">
            <v>339336</v>
          </cell>
          <cell r="J1142" t="str">
            <v>DIRECTION TECHNIQUE</v>
          </cell>
          <cell r="K1142" t="str">
            <v>Investissement</v>
          </cell>
        </row>
      </sheetData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view="pageBreakPreview" topLeftCell="D10" zoomScale="60" workbookViewId="0">
      <selection activeCell="D16" sqref="D16"/>
    </sheetView>
  </sheetViews>
  <sheetFormatPr baseColWidth="10" defaultColWidth="11.42578125" defaultRowHeight="15.75"/>
  <cols>
    <col min="1" max="1" width="9.28515625" style="60" customWidth="1"/>
    <col min="2" max="2" width="18.5703125" style="59" customWidth="1"/>
    <col min="3" max="3" width="26.28515625" style="59" customWidth="1"/>
    <col min="4" max="4" width="98.140625" style="77" customWidth="1"/>
    <col min="5" max="5" width="26.85546875" style="59" customWidth="1"/>
    <col min="6" max="6" width="29.28515625" style="59" customWidth="1"/>
    <col min="7" max="8" width="11.42578125" style="59" hidden="1" customWidth="1"/>
    <col min="9" max="9" width="16.42578125" style="59" customWidth="1"/>
    <col min="10" max="10" width="24.5703125" style="59" customWidth="1"/>
    <col min="11" max="11" width="27.28515625" style="59" customWidth="1"/>
    <col min="12" max="12" width="28.5703125" style="59" customWidth="1"/>
    <col min="13" max="13" width="26.140625" style="59" customWidth="1"/>
    <col min="14" max="16384" width="11.42578125" style="59"/>
  </cols>
  <sheetData>
    <row r="1" spans="1:13" ht="50.25" customHeight="1">
      <c r="A1" s="61" t="s">
        <v>132</v>
      </c>
      <c r="B1" s="62" t="s">
        <v>133</v>
      </c>
      <c r="C1" s="62" t="s">
        <v>134</v>
      </c>
      <c r="D1" s="75" t="s">
        <v>135</v>
      </c>
      <c r="E1" s="62" t="s">
        <v>136</v>
      </c>
      <c r="F1" s="62" t="s">
        <v>137</v>
      </c>
      <c r="G1" s="62" t="s">
        <v>138</v>
      </c>
      <c r="H1" s="62" t="s">
        <v>139</v>
      </c>
      <c r="I1" s="62" t="s">
        <v>140</v>
      </c>
      <c r="J1" s="63" t="s">
        <v>141</v>
      </c>
      <c r="K1" s="64" t="s">
        <v>187</v>
      </c>
      <c r="L1" s="64" t="s">
        <v>142</v>
      </c>
      <c r="M1" s="64" t="s">
        <v>186</v>
      </c>
    </row>
    <row r="2" spans="1:13" ht="53.25" customHeight="1">
      <c r="A2" s="65"/>
      <c r="B2" s="66"/>
      <c r="C2" s="68"/>
      <c r="D2" s="78" t="s">
        <v>176</v>
      </c>
      <c r="E2" s="88" t="s">
        <v>179</v>
      </c>
      <c r="F2" s="89" t="s">
        <v>180</v>
      </c>
      <c r="G2" s="68"/>
      <c r="H2" s="68"/>
      <c r="I2" s="91">
        <v>60</v>
      </c>
      <c r="J2" s="90">
        <v>254000</v>
      </c>
      <c r="K2" s="92">
        <f>J2*I2</f>
        <v>15240000</v>
      </c>
      <c r="L2" s="92">
        <f>K2*0.2</f>
        <v>3048000</v>
      </c>
      <c r="M2" s="80">
        <f>L2+K2</f>
        <v>18288000</v>
      </c>
    </row>
    <row r="3" spans="1:13" ht="53.25" customHeight="1">
      <c r="A3" s="65"/>
      <c r="B3" s="66"/>
      <c r="C3" s="68"/>
      <c r="D3" s="78" t="s">
        <v>177</v>
      </c>
      <c r="E3" s="88" t="s">
        <v>179</v>
      </c>
      <c r="F3" s="89" t="s">
        <v>180</v>
      </c>
      <c r="G3" s="68"/>
      <c r="H3" s="68"/>
      <c r="I3" s="91">
        <v>60</v>
      </c>
      <c r="J3" s="90">
        <v>254000</v>
      </c>
      <c r="K3" s="92">
        <f t="shared" ref="K3:K4" si="0">J3*I3</f>
        <v>15240000</v>
      </c>
      <c r="L3" s="92">
        <f t="shared" ref="L3:L9" si="1">K3*0.2</f>
        <v>3048000</v>
      </c>
      <c r="M3" s="80">
        <f t="shared" ref="M3:M15" si="2">L3+K3</f>
        <v>18288000</v>
      </c>
    </row>
    <row r="4" spans="1:13" ht="53.25" customHeight="1">
      <c r="A4" s="65"/>
      <c r="B4" s="66"/>
      <c r="C4" s="68"/>
      <c r="D4" s="78" t="s">
        <v>178</v>
      </c>
      <c r="E4" s="88" t="s">
        <v>179</v>
      </c>
      <c r="F4" s="89" t="s">
        <v>180</v>
      </c>
      <c r="G4" s="68"/>
      <c r="H4" s="68"/>
      <c r="I4" s="91">
        <v>60</v>
      </c>
      <c r="J4" s="90">
        <v>254000</v>
      </c>
      <c r="K4" s="92">
        <f t="shared" si="0"/>
        <v>15240000</v>
      </c>
      <c r="L4" s="92">
        <f t="shared" si="1"/>
        <v>3048000</v>
      </c>
      <c r="M4" s="80">
        <f t="shared" si="2"/>
        <v>18288000</v>
      </c>
    </row>
    <row r="5" spans="1:13" ht="53.25" customHeight="1">
      <c r="A5" s="65"/>
      <c r="B5" s="66"/>
      <c r="C5" s="68"/>
      <c r="D5" s="78" t="s">
        <v>181</v>
      </c>
      <c r="E5" s="88" t="s">
        <v>179</v>
      </c>
      <c r="F5" s="89" t="s">
        <v>180</v>
      </c>
      <c r="G5" s="68"/>
      <c r="H5" s="68"/>
      <c r="I5" s="91">
        <v>6</v>
      </c>
      <c r="J5" s="90">
        <v>1010000</v>
      </c>
      <c r="K5" s="92">
        <f t="shared" ref="K5:K13" si="3">J5*I5</f>
        <v>6060000</v>
      </c>
      <c r="L5" s="92">
        <f t="shared" si="1"/>
        <v>1212000</v>
      </c>
      <c r="M5" s="80">
        <f t="shared" ref="M5" si="4">L5+K5</f>
        <v>7272000</v>
      </c>
    </row>
    <row r="6" spans="1:13" ht="53.25" customHeight="1">
      <c r="A6" s="65"/>
      <c r="B6" s="66"/>
      <c r="C6" s="68"/>
      <c r="D6" s="78" t="s">
        <v>182</v>
      </c>
      <c r="E6" s="88" t="s">
        <v>179</v>
      </c>
      <c r="F6" s="89" t="s">
        <v>180</v>
      </c>
      <c r="G6" s="68"/>
      <c r="H6" s="68"/>
      <c r="I6" s="91">
        <v>3</v>
      </c>
      <c r="J6" s="90">
        <v>2032000</v>
      </c>
      <c r="K6" s="92">
        <f t="shared" si="3"/>
        <v>6096000</v>
      </c>
      <c r="L6" s="92">
        <f t="shared" si="1"/>
        <v>1219200</v>
      </c>
      <c r="M6" s="80">
        <f t="shared" ref="M6:M8" si="5">L6+K6</f>
        <v>7315200</v>
      </c>
    </row>
    <row r="7" spans="1:13" ht="53.25" customHeight="1">
      <c r="A7" s="65"/>
      <c r="B7" s="66"/>
      <c r="C7" s="68"/>
      <c r="D7" s="78" t="s">
        <v>183</v>
      </c>
      <c r="E7" s="88" t="s">
        <v>179</v>
      </c>
      <c r="F7" s="89" t="s">
        <v>180</v>
      </c>
      <c r="G7" s="68"/>
      <c r="H7" s="68"/>
      <c r="I7" s="91">
        <v>3</v>
      </c>
      <c r="J7" s="90">
        <v>2760000</v>
      </c>
      <c r="K7" s="92">
        <f t="shared" si="3"/>
        <v>8280000</v>
      </c>
      <c r="L7" s="92">
        <f t="shared" si="1"/>
        <v>1656000</v>
      </c>
      <c r="M7" s="80">
        <f t="shared" si="5"/>
        <v>9936000</v>
      </c>
    </row>
    <row r="8" spans="1:13" ht="53.25" customHeight="1">
      <c r="A8" s="65"/>
      <c r="B8" s="66"/>
      <c r="C8" s="68"/>
      <c r="D8" s="78" t="s">
        <v>184</v>
      </c>
      <c r="E8" s="88" t="s">
        <v>179</v>
      </c>
      <c r="F8" s="89" t="s">
        <v>180</v>
      </c>
      <c r="G8" s="68"/>
      <c r="H8" s="68"/>
      <c r="I8" s="91">
        <v>3</v>
      </c>
      <c r="J8" s="90">
        <v>450000</v>
      </c>
      <c r="K8" s="92">
        <f t="shared" si="3"/>
        <v>1350000</v>
      </c>
      <c r="L8" s="92">
        <f t="shared" si="1"/>
        <v>270000</v>
      </c>
      <c r="M8" s="80">
        <f t="shared" si="5"/>
        <v>1620000</v>
      </c>
    </row>
    <row r="9" spans="1:13" ht="53.25" customHeight="1">
      <c r="A9" s="65"/>
      <c r="B9" s="66"/>
      <c r="C9" s="68"/>
      <c r="D9" s="78" t="s">
        <v>185</v>
      </c>
      <c r="E9" s="88" t="s">
        <v>179</v>
      </c>
      <c r="F9" s="66" t="s">
        <v>146</v>
      </c>
      <c r="G9" s="68"/>
      <c r="H9" s="68"/>
      <c r="I9" s="91">
        <v>1</v>
      </c>
      <c r="J9" s="90">
        <v>5100000</v>
      </c>
      <c r="K9" s="92">
        <f t="shared" si="3"/>
        <v>5100000</v>
      </c>
      <c r="L9" s="92">
        <f t="shared" si="1"/>
        <v>1020000</v>
      </c>
      <c r="M9" s="80">
        <f t="shared" ref="M9" si="6">L9+K9</f>
        <v>6120000</v>
      </c>
    </row>
    <row r="10" spans="1:13" ht="53.25" customHeight="1">
      <c r="A10" s="65"/>
      <c r="B10" s="66" t="s">
        <v>143</v>
      </c>
      <c r="C10" s="68"/>
      <c r="D10" s="78" t="s">
        <v>175</v>
      </c>
      <c r="E10" s="66" t="s">
        <v>162</v>
      </c>
      <c r="F10" s="66" t="s">
        <v>146</v>
      </c>
      <c r="G10" s="68"/>
      <c r="H10" s="68"/>
      <c r="I10" s="87">
        <v>150</v>
      </c>
      <c r="J10" s="84">
        <v>20000</v>
      </c>
      <c r="K10" s="85">
        <f t="shared" si="3"/>
        <v>3000000</v>
      </c>
      <c r="L10" s="85">
        <f>K10*0.2</f>
        <v>600000</v>
      </c>
      <c r="M10" s="80">
        <f t="shared" si="2"/>
        <v>3600000</v>
      </c>
    </row>
    <row r="11" spans="1:13" ht="53.25" customHeight="1">
      <c r="A11" s="65"/>
      <c r="B11" s="66" t="s">
        <v>143</v>
      </c>
      <c r="C11" s="68"/>
      <c r="D11" s="78" t="s">
        <v>168</v>
      </c>
      <c r="E11" s="66" t="s">
        <v>162</v>
      </c>
      <c r="F11" s="66" t="s">
        <v>146</v>
      </c>
      <c r="G11" s="68"/>
      <c r="H11" s="68"/>
      <c r="I11" s="87">
        <v>44</v>
      </c>
      <c r="J11" s="84">
        <v>60000</v>
      </c>
      <c r="K11" s="85">
        <f t="shared" si="3"/>
        <v>2640000</v>
      </c>
      <c r="L11" s="85">
        <f>K11*0.2</f>
        <v>528000</v>
      </c>
      <c r="M11" s="80">
        <f t="shared" si="2"/>
        <v>3168000</v>
      </c>
    </row>
    <row r="12" spans="1:13" ht="71.25" customHeight="1">
      <c r="A12" s="65"/>
      <c r="B12" s="66" t="s">
        <v>143</v>
      </c>
      <c r="C12" s="68"/>
      <c r="D12" s="78" t="s">
        <v>191</v>
      </c>
      <c r="E12" s="66" t="s">
        <v>162</v>
      </c>
      <c r="F12" s="66" t="s">
        <v>146</v>
      </c>
      <c r="G12" s="68"/>
      <c r="H12" s="68"/>
      <c r="I12" s="87">
        <v>300</v>
      </c>
      <c r="J12" s="84">
        <v>20000</v>
      </c>
      <c r="K12" s="85">
        <f t="shared" si="3"/>
        <v>6000000</v>
      </c>
      <c r="L12" s="85">
        <f>K12*0.2</f>
        <v>1200000</v>
      </c>
      <c r="M12" s="80">
        <f t="shared" si="2"/>
        <v>7200000</v>
      </c>
    </row>
    <row r="13" spans="1:13" ht="53.25" customHeight="1">
      <c r="A13" s="65"/>
      <c r="B13" s="66" t="s">
        <v>143</v>
      </c>
      <c r="C13" s="68"/>
      <c r="D13" s="78" t="s">
        <v>169</v>
      </c>
      <c r="E13" s="66" t="s">
        <v>162</v>
      </c>
      <c r="F13" s="66" t="s">
        <v>146</v>
      </c>
      <c r="G13" s="68"/>
      <c r="H13" s="68"/>
      <c r="I13" s="87">
        <v>30</v>
      </c>
      <c r="J13" s="84">
        <v>70000</v>
      </c>
      <c r="K13" s="85">
        <f t="shared" si="3"/>
        <v>2100000</v>
      </c>
      <c r="L13" s="85">
        <f>K13*0.2</f>
        <v>420000</v>
      </c>
      <c r="M13" s="80">
        <f t="shared" si="2"/>
        <v>2520000</v>
      </c>
    </row>
    <row r="14" spans="1:13" ht="53.25" customHeight="1">
      <c r="A14" s="65"/>
      <c r="B14" s="66" t="s">
        <v>143</v>
      </c>
      <c r="C14" s="68"/>
      <c r="D14" s="78" t="s">
        <v>192</v>
      </c>
      <c r="E14" s="66" t="s">
        <v>162</v>
      </c>
      <c r="F14" s="66" t="s">
        <v>146</v>
      </c>
      <c r="G14" s="68"/>
      <c r="H14" s="68"/>
      <c r="I14" s="87">
        <v>44</v>
      </c>
      <c r="J14" s="84">
        <v>60000</v>
      </c>
      <c r="K14" s="85">
        <v>2640000</v>
      </c>
      <c r="L14" s="85">
        <f>+K14*0.2</f>
        <v>528000</v>
      </c>
      <c r="M14" s="80">
        <f t="shared" si="2"/>
        <v>3168000</v>
      </c>
    </row>
    <row r="15" spans="1:13" ht="105.75" customHeight="1">
      <c r="A15" s="65"/>
      <c r="B15" s="66" t="s">
        <v>143</v>
      </c>
      <c r="C15" s="68"/>
      <c r="D15" s="78" t="s">
        <v>193</v>
      </c>
      <c r="E15" s="66" t="s">
        <v>162</v>
      </c>
      <c r="F15" s="66" t="s">
        <v>146</v>
      </c>
      <c r="G15" s="68"/>
      <c r="H15" s="68"/>
      <c r="I15" s="87">
        <v>44</v>
      </c>
      <c r="J15" s="84">
        <v>60000</v>
      </c>
      <c r="K15" s="85">
        <f>J15*I15</f>
        <v>2640000</v>
      </c>
      <c r="L15" s="85">
        <f>+K15*0.2</f>
        <v>528000</v>
      </c>
      <c r="M15" s="80">
        <f t="shared" si="2"/>
        <v>3168000</v>
      </c>
    </row>
    <row r="16" spans="1:13" s="74" customFormat="1" ht="53.25" customHeight="1">
      <c r="A16" s="73"/>
      <c r="D16" s="76"/>
      <c r="K16" s="79">
        <f>SUM(K2:K15)</f>
        <v>91626000</v>
      </c>
      <c r="M16" s="79">
        <f>SUM(M2:M15)</f>
        <v>109951200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view="pageBreakPreview" topLeftCell="D13" zoomScale="60" workbookViewId="0">
      <selection activeCell="E20" sqref="E20"/>
    </sheetView>
  </sheetViews>
  <sheetFormatPr baseColWidth="10" defaultColWidth="11.42578125" defaultRowHeight="15.75"/>
  <cols>
    <col min="1" max="1" width="9.28515625" style="60" customWidth="1"/>
    <col min="2" max="2" width="18.5703125" style="59" customWidth="1"/>
    <col min="3" max="3" width="26.28515625" style="59" customWidth="1"/>
    <col min="4" max="4" width="98.140625" style="77" customWidth="1"/>
    <col min="5" max="5" width="26.85546875" style="59" customWidth="1"/>
    <col min="6" max="6" width="29.28515625" style="59" customWidth="1"/>
    <col min="7" max="8" width="11.42578125" style="59" hidden="1" customWidth="1"/>
    <col min="9" max="9" width="16.42578125" style="59" customWidth="1"/>
    <col min="10" max="10" width="24.5703125" style="59" customWidth="1"/>
    <col min="11" max="11" width="27.28515625" style="59" customWidth="1"/>
    <col min="12" max="12" width="28.5703125" style="59" customWidth="1"/>
    <col min="13" max="13" width="26.140625" style="59" customWidth="1"/>
    <col min="14" max="16384" width="11.42578125" style="59"/>
  </cols>
  <sheetData>
    <row r="1" spans="1:13" ht="50.25" customHeight="1">
      <c r="A1" s="61" t="s">
        <v>132</v>
      </c>
      <c r="B1" s="62" t="s">
        <v>133</v>
      </c>
      <c r="C1" s="62" t="s">
        <v>134</v>
      </c>
      <c r="D1" s="75" t="s">
        <v>135</v>
      </c>
      <c r="E1" s="62" t="s">
        <v>136</v>
      </c>
      <c r="F1" s="62" t="s">
        <v>137</v>
      </c>
      <c r="G1" s="62" t="s">
        <v>138</v>
      </c>
      <c r="H1" s="62" t="s">
        <v>139</v>
      </c>
      <c r="I1" s="62" t="s">
        <v>140</v>
      </c>
      <c r="J1" s="63" t="s">
        <v>141</v>
      </c>
      <c r="K1" s="64" t="s">
        <v>187</v>
      </c>
      <c r="L1" s="64" t="s">
        <v>142</v>
      </c>
      <c r="M1" s="64" t="s">
        <v>186</v>
      </c>
    </row>
    <row r="2" spans="1:13" s="67" customFormat="1" ht="53.25" customHeight="1">
      <c r="A2" s="65">
        <v>1</v>
      </c>
      <c r="B2" s="66" t="s">
        <v>143</v>
      </c>
      <c r="C2" s="66" t="s">
        <v>144</v>
      </c>
      <c r="D2" s="78" t="s">
        <v>170</v>
      </c>
      <c r="E2" s="66" t="s">
        <v>145</v>
      </c>
      <c r="F2" s="66" t="s">
        <v>146</v>
      </c>
      <c r="G2" s="66">
        <v>26</v>
      </c>
      <c r="H2" s="66">
        <v>4</v>
      </c>
      <c r="I2" s="86">
        <v>60</v>
      </c>
      <c r="J2" s="82">
        <v>60000</v>
      </c>
      <c r="K2" s="80">
        <f t="shared" ref="K2:K3" si="0">J2*I2</f>
        <v>3600000</v>
      </c>
      <c r="L2" s="80">
        <f t="shared" ref="L2:L8" si="1">K2*0.2</f>
        <v>720000</v>
      </c>
      <c r="M2" s="81">
        <f>K2+L2</f>
        <v>4320000</v>
      </c>
    </row>
    <row r="3" spans="1:13" s="67" customFormat="1" ht="53.25" customHeight="1">
      <c r="A3" s="65">
        <v>1</v>
      </c>
      <c r="B3" s="66" t="s">
        <v>143</v>
      </c>
      <c r="C3" s="66" t="s">
        <v>144</v>
      </c>
      <c r="D3" s="78" t="s">
        <v>171</v>
      </c>
      <c r="E3" s="66" t="s">
        <v>145</v>
      </c>
      <c r="F3" s="66" t="s">
        <v>146</v>
      </c>
      <c r="G3" s="66">
        <v>26</v>
      </c>
      <c r="H3" s="66">
        <v>4</v>
      </c>
      <c r="I3" s="86">
        <v>90</v>
      </c>
      <c r="J3" s="82">
        <v>20000</v>
      </c>
      <c r="K3" s="80">
        <f t="shared" si="0"/>
        <v>1800000</v>
      </c>
      <c r="L3" s="80">
        <f t="shared" si="1"/>
        <v>360000</v>
      </c>
      <c r="M3" s="81">
        <f t="shared" ref="M3:M20" si="2">K3+L3</f>
        <v>2160000</v>
      </c>
    </row>
    <row r="4" spans="1:13" s="67" customFormat="1" ht="53.25" customHeight="1">
      <c r="A4" s="65">
        <v>1</v>
      </c>
      <c r="B4" s="66" t="s">
        <v>143</v>
      </c>
      <c r="C4" s="66" t="s">
        <v>144</v>
      </c>
      <c r="D4" s="78" t="s">
        <v>172</v>
      </c>
      <c r="E4" s="66" t="s">
        <v>145</v>
      </c>
      <c r="F4" s="66" t="s">
        <v>146</v>
      </c>
      <c r="G4" s="66">
        <v>26</v>
      </c>
      <c r="H4" s="66">
        <v>4</v>
      </c>
      <c r="I4" s="86">
        <v>200</v>
      </c>
      <c r="J4" s="82">
        <v>15000</v>
      </c>
      <c r="K4" s="80">
        <f t="shared" ref="K4" si="3">J4*I4</f>
        <v>3000000</v>
      </c>
      <c r="L4" s="80">
        <f t="shared" ref="L4" si="4">K4*0.2</f>
        <v>600000</v>
      </c>
      <c r="M4" s="81">
        <f t="shared" si="2"/>
        <v>3600000</v>
      </c>
    </row>
    <row r="5" spans="1:13" s="67" customFormat="1" ht="53.25" customHeight="1">
      <c r="A5" s="65">
        <v>1</v>
      </c>
      <c r="B5" s="66" t="s">
        <v>143</v>
      </c>
      <c r="C5" s="66" t="s">
        <v>144</v>
      </c>
      <c r="D5" s="78" t="s">
        <v>173</v>
      </c>
      <c r="E5" s="66" t="s">
        <v>145</v>
      </c>
      <c r="F5" s="66" t="s">
        <v>149</v>
      </c>
      <c r="G5" s="66">
        <v>26</v>
      </c>
      <c r="H5" s="66">
        <v>4</v>
      </c>
      <c r="I5" s="86">
        <v>8</v>
      </c>
      <c r="J5" s="82">
        <v>150000</v>
      </c>
      <c r="K5" s="80">
        <f t="shared" ref="K5" si="5">J5*I5</f>
        <v>1200000</v>
      </c>
      <c r="L5" s="80"/>
      <c r="M5" s="81">
        <f t="shared" si="2"/>
        <v>1200000</v>
      </c>
    </row>
    <row r="6" spans="1:13" s="67" customFormat="1" ht="53.25" customHeight="1">
      <c r="A6" s="65">
        <v>1</v>
      </c>
      <c r="B6" s="66" t="s">
        <v>143</v>
      </c>
      <c r="C6" s="66" t="s">
        <v>144</v>
      </c>
      <c r="D6" s="78" t="s">
        <v>174</v>
      </c>
      <c r="E6" s="66" t="s">
        <v>145</v>
      </c>
      <c r="F6" s="66" t="s">
        <v>149</v>
      </c>
      <c r="G6" s="66">
        <v>26</v>
      </c>
      <c r="H6" s="66">
        <v>4</v>
      </c>
      <c r="I6" s="86">
        <v>8</v>
      </c>
      <c r="J6" s="82">
        <v>150000</v>
      </c>
      <c r="K6" s="80">
        <f t="shared" ref="K6" si="6">J6*I6</f>
        <v>1200000</v>
      </c>
      <c r="L6" s="80"/>
      <c r="M6" s="81">
        <f t="shared" si="2"/>
        <v>1200000</v>
      </c>
    </row>
    <row r="7" spans="1:13" s="67" customFormat="1" ht="53.25" customHeight="1">
      <c r="A7" s="65">
        <v>2</v>
      </c>
      <c r="B7" s="66" t="s">
        <v>143</v>
      </c>
      <c r="C7" s="66" t="s">
        <v>147</v>
      </c>
      <c r="D7" s="78" t="s">
        <v>148</v>
      </c>
      <c r="E7" s="66" t="s">
        <v>145</v>
      </c>
      <c r="F7" s="66" t="s">
        <v>149</v>
      </c>
      <c r="G7" s="66">
        <v>52</v>
      </c>
      <c r="H7" s="66">
        <v>6</v>
      </c>
      <c r="I7" s="86">
        <v>4</v>
      </c>
      <c r="J7" s="82">
        <v>294826</v>
      </c>
      <c r="K7" s="80">
        <v>1179304</v>
      </c>
      <c r="L7" s="80"/>
      <c r="M7" s="81">
        <f t="shared" si="2"/>
        <v>1179304</v>
      </c>
    </row>
    <row r="8" spans="1:13" s="67" customFormat="1" ht="53.25" customHeight="1">
      <c r="A8" s="65">
        <v>3</v>
      </c>
      <c r="B8" s="66" t="s">
        <v>143</v>
      </c>
      <c r="C8" s="66" t="s">
        <v>150</v>
      </c>
      <c r="D8" s="78" t="s">
        <v>194</v>
      </c>
      <c r="E8" s="66" t="s">
        <v>145</v>
      </c>
      <c r="F8" s="66" t="s">
        <v>146</v>
      </c>
      <c r="G8" s="66">
        <v>13</v>
      </c>
      <c r="H8" s="66">
        <v>4</v>
      </c>
      <c r="I8" s="86">
        <v>30</v>
      </c>
      <c r="J8" s="82">
        <v>109368</v>
      </c>
      <c r="K8" s="80">
        <f>J8*I8</f>
        <v>3281040</v>
      </c>
      <c r="L8" s="80">
        <f t="shared" si="1"/>
        <v>656208</v>
      </c>
      <c r="M8" s="81">
        <f t="shared" si="2"/>
        <v>3937248</v>
      </c>
    </row>
    <row r="9" spans="1:13" s="67" customFormat="1" ht="53.25" customHeight="1">
      <c r="A9" s="65">
        <v>5</v>
      </c>
      <c r="B9" s="66" t="s">
        <v>143</v>
      </c>
      <c r="C9" s="66" t="s">
        <v>151</v>
      </c>
      <c r="D9" s="78" t="s">
        <v>195</v>
      </c>
      <c r="E9" s="66" t="s">
        <v>145</v>
      </c>
      <c r="F9" s="66" t="s">
        <v>152</v>
      </c>
      <c r="G9" s="66"/>
      <c r="H9" s="66"/>
      <c r="I9" s="86">
        <v>17</v>
      </c>
      <c r="J9" s="83">
        <v>307720</v>
      </c>
      <c r="K9" s="80">
        <f t="shared" ref="K9:K18" si="7">J9*I9</f>
        <v>5231240</v>
      </c>
      <c r="L9" s="80">
        <f>K9*0.2</f>
        <v>1046248</v>
      </c>
      <c r="M9" s="81">
        <f t="shared" si="2"/>
        <v>6277488</v>
      </c>
    </row>
    <row r="10" spans="1:13" s="67" customFormat="1" ht="53.25" customHeight="1">
      <c r="A10" s="65">
        <v>6</v>
      </c>
      <c r="B10" s="66" t="s">
        <v>143</v>
      </c>
      <c r="C10" s="66" t="s">
        <v>144</v>
      </c>
      <c r="D10" s="78" t="s">
        <v>196</v>
      </c>
      <c r="E10" s="66" t="s">
        <v>145</v>
      </c>
      <c r="F10" s="66" t="s">
        <v>146</v>
      </c>
      <c r="G10" s="66"/>
      <c r="H10" s="66"/>
      <c r="I10" s="86">
        <v>150</v>
      </c>
      <c r="J10" s="83">
        <v>19846.400000000001</v>
      </c>
      <c r="K10" s="80">
        <f t="shared" si="7"/>
        <v>2976960</v>
      </c>
      <c r="L10" s="80">
        <f>K10*0.2</f>
        <v>595392</v>
      </c>
      <c r="M10" s="81">
        <f t="shared" si="2"/>
        <v>3572352</v>
      </c>
    </row>
    <row r="11" spans="1:13" s="67" customFormat="1" ht="53.25" customHeight="1">
      <c r="A11" s="65">
        <v>7</v>
      </c>
      <c r="B11" s="66" t="s">
        <v>143</v>
      </c>
      <c r="C11" s="66" t="s">
        <v>153</v>
      </c>
      <c r="D11" s="78" t="s">
        <v>201</v>
      </c>
      <c r="E11" s="66" t="s">
        <v>145</v>
      </c>
      <c r="F11" s="66" t="s">
        <v>146</v>
      </c>
      <c r="G11" s="66"/>
      <c r="H11" s="66"/>
      <c r="I11" s="86">
        <v>44</v>
      </c>
      <c r="J11" s="83">
        <v>59346</v>
      </c>
      <c r="K11" s="80">
        <f t="shared" si="7"/>
        <v>2611224</v>
      </c>
      <c r="L11" s="80">
        <f>K11*0.2</f>
        <v>522244.80000000005</v>
      </c>
      <c r="M11" s="81">
        <f t="shared" si="2"/>
        <v>3133468.8</v>
      </c>
    </row>
    <row r="12" spans="1:13" s="67" customFormat="1" ht="53.25" customHeight="1">
      <c r="A12" s="65">
        <v>8</v>
      </c>
      <c r="B12" s="66" t="s">
        <v>143</v>
      </c>
      <c r="C12" s="66" t="s">
        <v>153</v>
      </c>
      <c r="D12" s="78" t="s">
        <v>202</v>
      </c>
      <c r="E12" s="66" t="s">
        <v>145</v>
      </c>
      <c r="F12" s="66" t="s">
        <v>149</v>
      </c>
      <c r="G12" s="66"/>
      <c r="H12" s="66"/>
      <c r="I12" s="86">
        <v>8</v>
      </c>
      <c r="J12" s="83">
        <v>148806</v>
      </c>
      <c r="K12" s="80">
        <f t="shared" si="7"/>
        <v>1190448</v>
      </c>
      <c r="L12" s="80"/>
      <c r="M12" s="81">
        <f t="shared" si="2"/>
        <v>1190448</v>
      </c>
    </row>
    <row r="13" spans="1:13" s="67" customFormat="1" ht="53.25" customHeight="1">
      <c r="A13" s="65">
        <v>10</v>
      </c>
      <c r="B13" s="66" t="s">
        <v>143</v>
      </c>
      <c r="C13" s="66" t="s">
        <v>154</v>
      </c>
      <c r="D13" s="78" t="s">
        <v>203</v>
      </c>
      <c r="E13" s="66" t="s">
        <v>145</v>
      </c>
      <c r="F13" s="66" t="s">
        <v>146</v>
      </c>
      <c r="G13" s="66"/>
      <c r="H13" s="66"/>
      <c r="I13" s="86">
        <v>200</v>
      </c>
      <c r="J13" s="83">
        <v>23105.599999999999</v>
      </c>
      <c r="K13" s="80">
        <f t="shared" si="7"/>
        <v>4621120</v>
      </c>
      <c r="L13" s="80">
        <f t="shared" ref="L13:L17" si="8">K13*0.2</f>
        <v>924224</v>
      </c>
      <c r="M13" s="81">
        <f t="shared" si="2"/>
        <v>5545344</v>
      </c>
    </row>
    <row r="14" spans="1:13" s="67" customFormat="1" ht="53.25" customHeight="1">
      <c r="A14" s="65">
        <v>11</v>
      </c>
      <c r="B14" s="66" t="s">
        <v>143</v>
      </c>
      <c r="C14" s="66" t="s">
        <v>155</v>
      </c>
      <c r="D14" s="78" t="s">
        <v>197</v>
      </c>
      <c r="E14" s="66" t="s">
        <v>145</v>
      </c>
      <c r="F14" s="66" t="s">
        <v>146</v>
      </c>
      <c r="G14" s="66"/>
      <c r="H14" s="66"/>
      <c r="I14" s="86">
        <v>24</v>
      </c>
      <c r="J14" s="83">
        <v>59304</v>
      </c>
      <c r="K14" s="80">
        <f t="shared" si="7"/>
        <v>1423296</v>
      </c>
      <c r="L14" s="80">
        <f t="shared" si="8"/>
        <v>284659.20000000001</v>
      </c>
      <c r="M14" s="81">
        <f t="shared" si="2"/>
        <v>1707955.2</v>
      </c>
    </row>
    <row r="15" spans="1:13" s="67" customFormat="1" ht="53.25" customHeight="1">
      <c r="A15" s="65">
        <v>12</v>
      </c>
      <c r="B15" s="66" t="s">
        <v>143</v>
      </c>
      <c r="C15" s="66" t="s">
        <v>156</v>
      </c>
      <c r="D15" s="78" t="s">
        <v>198</v>
      </c>
      <c r="E15" s="66" t="s">
        <v>145</v>
      </c>
      <c r="F15" s="66" t="s">
        <v>146</v>
      </c>
      <c r="G15" s="66"/>
      <c r="H15" s="66"/>
      <c r="I15" s="86">
        <v>44</v>
      </c>
      <c r="J15" s="83">
        <v>49406</v>
      </c>
      <c r="K15" s="80">
        <f t="shared" si="7"/>
        <v>2173864</v>
      </c>
      <c r="L15" s="80">
        <f t="shared" si="8"/>
        <v>434772.80000000005</v>
      </c>
      <c r="M15" s="81">
        <f t="shared" si="2"/>
        <v>2608636.7999999998</v>
      </c>
    </row>
    <row r="16" spans="1:13" s="67" customFormat="1" ht="53.25" customHeight="1">
      <c r="A16" s="65">
        <v>13</v>
      </c>
      <c r="B16" s="66" t="s">
        <v>143</v>
      </c>
      <c r="C16" s="66" t="s">
        <v>157</v>
      </c>
      <c r="D16" s="78" t="s">
        <v>199</v>
      </c>
      <c r="E16" s="66" t="s">
        <v>145</v>
      </c>
      <c r="F16" s="66" t="s">
        <v>146</v>
      </c>
      <c r="G16" s="66"/>
      <c r="H16" s="66"/>
      <c r="I16" s="86">
        <v>150</v>
      </c>
      <c r="J16" s="83">
        <v>19901.28</v>
      </c>
      <c r="K16" s="80">
        <f t="shared" si="7"/>
        <v>2985192</v>
      </c>
      <c r="L16" s="80">
        <f t="shared" si="8"/>
        <v>597038.4</v>
      </c>
      <c r="M16" s="81">
        <f t="shared" si="2"/>
        <v>3582230.4</v>
      </c>
    </row>
    <row r="17" spans="1:13" s="67" customFormat="1" ht="53.25" customHeight="1">
      <c r="A17" s="65">
        <v>14</v>
      </c>
      <c r="B17" s="66" t="s">
        <v>143</v>
      </c>
      <c r="C17" s="66" t="s">
        <v>158</v>
      </c>
      <c r="D17" s="78" t="s">
        <v>200</v>
      </c>
      <c r="E17" s="66" t="s">
        <v>145</v>
      </c>
      <c r="F17" s="66" t="s">
        <v>146</v>
      </c>
      <c r="G17" s="66"/>
      <c r="H17" s="66"/>
      <c r="I17" s="86">
        <v>90</v>
      </c>
      <c r="J17" s="83">
        <v>19947.2</v>
      </c>
      <c r="K17" s="80">
        <f t="shared" si="7"/>
        <v>1795248</v>
      </c>
      <c r="L17" s="80">
        <f t="shared" si="8"/>
        <v>359049.60000000003</v>
      </c>
      <c r="M17" s="81">
        <f t="shared" si="2"/>
        <v>2154297.6</v>
      </c>
    </row>
    <row r="18" spans="1:13" s="60" customFormat="1" ht="53.25" customHeight="1">
      <c r="A18" s="65">
        <v>15</v>
      </c>
      <c r="B18" s="66" t="s">
        <v>143</v>
      </c>
      <c r="C18" s="68" t="s">
        <v>159</v>
      </c>
      <c r="D18" s="78" t="s">
        <v>160</v>
      </c>
      <c r="E18" s="66" t="s">
        <v>145</v>
      </c>
      <c r="F18" s="66" t="s">
        <v>149</v>
      </c>
      <c r="G18" s="68"/>
      <c r="H18" s="68"/>
      <c r="I18" s="87">
        <v>8</v>
      </c>
      <c r="J18" s="84">
        <v>154000</v>
      </c>
      <c r="K18" s="85">
        <f t="shared" si="7"/>
        <v>1232000</v>
      </c>
      <c r="L18" s="85"/>
      <c r="M18" s="81">
        <f t="shared" si="2"/>
        <v>1232000</v>
      </c>
    </row>
    <row r="19" spans="1:13" ht="53.25" customHeight="1">
      <c r="A19" s="65"/>
      <c r="B19" s="66" t="s">
        <v>143</v>
      </c>
      <c r="C19" s="68"/>
      <c r="D19" s="78" t="s">
        <v>204</v>
      </c>
      <c r="E19" s="66" t="s">
        <v>145</v>
      </c>
      <c r="F19" s="66" t="s">
        <v>146</v>
      </c>
      <c r="G19" s="68"/>
      <c r="H19" s="68"/>
      <c r="I19" s="87">
        <v>44</v>
      </c>
      <c r="J19" s="84">
        <v>60000</v>
      </c>
      <c r="K19" s="85">
        <v>2640000</v>
      </c>
      <c r="L19" s="85">
        <f>+K19*0.2</f>
        <v>528000</v>
      </c>
      <c r="M19" s="81">
        <f>K19+L19</f>
        <v>3168000</v>
      </c>
    </row>
    <row r="20" spans="1:13" ht="66.75" customHeight="1">
      <c r="A20" s="65"/>
      <c r="B20" s="66" t="s">
        <v>143</v>
      </c>
      <c r="C20" s="68"/>
      <c r="D20" s="78" t="s">
        <v>14</v>
      </c>
      <c r="E20" s="66" t="s">
        <v>161</v>
      </c>
      <c r="F20" s="66" t="s">
        <v>163</v>
      </c>
      <c r="G20" s="68" t="s">
        <v>15</v>
      </c>
      <c r="H20" s="68"/>
      <c r="I20" s="68"/>
      <c r="J20" s="69"/>
      <c r="K20" s="85">
        <v>6000000</v>
      </c>
      <c r="L20" s="85">
        <f>K20*0.2</f>
        <v>1200000</v>
      </c>
      <c r="M20" s="81">
        <f t="shared" si="2"/>
        <v>7200000</v>
      </c>
    </row>
    <row r="21" spans="1:13" s="74" customFormat="1" ht="53.25" customHeight="1">
      <c r="A21" s="73"/>
      <c r="D21" s="76"/>
      <c r="M21" s="79">
        <f>SUM(M2:M20)</f>
        <v>58968772.799999997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5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8" tint="-0.499984740745262"/>
    <pageSetUpPr fitToPage="1"/>
  </sheetPr>
  <dimension ref="A1:J7"/>
  <sheetViews>
    <sheetView showGridLines="0" zoomScale="60" zoomScaleNormal="60" zoomScalePageLayoutView="73" workbookViewId="0">
      <selection activeCell="B5" sqref="B5"/>
    </sheetView>
  </sheetViews>
  <sheetFormatPr baseColWidth="10" defaultColWidth="10.7109375" defaultRowHeight="15"/>
  <cols>
    <col min="1" max="1" width="53.5703125" style="14" customWidth="1"/>
    <col min="2" max="2" width="53.7109375" style="3" customWidth="1"/>
    <col min="3" max="3" width="28.7109375" style="3" customWidth="1"/>
    <col min="4" max="4" width="19.42578125" style="4" customWidth="1"/>
    <col min="5" max="5" width="20.140625" style="3" customWidth="1"/>
    <col min="6" max="6" width="22" style="3" customWidth="1"/>
    <col min="7" max="7" width="21.7109375" style="3" customWidth="1"/>
    <col min="8" max="9" width="24" style="3" customWidth="1"/>
    <col min="10" max="10" width="36.42578125" style="15" customWidth="1"/>
    <col min="11" max="11" width="6.42578125" style="3" customWidth="1"/>
    <col min="12" max="12" width="11.42578125" style="3" customWidth="1"/>
    <col min="13" max="256" width="11.42578125" style="3"/>
    <col min="257" max="257" width="42.42578125" style="3" customWidth="1"/>
    <col min="258" max="258" width="53.7109375" style="3" customWidth="1"/>
    <col min="259" max="259" width="35.140625" style="3" customWidth="1"/>
    <col min="260" max="260" width="18.42578125" style="3" customWidth="1"/>
    <col min="261" max="261" width="14.85546875" style="3" customWidth="1"/>
    <col min="262" max="262" width="17.42578125" style="3" customWidth="1"/>
    <col min="263" max="263" width="21.7109375" style="3" customWidth="1"/>
    <col min="264" max="265" width="24" style="3" customWidth="1"/>
    <col min="266" max="266" width="36.42578125" style="3" customWidth="1"/>
    <col min="267" max="267" width="6.42578125" style="3" customWidth="1"/>
    <col min="268" max="268" width="11.42578125" style="3" customWidth="1"/>
    <col min="269" max="512" width="11.42578125" style="3"/>
    <col min="513" max="513" width="42.42578125" style="3" customWidth="1"/>
    <col min="514" max="514" width="53.7109375" style="3" customWidth="1"/>
    <col min="515" max="515" width="35.140625" style="3" customWidth="1"/>
    <col min="516" max="516" width="18.42578125" style="3" customWidth="1"/>
    <col min="517" max="517" width="14.85546875" style="3" customWidth="1"/>
    <col min="518" max="518" width="17.42578125" style="3" customWidth="1"/>
    <col min="519" max="519" width="21.7109375" style="3" customWidth="1"/>
    <col min="520" max="521" width="24" style="3" customWidth="1"/>
    <col min="522" max="522" width="36.42578125" style="3" customWidth="1"/>
    <col min="523" max="523" width="6.42578125" style="3" customWidth="1"/>
    <col min="524" max="524" width="11.42578125" style="3" customWidth="1"/>
    <col min="525" max="768" width="11.42578125" style="3"/>
    <col min="769" max="769" width="42.42578125" style="3" customWidth="1"/>
    <col min="770" max="770" width="53.7109375" style="3" customWidth="1"/>
    <col min="771" max="771" width="35.140625" style="3" customWidth="1"/>
    <col min="772" max="772" width="18.42578125" style="3" customWidth="1"/>
    <col min="773" max="773" width="14.85546875" style="3" customWidth="1"/>
    <col min="774" max="774" width="17.42578125" style="3" customWidth="1"/>
    <col min="775" max="775" width="21.7109375" style="3" customWidth="1"/>
    <col min="776" max="777" width="24" style="3" customWidth="1"/>
    <col min="778" max="778" width="36.42578125" style="3" customWidth="1"/>
    <col min="779" max="779" width="6.42578125" style="3" customWidth="1"/>
    <col min="780" max="780" width="11.42578125" style="3" customWidth="1"/>
    <col min="781" max="1024" width="11.42578125" style="3"/>
    <col min="1025" max="1025" width="42.42578125" style="3" customWidth="1"/>
    <col min="1026" max="1026" width="53.7109375" style="3" customWidth="1"/>
    <col min="1027" max="1027" width="35.140625" style="3" customWidth="1"/>
    <col min="1028" max="1028" width="18.42578125" style="3" customWidth="1"/>
    <col min="1029" max="1029" width="14.85546875" style="3" customWidth="1"/>
    <col min="1030" max="1030" width="17.42578125" style="3" customWidth="1"/>
    <col min="1031" max="1031" width="21.7109375" style="3" customWidth="1"/>
    <col min="1032" max="1033" width="24" style="3" customWidth="1"/>
    <col min="1034" max="1034" width="36.42578125" style="3" customWidth="1"/>
    <col min="1035" max="1035" width="6.42578125" style="3" customWidth="1"/>
    <col min="1036" max="1036" width="11.42578125" style="3" customWidth="1"/>
    <col min="1037" max="1280" width="11.42578125" style="3"/>
    <col min="1281" max="1281" width="42.42578125" style="3" customWidth="1"/>
    <col min="1282" max="1282" width="53.7109375" style="3" customWidth="1"/>
    <col min="1283" max="1283" width="35.140625" style="3" customWidth="1"/>
    <col min="1284" max="1284" width="18.42578125" style="3" customWidth="1"/>
    <col min="1285" max="1285" width="14.85546875" style="3" customWidth="1"/>
    <col min="1286" max="1286" width="17.42578125" style="3" customWidth="1"/>
    <col min="1287" max="1287" width="21.7109375" style="3" customWidth="1"/>
    <col min="1288" max="1289" width="24" style="3" customWidth="1"/>
    <col min="1290" max="1290" width="36.42578125" style="3" customWidth="1"/>
    <col min="1291" max="1291" width="6.42578125" style="3" customWidth="1"/>
    <col min="1292" max="1292" width="11.42578125" style="3" customWidth="1"/>
    <col min="1293" max="1536" width="11.42578125" style="3"/>
    <col min="1537" max="1537" width="42.42578125" style="3" customWidth="1"/>
    <col min="1538" max="1538" width="53.7109375" style="3" customWidth="1"/>
    <col min="1539" max="1539" width="35.140625" style="3" customWidth="1"/>
    <col min="1540" max="1540" width="18.42578125" style="3" customWidth="1"/>
    <col min="1541" max="1541" width="14.85546875" style="3" customWidth="1"/>
    <col min="1542" max="1542" width="17.42578125" style="3" customWidth="1"/>
    <col min="1543" max="1543" width="21.7109375" style="3" customWidth="1"/>
    <col min="1544" max="1545" width="24" style="3" customWidth="1"/>
    <col min="1546" max="1546" width="36.42578125" style="3" customWidth="1"/>
    <col min="1547" max="1547" width="6.42578125" style="3" customWidth="1"/>
    <col min="1548" max="1548" width="11.42578125" style="3" customWidth="1"/>
    <col min="1549" max="1792" width="11.42578125" style="3"/>
    <col min="1793" max="1793" width="42.42578125" style="3" customWidth="1"/>
    <col min="1794" max="1794" width="53.7109375" style="3" customWidth="1"/>
    <col min="1795" max="1795" width="35.140625" style="3" customWidth="1"/>
    <col min="1796" max="1796" width="18.42578125" style="3" customWidth="1"/>
    <col min="1797" max="1797" width="14.85546875" style="3" customWidth="1"/>
    <col min="1798" max="1798" width="17.42578125" style="3" customWidth="1"/>
    <col min="1799" max="1799" width="21.7109375" style="3" customWidth="1"/>
    <col min="1800" max="1801" width="24" style="3" customWidth="1"/>
    <col min="1802" max="1802" width="36.42578125" style="3" customWidth="1"/>
    <col min="1803" max="1803" width="6.42578125" style="3" customWidth="1"/>
    <col min="1804" max="1804" width="11.42578125" style="3" customWidth="1"/>
    <col min="1805" max="2048" width="11.42578125" style="3"/>
    <col min="2049" max="2049" width="42.42578125" style="3" customWidth="1"/>
    <col min="2050" max="2050" width="53.7109375" style="3" customWidth="1"/>
    <col min="2051" max="2051" width="35.140625" style="3" customWidth="1"/>
    <col min="2052" max="2052" width="18.42578125" style="3" customWidth="1"/>
    <col min="2053" max="2053" width="14.85546875" style="3" customWidth="1"/>
    <col min="2054" max="2054" width="17.42578125" style="3" customWidth="1"/>
    <col min="2055" max="2055" width="21.7109375" style="3" customWidth="1"/>
    <col min="2056" max="2057" width="24" style="3" customWidth="1"/>
    <col min="2058" max="2058" width="36.42578125" style="3" customWidth="1"/>
    <col min="2059" max="2059" width="6.42578125" style="3" customWidth="1"/>
    <col min="2060" max="2060" width="11.42578125" style="3" customWidth="1"/>
    <col min="2061" max="2304" width="11.42578125" style="3"/>
    <col min="2305" max="2305" width="42.42578125" style="3" customWidth="1"/>
    <col min="2306" max="2306" width="53.7109375" style="3" customWidth="1"/>
    <col min="2307" max="2307" width="35.140625" style="3" customWidth="1"/>
    <col min="2308" max="2308" width="18.42578125" style="3" customWidth="1"/>
    <col min="2309" max="2309" width="14.85546875" style="3" customWidth="1"/>
    <col min="2310" max="2310" width="17.42578125" style="3" customWidth="1"/>
    <col min="2311" max="2311" width="21.7109375" style="3" customWidth="1"/>
    <col min="2312" max="2313" width="24" style="3" customWidth="1"/>
    <col min="2314" max="2314" width="36.42578125" style="3" customWidth="1"/>
    <col min="2315" max="2315" width="6.42578125" style="3" customWidth="1"/>
    <col min="2316" max="2316" width="11.42578125" style="3" customWidth="1"/>
    <col min="2317" max="2560" width="11.42578125" style="3"/>
    <col min="2561" max="2561" width="42.42578125" style="3" customWidth="1"/>
    <col min="2562" max="2562" width="53.7109375" style="3" customWidth="1"/>
    <col min="2563" max="2563" width="35.140625" style="3" customWidth="1"/>
    <col min="2564" max="2564" width="18.42578125" style="3" customWidth="1"/>
    <col min="2565" max="2565" width="14.85546875" style="3" customWidth="1"/>
    <col min="2566" max="2566" width="17.42578125" style="3" customWidth="1"/>
    <col min="2567" max="2567" width="21.7109375" style="3" customWidth="1"/>
    <col min="2568" max="2569" width="24" style="3" customWidth="1"/>
    <col min="2570" max="2570" width="36.42578125" style="3" customWidth="1"/>
    <col min="2571" max="2571" width="6.42578125" style="3" customWidth="1"/>
    <col min="2572" max="2572" width="11.42578125" style="3" customWidth="1"/>
    <col min="2573" max="2816" width="11.42578125" style="3"/>
    <col min="2817" max="2817" width="42.42578125" style="3" customWidth="1"/>
    <col min="2818" max="2818" width="53.7109375" style="3" customWidth="1"/>
    <col min="2819" max="2819" width="35.140625" style="3" customWidth="1"/>
    <col min="2820" max="2820" width="18.42578125" style="3" customWidth="1"/>
    <col min="2821" max="2821" width="14.85546875" style="3" customWidth="1"/>
    <col min="2822" max="2822" width="17.42578125" style="3" customWidth="1"/>
    <col min="2823" max="2823" width="21.7109375" style="3" customWidth="1"/>
    <col min="2824" max="2825" width="24" style="3" customWidth="1"/>
    <col min="2826" max="2826" width="36.42578125" style="3" customWidth="1"/>
    <col min="2827" max="2827" width="6.42578125" style="3" customWidth="1"/>
    <col min="2828" max="2828" width="11.42578125" style="3" customWidth="1"/>
    <col min="2829" max="3072" width="11.42578125" style="3"/>
    <col min="3073" max="3073" width="42.42578125" style="3" customWidth="1"/>
    <col min="3074" max="3074" width="53.7109375" style="3" customWidth="1"/>
    <col min="3075" max="3075" width="35.140625" style="3" customWidth="1"/>
    <col min="3076" max="3076" width="18.42578125" style="3" customWidth="1"/>
    <col min="3077" max="3077" width="14.85546875" style="3" customWidth="1"/>
    <col min="3078" max="3078" width="17.42578125" style="3" customWidth="1"/>
    <col min="3079" max="3079" width="21.7109375" style="3" customWidth="1"/>
    <col min="3080" max="3081" width="24" style="3" customWidth="1"/>
    <col min="3082" max="3082" width="36.42578125" style="3" customWidth="1"/>
    <col min="3083" max="3083" width="6.42578125" style="3" customWidth="1"/>
    <col min="3084" max="3084" width="11.42578125" style="3" customWidth="1"/>
    <col min="3085" max="3328" width="11.42578125" style="3"/>
    <col min="3329" max="3329" width="42.42578125" style="3" customWidth="1"/>
    <col min="3330" max="3330" width="53.7109375" style="3" customWidth="1"/>
    <col min="3331" max="3331" width="35.140625" style="3" customWidth="1"/>
    <col min="3332" max="3332" width="18.42578125" style="3" customWidth="1"/>
    <col min="3333" max="3333" width="14.85546875" style="3" customWidth="1"/>
    <col min="3334" max="3334" width="17.42578125" style="3" customWidth="1"/>
    <col min="3335" max="3335" width="21.7109375" style="3" customWidth="1"/>
    <col min="3336" max="3337" width="24" style="3" customWidth="1"/>
    <col min="3338" max="3338" width="36.42578125" style="3" customWidth="1"/>
    <col min="3339" max="3339" width="6.42578125" style="3" customWidth="1"/>
    <col min="3340" max="3340" width="11.42578125" style="3" customWidth="1"/>
    <col min="3341" max="3584" width="11.42578125" style="3"/>
    <col min="3585" max="3585" width="42.42578125" style="3" customWidth="1"/>
    <col min="3586" max="3586" width="53.7109375" style="3" customWidth="1"/>
    <col min="3587" max="3587" width="35.140625" style="3" customWidth="1"/>
    <col min="3588" max="3588" width="18.42578125" style="3" customWidth="1"/>
    <col min="3589" max="3589" width="14.85546875" style="3" customWidth="1"/>
    <col min="3590" max="3590" width="17.42578125" style="3" customWidth="1"/>
    <col min="3591" max="3591" width="21.7109375" style="3" customWidth="1"/>
    <col min="3592" max="3593" width="24" style="3" customWidth="1"/>
    <col min="3594" max="3594" width="36.42578125" style="3" customWidth="1"/>
    <col min="3595" max="3595" width="6.42578125" style="3" customWidth="1"/>
    <col min="3596" max="3596" width="11.42578125" style="3" customWidth="1"/>
    <col min="3597" max="3840" width="11.42578125" style="3"/>
    <col min="3841" max="3841" width="42.42578125" style="3" customWidth="1"/>
    <col min="3842" max="3842" width="53.7109375" style="3" customWidth="1"/>
    <col min="3843" max="3843" width="35.140625" style="3" customWidth="1"/>
    <col min="3844" max="3844" width="18.42578125" style="3" customWidth="1"/>
    <col min="3845" max="3845" width="14.85546875" style="3" customWidth="1"/>
    <col min="3846" max="3846" width="17.42578125" style="3" customWidth="1"/>
    <col min="3847" max="3847" width="21.7109375" style="3" customWidth="1"/>
    <col min="3848" max="3849" width="24" style="3" customWidth="1"/>
    <col min="3850" max="3850" width="36.42578125" style="3" customWidth="1"/>
    <col min="3851" max="3851" width="6.42578125" style="3" customWidth="1"/>
    <col min="3852" max="3852" width="11.42578125" style="3" customWidth="1"/>
    <col min="3853" max="4096" width="11.42578125" style="3"/>
    <col min="4097" max="4097" width="42.42578125" style="3" customWidth="1"/>
    <col min="4098" max="4098" width="53.7109375" style="3" customWidth="1"/>
    <col min="4099" max="4099" width="35.140625" style="3" customWidth="1"/>
    <col min="4100" max="4100" width="18.42578125" style="3" customWidth="1"/>
    <col min="4101" max="4101" width="14.85546875" style="3" customWidth="1"/>
    <col min="4102" max="4102" width="17.42578125" style="3" customWidth="1"/>
    <col min="4103" max="4103" width="21.7109375" style="3" customWidth="1"/>
    <col min="4104" max="4105" width="24" style="3" customWidth="1"/>
    <col min="4106" max="4106" width="36.42578125" style="3" customWidth="1"/>
    <col min="4107" max="4107" width="6.42578125" style="3" customWidth="1"/>
    <col min="4108" max="4108" width="11.42578125" style="3" customWidth="1"/>
    <col min="4109" max="4352" width="11.42578125" style="3"/>
    <col min="4353" max="4353" width="42.42578125" style="3" customWidth="1"/>
    <col min="4354" max="4354" width="53.7109375" style="3" customWidth="1"/>
    <col min="4355" max="4355" width="35.140625" style="3" customWidth="1"/>
    <col min="4356" max="4356" width="18.42578125" style="3" customWidth="1"/>
    <col min="4357" max="4357" width="14.85546875" style="3" customWidth="1"/>
    <col min="4358" max="4358" width="17.42578125" style="3" customWidth="1"/>
    <col min="4359" max="4359" width="21.7109375" style="3" customWidth="1"/>
    <col min="4360" max="4361" width="24" style="3" customWidth="1"/>
    <col min="4362" max="4362" width="36.42578125" style="3" customWidth="1"/>
    <col min="4363" max="4363" width="6.42578125" style="3" customWidth="1"/>
    <col min="4364" max="4364" width="11.42578125" style="3" customWidth="1"/>
    <col min="4365" max="4608" width="11.42578125" style="3"/>
    <col min="4609" max="4609" width="42.42578125" style="3" customWidth="1"/>
    <col min="4610" max="4610" width="53.7109375" style="3" customWidth="1"/>
    <col min="4611" max="4611" width="35.140625" style="3" customWidth="1"/>
    <col min="4612" max="4612" width="18.42578125" style="3" customWidth="1"/>
    <col min="4613" max="4613" width="14.85546875" style="3" customWidth="1"/>
    <col min="4614" max="4614" width="17.42578125" style="3" customWidth="1"/>
    <col min="4615" max="4615" width="21.7109375" style="3" customWidth="1"/>
    <col min="4616" max="4617" width="24" style="3" customWidth="1"/>
    <col min="4618" max="4618" width="36.42578125" style="3" customWidth="1"/>
    <col min="4619" max="4619" width="6.42578125" style="3" customWidth="1"/>
    <col min="4620" max="4620" width="11.42578125" style="3" customWidth="1"/>
    <col min="4621" max="4864" width="11.42578125" style="3"/>
    <col min="4865" max="4865" width="42.42578125" style="3" customWidth="1"/>
    <col min="4866" max="4866" width="53.7109375" style="3" customWidth="1"/>
    <col min="4867" max="4867" width="35.140625" style="3" customWidth="1"/>
    <col min="4868" max="4868" width="18.42578125" style="3" customWidth="1"/>
    <col min="4869" max="4869" width="14.85546875" style="3" customWidth="1"/>
    <col min="4870" max="4870" width="17.42578125" style="3" customWidth="1"/>
    <col min="4871" max="4871" width="21.7109375" style="3" customWidth="1"/>
    <col min="4872" max="4873" width="24" style="3" customWidth="1"/>
    <col min="4874" max="4874" width="36.42578125" style="3" customWidth="1"/>
    <col min="4875" max="4875" width="6.42578125" style="3" customWidth="1"/>
    <col min="4876" max="4876" width="11.42578125" style="3" customWidth="1"/>
    <col min="4877" max="5120" width="11.42578125" style="3"/>
    <col min="5121" max="5121" width="42.42578125" style="3" customWidth="1"/>
    <col min="5122" max="5122" width="53.7109375" style="3" customWidth="1"/>
    <col min="5123" max="5123" width="35.140625" style="3" customWidth="1"/>
    <col min="5124" max="5124" width="18.42578125" style="3" customWidth="1"/>
    <col min="5125" max="5125" width="14.85546875" style="3" customWidth="1"/>
    <col min="5126" max="5126" width="17.42578125" style="3" customWidth="1"/>
    <col min="5127" max="5127" width="21.7109375" style="3" customWidth="1"/>
    <col min="5128" max="5129" width="24" style="3" customWidth="1"/>
    <col min="5130" max="5130" width="36.42578125" style="3" customWidth="1"/>
    <col min="5131" max="5131" width="6.42578125" style="3" customWidth="1"/>
    <col min="5132" max="5132" width="11.42578125" style="3" customWidth="1"/>
    <col min="5133" max="5376" width="11.42578125" style="3"/>
    <col min="5377" max="5377" width="42.42578125" style="3" customWidth="1"/>
    <col min="5378" max="5378" width="53.7109375" style="3" customWidth="1"/>
    <col min="5379" max="5379" width="35.140625" style="3" customWidth="1"/>
    <col min="5380" max="5380" width="18.42578125" style="3" customWidth="1"/>
    <col min="5381" max="5381" width="14.85546875" style="3" customWidth="1"/>
    <col min="5382" max="5382" width="17.42578125" style="3" customWidth="1"/>
    <col min="5383" max="5383" width="21.7109375" style="3" customWidth="1"/>
    <col min="5384" max="5385" width="24" style="3" customWidth="1"/>
    <col min="5386" max="5386" width="36.42578125" style="3" customWidth="1"/>
    <col min="5387" max="5387" width="6.42578125" style="3" customWidth="1"/>
    <col min="5388" max="5388" width="11.42578125" style="3" customWidth="1"/>
    <col min="5389" max="5632" width="11.42578125" style="3"/>
    <col min="5633" max="5633" width="42.42578125" style="3" customWidth="1"/>
    <col min="5634" max="5634" width="53.7109375" style="3" customWidth="1"/>
    <col min="5635" max="5635" width="35.140625" style="3" customWidth="1"/>
    <col min="5636" max="5636" width="18.42578125" style="3" customWidth="1"/>
    <col min="5637" max="5637" width="14.85546875" style="3" customWidth="1"/>
    <col min="5638" max="5638" width="17.42578125" style="3" customWidth="1"/>
    <col min="5639" max="5639" width="21.7109375" style="3" customWidth="1"/>
    <col min="5640" max="5641" width="24" style="3" customWidth="1"/>
    <col min="5642" max="5642" width="36.42578125" style="3" customWidth="1"/>
    <col min="5643" max="5643" width="6.42578125" style="3" customWidth="1"/>
    <col min="5644" max="5644" width="11.42578125" style="3" customWidth="1"/>
    <col min="5645" max="5888" width="11.42578125" style="3"/>
    <col min="5889" max="5889" width="42.42578125" style="3" customWidth="1"/>
    <col min="5890" max="5890" width="53.7109375" style="3" customWidth="1"/>
    <col min="5891" max="5891" width="35.140625" style="3" customWidth="1"/>
    <col min="5892" max="5892" width="18.42578125" style="3" customWidth="1"/>
    <col min="5893" max="5893" width="14.85546875" style="3" customWidth="1"/>
    <col min="5894" max="5894" width="17.42578125" style="3" customWidth="1"/>
    <col min="5895" max="5895" width="21.7109375" style="3" customWidth="1"/>
    <col min="5896" max="5897" width="24" style="3" customWidth="1"/>
    <col min="5898" max="5898" width="36.42578125" style="3" customWidth="1"/>
    <col min="5899" max="5899" width="6.42578125" style="3" customWidth="1"/>
    <col min="5900" max="5900" width="11.42578125" style="3" customWidth="1"/>
    <col min="5901" max="6144" width="11.42578125" style="3"/>
    <col min="6145" max="6145" width="42.42578125" style="3" customWidth="1"/>
    <col min="6146" max="6146" width="53.7109375" style="3" customWidth="1"/>
    <col min="6147" max="6147" width="35.140625" style="3" customWidth="1"/>
    <col min="6148" max="6148" width="18.42578125" style="3" customWidth="1"/>
    <col min="6149" max="6149" width="14.85546875" style="3" customWidth="1"/>
    <col min="6150" max="6150" width="17.42578125" style="3" customWidth="1"/>
    <col min="6151" max="6151" width="21.7109375" style="3" customWidth="1"/>
    <col min="6152" max="6153" width="24" style="3" customWidth="1"/>
    <col min="6154" max="6154" width="36.42578125" style="3" customWidth="1"/>
    <col min="6155" max="6155" width="6.42578125" style="3" customWidth="1"/>
    <col min="6156" max="6156" width="11.42578125" style="3" customWidth="1"/>
    <col min="6157" max="6400" width="11.42578125" style="3"/>
    <col min="6401" max="6401" width="42.42578125" style="3" customWidth="1"/>
    <col min="6402" max="6402" width="53.7109375" style="3" customWidth="1"/>
    <col min="6403" max="6403" width="35.140625" style="3" customWidth="1"/>
    <col min="6404" max="6404" width="18.42578125" style="3" customWidth="1"/>
    <col min="6405" max="6405" width="14.85546875" style="3" customWidth="1"/>
    <col min="6406" max="6406" width="17.42578125" style="3" customWidth="1"/>
    <col min="6407" max="6407" width="21.7109375" style="3" customWidth="1"/>
    <col min="6408" max="6409" width="24" style="3" customWidth="1"/>
    <col min="6410" max="6410" width="36.42578125" style="3" customWidth="1"/>
    <col min="6411" max="6411" width="6.42578125" style="3" customWidth="1"/>
    <col min="6412" max="6412" width="11.42578125" style="3" customWidth="1"/>
    <col min="6413" max="6656" width="11.42578125" style="3"/>
    <col min="6657" max="6657" width="42.42578125" style="3" customWidth="1"/>
    <col min="6658" max="6658" width="53.7109375" style="3" customWidth="1"/>
    <col min="6659" max="6659" width="35.140625" style="3" customWidth="1"/>
    <col min="6660" max="6660" width="18.42578125" style="3" customWidth="1"/>
    <col min="6661" max="6661" width="14.85546875" style="3" customWidth="1"/>
    <col min="6662" max="6662" width="17.42578125" style="3" customWidth="1"/>
    <col min="6663" max="6663" width="21.7109375" style="3" customWidth="1"/>
    <col min="6664" max="6665" width="24" style="3" customWidth="1"/>
    <col min="6666" max="6666" width="36.42578125" style="3" customWidth="1"/>
    <col min="6667" max="6667" width="6.42578125" style="3" customWidth="1"/>
    <col min="6668" max="6668" width="11.42578125" style="3" customWidth="1"/>
    <col min="6669" max="6912" width="11.42578125" style="3"/>
    <col min="6913" max="6913" width="42.42578125" style="3" customWidth="1"/>
    <col min="6914" max="6914" width="53.7109375" style="3" customWidth="1"/>
    <col min="6915" max="6915" width="35.140625" style="3" customWidth="1"/>
    <col min="6916" max="6916" width="18.42578125" style="3" customWidth="1"/>
    <col min="6917" max="6917" width="14.85546875" style="3" customWidth="1"/>
    <col min="6918" max="6918" width="17.42578125" style="3" customWidth="1"/>
    <col min="6919" max="6919" width="21.7109375" style="3" customWidth="1"/>
    <col min="6920" max="6921" width="24" style="3" customWidth="1"/>
    <col min="6922" max="6922" width="36.42578125" style="3" customWidth="1"/>
    <col min="6923" max="6923" width="6.42578125" style="3" customWidth="1"/>
    <col min="6924" max="6924" width="11.42578125" style="3" customWidth="1"/>
    <col min="6925" max="7168" width="11.42578125" style="3"/>
    <col min="7169" max="7169" width="42.42578125" style="3" customWidth="1"/>
    <col min="7170" max="7170" width="53.7109375" style="3" customWidth="1"/>
    <col min="7171" max="7171" width="35.140625" style="3" customWidth="1"/>
    <col min="7172" max="7172" width="18.42578125" style="3" customWidth="1"/>
    <col min="7173" max="7173" width="14.85546875" style="3" customWidth="1"/>
    <col min="7174" max="7174" width="17.42578125" style="3" customWidth="1"/>
    <col min="7175" max="7175" width="21.7109375" style="3" customWidth="1"/>
    <col min="7176" max="7177" width="24" style="3" customWidth="1"/>
    <col min="7178" max="7178" width="36.42578125" style="3" customWidth="1"/>
    <col min="7179" max="7179" width="6.42578125" style="3" customWidth="1"/>
    <col min="7180" max="7180" width="11.42578125" style="3" customWidth="1"/>
    <col min="7181" max="7424" width="11.42578125" style="3"/>
    <col min="7425" max="7425" width="42.42578125" style="3" customWidth="1"/>
    <col min="7426" max="7426" width="53.7109375" style="3" customWidth="1"/>
    <col min="7427" max="7427" width="35.140625" style="3" customWidth="1"/>
    <col min="7428" max="7428" width="18.42578125" style="3" customWidth="1"/>
    <col min="7429" max="7429" width="14.85546875" style="3" customWidth="1"/>
    <col min="7430" max="7430" width="17.42578125" style="3" customWidth="1"/>
    <col min="7431" max="7431" width="21.7109375" style="3" customWidth="1"/>
    <col min="7432" max="7433" width="24" style="3" customWidth="1"/>
    <col min="7434" max="7434" width="36.42578125" style="3" customWidth="1"/>
    <col min="7435" max="7435" width="6.42578125" style="3" customWidth="1"/>
    <col min="7436" max="7436" width="11.42578125" style="3" customWidth="1"/>
    <col min="7437" max="7680" width="11.42578125" style="3"/>
    <col min="7681" max="7681" width="42.42578125" style="3" customWidth="1"/>
    <col min="7682" max="7682" width="53.7109375" style="3" customWidth="1"/>
    <col min="7683" max="7683" width="35.140625" style="3" customWidth="1"/>
    <col min="7684" max="7684" width="18.42578125" style="3" customWidth="1"/>
    <col min="7685" max="7685" width="14.85546875" style="3" customWidth="1"/>
    <col min="7686" max="7686" width="17.42578125" style="3" customWidth="1"/>
    <col min="7687" max="7687" width="21.7109375" style="3" customWidth="1"/>
    <col min="7688" max="7689" width="24" style="3" customWidth="1"/>
    <col min="7690" max="7690" width="36.42578125" style="3" customWidth="1"/>
    <col min="7691" max="7691" width="6.42578125" style="3" customWidth="1"/>
    <col min="7692" max="7692" width="11.42578125" style="3" customWidth="1"/>
    <col min="7693" max="7936" width="11.42578125" style="3"/>
    <col min="7937" max="7937" width="42.42578125" style="3" customWidth="1"/>
    <col min="7938" max="7938" width="53.7109375" style="3" customWidth="1"/>
    <col min="7939" max="7939" width="35.140625" style="3" customWidth="1"/>
    <col min="7940" max="7940" width="18.42578125" style="3" customWidth="1"/>
    <col min="7941" max="7941" width="14.85546875" style="3" customWidth="1"/>
    <col min="7942" max="7942" width="17.42578125" style="3" customWidth="1"/>
    <col min="7943" max="7943" width="21.7109375" style="3" customWidth="1"/>
    <col min="7944" max="7945" width="24" style="3" customWidth="1"/>
    <col min="7946" max="7946" width="36.42578125" style="3" customWidth="1"/>
    <col min="7947" max="7947" width="6.42578125" style="3" customWidth="1"/>
    <col min="7948" max="7948" width="11.42578125" style="3" customWidth="1"/>
    <col min="7949" max="8192" width="11.42578125" style="3"/>
    <col min="8193" max="8193" width="42.42578125" style="3" customWidth="1"/>
    <col min="8194" max="8194" width="53.7109375" style="3" customWidth="1"/>
    <col min="8195" max="8195" width="35.140625" style="3" customWidth="1"/>
    <col min="8196" max="8196" width="18.42578125" style="3" customWidth="1"/>
    <col min="8197" max="8197" width="14.85546875" style="3" customWidth="1"/>
    <col min="8198" max="8198" width="17.42578125" style="3" customWidth="1"/>
    <col min="8199" max="8199" width="21.7109375" style="3" customWidth="1"/>
    <col min="8200" max="8201" width="24" style="3" customWidth="1"/>
    <col min="8202" max="8202" width="36.42578125" style="3" customWidth="1"/>
    <col min="8203" max="8203" width="6.42578125" style="3" customWidth="1"/>
    <col min="8204" max="8204" width="11.42578125" style="3" customWidth="1"/>
    <col min="8205" max="8448" width="11.42578125" style="3"/>
    <col min="8449" max="8449" width="42.42578125" style="3" customWidth="1"/>
    <col min="8450" max="8450" width="53.7109375" style="3" customWidth="1"/>
    <col min="8451" max="8451" width="35.140625" style="3" customWidth="1"/>
    <col min="8452" max="8452" width="18.42578125" style="3" customWidth="1"/>
    <col min="8453" max="8453" width="14.85546875" style="3" customWidth="1"/>
    <col min="8454" max="8454" width="17.42578125" style="3" customWidth="1"/>
    <col min="8455" max="8455" width="21.7109375" style="3" customWidth="1"/>
    <col min="8456" max="8457" width="24" style="3" customWidth="1"/>
    <col min="8458" max="8458" width="36.42578125" style="3" customWidth="1"/>
    <col min="8459" max="8459" width="6.42578125" style="3" customWidth="1"/>
    <col min="8460" max="8460" width="11.42578125" style="3" customWidth="1"/>
    <col min="8461" max="8704" width="11.42578125" style="3"/>
    <col min="8705" max="8705" width="42.42578125" style="3" customWidth="1"/>
    <col min="8706" max="8706" width="53.7109375" style="3" customWidth="1"/>
    <col min="8707" max="8707" width="35.140625" style="3" customWidth="1"/>
    <col min="8708" max="8708" width="18.42578125" style="3" customWidth="1"/>
    <col min="8709" max="8709" width="14.85546875" style="3" customWidth="1"/>
    <col min="8710" max="8710" width="17.42578125" style="3" customWidth="1"/>
    <col min="8711" max="8711" width="21.7109375" style="3" customWidth="1"/>
    <col min="8712" max="8713" width="24" style="3" customWidth="1"/>
    <col min="8714" max="8714" width="36.42578125" style="3" customWidth="1"/>
    <col min="8715" max="8715" width="6.42578125" style="3" customWidth="1"/>
    <col min="8716" max="8716" width="11.42578125" style="3" customWidth="1"/>
    <col min="8717" max="8960" width="11.42578125" style="3"/>
    <col min="8961" max="8961" width="42.42578125" style="3" customWidth="1"/>
    <col min="8962" max="8962" width="53.7109375" style="3" customWidth="1"/>
    <col min="8963" max="8963" width="35.140625" style="3" customWidth="1"/>
    <col min="8964" max="8964" width="18.42578125" style="3" customWidth="1"/>
    <col min="8965" max="8965" width="14.85546875" style="3" customWidth="1"/>
    <col min="8966" max="8966" width="17.42578125" style="3" customWidth="1"/>
    <col min="8967" max="8967" width="21.7109375" style="3" customWidth="1"/>
    <col min="8968" max="8969" width="24" style="3" customWidth="1"/>
    <col min="8970" max="8970" width="36.42578125" style="3" customWidth="1"/>
    <col min="8971" max="8971" width="6.42578125" style="3" customWidth="1"/>
    <col min="8972" max="8972" width="11.42578125" style="3" customWidth="1"/>
    <col min="8973" max="9216" width="11.42578125" style="3"/>
    <col min="9217" max="9217" width="42.42578125" style="3" customWidth="1"/>
    <col min="9218" max="9218" width="53.7109375" style="3" customWidth="1"/>
    <col min="9219" max="9219" width="35.140625" style="3" customWidth="1"/>
    <col min="9220" max="9220" width="18.42578125" style="3" customWidth="1"/>
    <col min="9221" max="9221" width="14.85546875" style="3" customWidth="1"/>
    <col min="9222" max="9222" width="17.42578125" style="3" customWidth="1"/>
    <col min="9223" max="9223" width="21.7109375" style="3" customWidth="1"/>
    <col min="9224" max="9225" width="24" style="3" customWidth="1"/>
    <col min="9226" max="9226" width="36.42578125" style="3" customWidth="1"/>
    <col min="9227" max="9227" width="6.42578125" style="3" customWidth="1"/>
    <col min="9228" max="9228" width="11.42578125" style="3" customWidth="1"/>
    <col min="9229" max="9472" width="11.42578125" style="3"/>
    <col min="9473" max="9473" width="42.42578125" style="3" customWidth="1"/>
    <col min="9474" max="9474" width="53.7109375" style="3" customWidth="1"/>
    <col min="9475" max="9475" width="35.140625" style="3" customWidth="1"/>
    <col min="9476" max="9476" width="18.42578125" style="3" customWidth="1"/>
    <col min="9477" max="9477" width="14.85546875" style="3" customWidth="1"/>
    <col min="9478" max="9478" width="17.42578125" style="3" customWidth="1"/>
    <col min="9479" max="9479" width="21.7109375" style="3" customWidth="1"/>
    <col min="9480" max="9481" width="24" style="3" customWidth="1"/>
    <col min="9482" max="9482" width="36.42578125" style="3" customWidth="1"/>
    <col min="9483" max="9483" width="6.42578125" style="3" customWidth="1"/>
    <col min="9484" max="9484" width="11.42578125" style="3" customWidth="1"/>
    <col min="9485" max="9728" width="11.42578125" style="3"/>
    <col min="9729" max="9729" width="42.42578125" style="3" customWidth="1"/>
    <col min="9730" max="9730" width="53.7109375" style="3" customWidth="1"/>
    <col min="9731" max="9731" width="35.140625" style="3" customWidth="1"/>
    <col min="9732" max="9732" width="18.42578125" style="3" customWidth="1"/>
    <col min="9733" max="9733" width="14.85546875" style="3" customWidth="1"/>
    <col min="9734" max="9734" width="17.42578125" style="3" customWidth="1"/>
    <col min="9735" max="9735" width="21.7109375" style="3" customWidth="1"/>
    <col min="9736" max="9737" width="24" style="3" customWidth="1"/>
    <col min="9738" max="9738" width="36.42578125" style="3" customWidth="1"/>
    <col min="9739" max="9739" width="6.42578125" style="3" customWidth="1"/>
    <col min="9740" max="9740" width="11.42578125" style="3" customWidth="1"/>
    <col min="9741" max="9984" width="11.42578125" style="3"/>
    <col min="9985" max="9985" width="42.42578125" style="3" customWidth="1"/>
    <col min="9986" max="9986" width="53.7109375" style="3" customWidth="1"/>
    <col min="9987" max="9987" width="35.140625" style="3" customWidth="1"/>
    <col min="9988" max="9988" width="18.42578125" style="3" customWidth="1"/>
    <col min="9989" max="9989" width="14.85546875" style="3" customWidth="1"/>
    <col min="9990" max="9990" width="17.42578125" style="3" customWidth="1"/>
    <col min="9991" max="9991" width="21.7109375" style="3" customWidth="1"/>
    <col min="9992" max="9993" width="24" style="3" customWidth="1"/>
    <col min="9994" max="9994" width="36.42578125" style="3" customWidth="1"/>
    <col min="9995" max="9995" width="6.42578125" style="3" customWidth="1"/>
    <col min="9996" max="9996" width="11.42578125" style="3" customWidth="1"/>
    <col min="9997" max="10240" width="11.42578125" style="3"/>
    <col min="10241" max="10241" width="42.42578125" style="3" customWidth="1"/>
    <col min="10242" max="10242" width="53.7109375" style="3" customWidth="1"/>
    <col min="10243" max="10243" width="35.140625" style="3" customWidth="1"/>
    <col min="10244" max="10244" width="18.42578125" style="3" customWidth="1"/>
    <col min="10245" max="10245" width="14.85546875" style="3" customWidth="1"/>
    <col min="10246" max="10246" width="17.42578125" style="3" customWidth="1"/>
    <col min="10247" max="10247" width="21.7109375" style="3" customWidth="1"/>
    <col min="10248" max="10249" width="24" style="3" customWidth="1"/>
    <col min="10250" max="10250" width="36.42578125" style="3" customWidth="1"/>
    <col min="10251" max="10251" width="6.42578125" style="3" customWidth="1"/>
    <col min="10252" max="10252" width="11.42578125" style="3" customWidth="1"/>
    <col min="10253" max="10496" width="11.42578125" style="3"/>
    <col min="10497" max="10497" width="42.42578125" style="3" customWidth="1"/>
    <col min="10498" max="10498" width="53.7109375" style="3" customWidth="1"/>
    <col min="10499" max="10499" width="35.140625" style="3" customWidth="1"/>
    <col min="10500" max="10500" width="18.42578125" style="3" customWidth="1"/>
    <col min="10501" max="10501" width="14.85546875" style="3" customWidth="1"/>
    <col min="10502" max="10502" width="17.42578125" style="3" customWidth="1"/>
    <col min="10503" max="10503" width="21.7109375" style="3" customWidth="1"/>
    <col min="10504" max="10505" width="24" style="3" customWidth="1"/>
    <col min="10506" max="10506" width="36.42578125" style="3" customWidth="1"/>
    <col min="10507" max="10507" width="6.42578125" style="3" customWidth="1"/>
    <col min="10508" max="10508" width="11.42578125" style="3" customWidth="1"/>
    <col min="10509" max="10752" width="11.42578125" style="3"/>
    <col min="10753" max="10753" width="42.42578125" style="3" customWidth="1"/>
    <col min="10754" max="10754" width="53.7109375" style="3" customWidth="1"/>
    <col min="10755" max="10755" width="35.140625" style="3" customWidth="1"/>
    <col min="10756" max="10756" width="18.42578125" style="3" customWidth="1"/>
    <col min="10757" max="10757" width="14.85546875" style="3" customWidth="1"/>
    <col min="10758" max="10758" width="17.42578125" style="3" customWidth="1"/>
    <col min="10759" max="10759" width="21.7109375" style="3" customWidth="1"/>
    <col min="10760" max="10761" width="24" style="3" customWidth="1"/>
    <col min="10762" max="10762" width="36.42578125" style="3" customWidth="1"/>
    <col min="10763" max="10763" width="6.42578125" style="3" customWidth="1"/>
    <col min="10764" max="10764" width="11.42578125" style="3" customWidth="1"/>
    <col min="10765" max="11008" width="11.42578125" style="3"/>
    <col min="11009" max="11009" width="42.42578125" style="3" customWidth="1"/>
    <col min="11010" max="11010" width="53.7109375" style="3" customWidth="1"/>
    <col min="11011" max="11011" width="35.140625" style="3" customWidth="1"/>
    <col min="11012" max="11012" width="18.42578125" style="3" customWidth="1"/>
    <col min="11013" max="11013" width="14.85546875" style="3" customWidth="1"/>
    <col min="11014" max="11014" width="17.42578125" style="3" customWidth="1"/>
    <col min="11015" max="11015" width="21.7109375" style="3" customWidth="1"/>
    <col min="11016" max="11017" width="24" style="3" customWidth="1"/>
    <col min="11018" max="11018" width="36.42578125" style="3" customWidth="1"/>
    <col min="11019" max="11019" width="6.42578125" style="3" customWidth="1"/>
    <col min="11020" max="11020" width="11.42578125" style="3" customWidth="1"/>
    <col min="11021" max="11264" width="11.42578125" style="3"/>
    <col min="11265" max="11265" width="42.42578125" style="3" customWidth="1"/>
    <col min="11266" max="11266" width="53.7109375" style="3" customWidth="1"/>
    <col min="11267" max="11267" width="35.140625" style="3" customWidth="1"/>
    <col min="11268" max="11268" width="18.42578125" style="3" customWidth="1"/>
    <col min="11269" max="11269" width="14.85546875" style="3" customWidth="1"/>
    <col min="11270" max="11270" width="17.42578125" style="3" customWidth="1"/>
    <col min="11271" max="11271" width="21.7109375" style="3" customWidth="1"/>
    <col min="11272" max="11273" width="24" style="3" customWidth="1"/>
    <col min="11274" max="11274" width="36.42578125" style="3" customWidth="1"/>
    <col min="11275" max="11275" width="6.42578125" style="3" customWidth="1"/>
    <col min="11276" max="11276" width="11.42578125" style="3" customWidth="1"/>
    <col min="11277" max="11520" width="11.42578125" style="3"/>
    <col min="11521" max="11521" width="42.42578125" style="3" customWidth="1"/>
    <col min="11522" max="11522" width="53.7109375" style="3" customWidth="1"/>
    <col min="11523" max="11523" width="35.140625" style="3" customWidth="1"/>
    <col min="11524" max="11524" width="18.42578125" style="3" customWidth="1"/>
    <col min="11525" max="11525" width="14.85546875" style="3" customWidth="1"/>
    <col min="11526" max="11526" width="17.42578125" style="3" customWidth="1"/>
    <col min="11527" max="11527" width="21.7109375" style="3" customWidth="1"/>
    <col min="11528" max="11529" width="24" style="3" customWidth="1"/>
    <col min="11530" max="11530" width="36.42578125" style="3" customWidth="1"/>
    <col min="11531" max="11531" width="6.42578125" style="3" customWidth="1"/>
    <col min="11532" max="11532" width="11.42578125" style="3" customWidth="1"/>
    <col min="11533" max="11776" width="11.42578125" style="3"/>
    <col min="11777" max="11777" width="42.42578125" style="3" customWidth="1"/>
    <col min="11778" max="11778" width="53.7109375" style="3" customWidth="1"/>
    <col min="11779" max="11779" width="35.140625" style="3" customWidth="1"/>
    <col min="11780" max="11780" width="18.42578125" style="3" customWidth="1"/>
    <col min="11781" max="11781" width="14.85546875" style="3" customWidth="1"/>
    <col min="11782" max="11782" width="17.42578125" style="3" customWidth="1"/>
    <col min="11783" max="11783" width="21.7109375" style="3" customWidth="1"/>
    <col min="11784" max="11785" width="24" style="3" customWidth="1"/>
    <col min="11786" max="11786" width="36.42578125" style="3" customWidth="1"/>
    <col min="11787" max="11787" width="6.42578125" style="3" customWidth="1"/>
    <col min="11788" max="11788" width="11.42578125" style="3" customWidth="1"/>
    <col min="11789" max="12032" width="11.42578125" style="3"/>
    <col min="12033" max="12033" width="42.42578125" style="3" customWidth="1"/>
    <col min="12034" max="12034" width="53.7109375" style="3" customWidth="1"/>
    <col min="12035" max="12035" width="35.140625" style="3" customWidth="1"/>
    <col min="12036" max="12036" width="18.42578125" style="3" customWidth="1"/>
    <col min="12037" max="12037" width="14.85546875" style="3" customWidth="1"/>
    <col min="12038" max="12038" width="17.42578125" style="3" customWidth="1"/>
    <col min="12039" max="12039" width="21.7109375" style="3" customWidth="1"/>
    <col min="12040" max="12041" width="24" style="3" customWidth="1"/>
    <col min="12042" max="12042" width="36.42578125" style="3" customWidth="1"/>
    <col min="12043" max="12043" width="6.42578125" style="3" customWidth="1"/>
    <col min="12044" max="12044" width="11.42578125" style="3" customWidth="1"/>
    <col min="12045" max="12288" width="11.42578125" style="3"/>
    <col min="12289" max="12289" width="42.42578125" style="3" customWidth="1"/>
    <col min="12290" max="12290" width="53.7109375" style="3" customWidth="1"/>
    <col min="12291" max="12291" width="35.140625" style="3" customWidth="1"/>
    <col min="12292" max="12292" width="18.42578125" style="3" customWidth="1"/>
    <col min="12293" max="12293" width="14.85546875" style="3" customWidth="1"/>
    <col min="12294" max="12294" width="17.42578125" style="3" customWidth="1"/>
    <col min="12295" max="12295" width="21.7109375" style="3" customWidth="1"/>
    <col min="12296" max="12297" width="24" style="3" customWidth="1"/>
    <col min="12298" max="12298" width="36.42578125" style="3" customWidth="1"/>
    <col min="12299" max="12299" width="6.42578125" style="3" customWidth="1"/>
    <col min="12300" max="12300" width="11.42578125" style="3" customWidth="1"/>
    <col min="12301" max="12544" width="11.42578125" style="3"/>
    <col min="12545" max="12545" width="42.42578125" style="3" customWidth="1"/>
    <col min="12546" max="12546" width="53.7109375" style="3" customWidth="1"/>
    <col min="12547" max="12547" width="35.140625" style="3" customWidth="1"/>
    <col min="12548" max="12548" width="18.42578125" style="3" customWidth="1"/>
    <col min="12549" max="12549" width="14.85546875" style="3" customWidth="1"/>
    <col min="12550" max="12550" width="17.42578125" style="3" customWidth="1"/>
    <col min="12551" max="12551" width="21.7109375" style="3" customWidth="1"/>
    <col min="12552" max="12553" width="24" style="3" customWidth="1"/>
    <col min="12554" max="12554" width="36.42578125" style="3" customWidth="1"/>
    <col min="12555" max="12555" width="6.42578125" style="3" customWidth="1"/>
    <col min="12556" max="12556" width="11.42578125" style="3" customWidth="1"/>
    <col min="12557" max="12800" width="11.42578125" style="3"/>
    <col min="12801" max="12801" width="42.42578125" style="3" customWidth="1"/>
    <col min="12802" max="12802" width="53.7109375" style="3" customWidth="1"/>
    <col min="12803" max="12803" width="35.140625" style="3" customWidth="1"/>
    <col min="12804" max="12804" width="18.42578125" style="3" customWidth="1"/>
    <col min="12805" max="12805" width="14.85546875" style="3" customWidth="1"/>
    <col min="12806" max="12806" width="17.42578125" style="3" customWidth="1"/>
    <col min="12807" max="12807" width="21.7109375" style="3" customWidth="1"/>
    <col min="12808" max="12809" width="24" style="3" customWidth="1"/>
    <col min="12810" max="12810" width="36.42578125" style="3" customWidth="1"/>
    <col min="12811" max="12811" width="6.42578125" style="3" customWidth="1"/>
    <col min="12812" max="12812" width="11.42578125" style="3" customWidth="1"/>
    <col min="12813" max="13056" width="11.42578125" style="3"/>
    <col min="13057" max="13057" width="42.42578125" style="3" customWidth="1"/>
    <col min="13058" max="13058" width="53.7109375" style="3" customWidth="1"/>
    <col min="13059" max="13059" width="35.140625" style="3" customWidth="1"/>
    <col min="13060" max="13060" width="18.42578125" style="3" customWidth="1"/>
    <col min="13061" max="13061" width="14.85546875" style="3" customWidth="1"/>
    <col min="13062" max="13062" width="17.42578125" style="3" customWidth="1"/>
    <col min="13063" max="13063" width="21.7109375" style="3" customWidth="1"/>
    <col min="13064" max="13065" width="24" style="3" customWidth="1"/>
    <col min="13066" max="13066" width="36.42578125" style="3" customWidth="1"/>
    <col min="13067" max="13067" width="6.42578125" style="3" customWidth="1"/>
    <col min="13068" max="13068" width="11.42578125" style="3" customWidth="1"/>
    <col min="13069" max="13312" width="11.42578125" style="3"/>
    <col min="13313" max="13313" width="42.42578125" style="3" customWidth="1"/>
    <col min="13314" max="13314" width="53.7109375" style="3" customWidth="1"/>
    <col min="13315" max="13315" width="35.140625" style="3" customWidth="1"/>
    <col min="13316" max="13316" width="18.42578125" style="3" customWidth="1"/>
    <col min="13317" max="13317" width="14.85546875" style="3" customWidth="1"/>
    <col min="13318" max="13318" width="17.42578125" style="3" customWidth="1"/>
    <col min="13319" max="13319" width="21.7109375" style="3" customWidth="1"/>
    <col min="13320" max="13321" width="24" style="3" customWidth="1"/>
    <col min="13322" max="13322" width="36.42578125" style="3" customWidth="1"/>
    <col min="13323" max="13323" width="6.42578125" style="3" customWidth="1"/>
    <col min="13324" max="13324" width="11.42578125" style="3" customWidth="1"/>
    <col min="13325" max="13568" width="11.42578125" style="3"/>
    <col min="13569" max="13569" width="42.42578125" style="3" customWidth="1"/>
    <col min="13570" max="13570" width="53.7109375" style="3" customWidth="1"/>
    <col min="13571" max="13571" width="35.140625" style="3" customWidth="1"/>
    <col min="13572" max="13572" width="18.42578125" style="3" customWidth="1"/>
    <col min="13573" max="13573" width="14.85546875" style="3" customWidth="1"/>
    <col min="13574" max="13574" width="17.42578125" style="3" customWidth="1"/>
    <col min="13575" max="13575" width="21.7109375" style="3" customWidth="1"/>
    <col min="13576" max="13577" width="24" style="3" customWidth="1"/>
    <col min="13578" max="13578" width="36.42578125" style="3" customWidth="1"/>
    <col min="13579" max="13579" width="6.42578125" style="3" customWidth="1"/>
    <col min="13580" max="13580" width="11.42578125" style="3" customWidth="1"/>
    <col min="13581" max="13824" width="11.42578125" style="3"/>
    <col min="13825" max="13825" width="42.42578125" style="3" customWidth="1"/>
    <col min="13826" max="13826" width="53.7109375" style="3" customWidth="1"/>
    <col min="13827" max="13827" width="35.140625" style="3" customWidth="1"/>
    <col min="13828" max="13828" width="18.42578125" style="3" customWidth="1"/>
    <col min="13829" max="13829" width="14.85546875" style="3" customWidth="1"/>
    <col min="13830" max="13830" width="17.42578125" style="3" customWidth="1"/>
    <col min="13831" max="13831" width="21.7109375" style="3" customWidth="1"/>
    <col min="13832" max="13833" width="24" style="3" customWidth="1"/>
    <col min="13834" max="13834" width="36.42578125" style="3" customWidth="1"/>
    <col min="13835" max="13835" width="6.42578125" style="3" customWidth="1"/>
    <col min="13836" max="13836" width="11.42578125" style="3" customWidth="1"/>
    <col min="13837" max="14080" width="11.42578125" style="3"/>
    <col min="14081" max="14081" width="42.42578125" style="3" customWidth="1"/>
    <col min="14082" max="14082" width="53.7109375" style="3" customWidth="1"/>
    <col min="14083" max="14083" width="35.140625" style="3" customWidth="1"/>
    <col min="14084" max="14084" width="18.42578125" style="3" customWidth="1"/>
    <col min="14085" max="14085" width="14.85546875" style="3" customWidth="1"/>
    <col min="14086" max="14086" width="17.42578125" style="3" customWidth="1"/>
    <col min="14087" max="14087" width="21.7109375" style="3" customWidth="1"/>
    <col min="14088" max="14089" width="24" style="3" customWidth="1"/>
    <col min="14090" max="14090" width="36.42578125" style="3" customWidth="1"/>
    <col min="14091" max="14091" width="6.42578125" style="3" customWidth="1"/>
    <col min="14092" max="14092" width="11.42578125" style="3" customWidth="1"/>
    <col min="14093" max="14336" width="11.42578125" style="3"/>
    <col min="14337" max="14337" width="42.42578125" style="3" customWidth="1"/>
    <col min="14338" max="14338" width="53.7109375" style="3" customWidth="1"/>
    <col min="14339" max="14339" width="35.140625" style="3" customWidth="1"/>
    <col min="14340" max="14340" width="18.42578125" style="3" customWidth="1"/>
    <col min="14341" max="14341" width="14.85546875" style="3" customWidth="1"/>
    <col min="14342" max="14342" width="17.42578125" style="3" customWidth="1"/>
    <col min="14343" max="14343" width="21.7109375" style="3" customWidth="1"/>
    <col min="14344" max="14345" width="24" style="3" customWidth="1"/>
    <col min="14346" max="14346" width="36.42578125" style="3" customWidth="1"/>
    <col min="14347" max="14347" width="6.42578125" style="3" customWidth="1"/>
    <col min="14348" max="14348" width="11.42578125" style="3" customWidth="1"/>
    <col min="14349" max="14592" width="11.42578125" style="3"/>
    <col min="14593" max="14593" width="42.42578125" style="3" customWidth="1"/>
    <col min="14594" max="14594" width="53.7109375" style="3" customWidth="1"/>
    <col min="14595" max="14595" width="35.140625" style="3" customWidth="1"/>
    <col min="14596" max="14596" width="18.42578125" style="3" customWidth="1"/>
    <col min="14597" max="14597" width="14.85546875" style="3" customWidth="1"/>
    <col min="14598" max="14598" width="17.42578125" style="3" customWidth="1"/>
    <col min="14599" max="14599" width="21.7109375" style="3" customWidth="1"/>
    <col min="14600" max="14601" width="24" style="3" customWidth="1"/>
    <col min="14602" max="14602" width="36.42578125" style="3" customWidth="1"/>
    <col min="14603" max="14603" width="6.42578125" style="3" customWidth="1"/>
    <col min="14604" max="14604" width="11.42578125" style="3" customWidth="1"/>
    <col min="14605" max="14848" width="11.42578125" style="3"/>
    <col min="14849" max="14849" width="42.42578125" style="3" customWidth="1"/>
    <col min="14850" max="14850" width="53.7109375" style="3" customWidth="1"/>
    <col min="14851" max="14851" width="35.140625" style="3" customWidth="1"/>
    <col min="14852" max="14852" width="18.42578125" style="3" customWidth="1"/>
    <col min="14853" max="14853" width="14.85546875" style="3" customWidth="1"/>
    <col min="14854" max="14854" width="17.42578125" style="3" customWidth="1"/>
    <col min="14855" max="14855" width="21.7109375" style="3" customWidth="1"/>
    <col min="14856" max="14857" width="24" style="3" customWidth="1"/>
    <col min="14858" max="14858" width="36.42578125" style="3" customWidth="1"/>
    <col min="14859" max="14859" width="6.42578125" style="3" customWidth="1"/>
    <col min="14860" max="14860" width="11.42578125" style="3" customWidth="1"/>
    <col min="14861" max="15104" width="11.42578125" style="3"/>
    <col min="15105" max="15105" width="42.42578125" style="3" customWidth="1"/>
    <col min="15106" max="15106" width="53.7109375" style="3" customWidth="1"/>
    <col min="15107" max="15107" width="35.140625" style="3" customWidth="1"/>
    <col min="15108" max="15108" width="18.42578125" style="3" customWidth="1"/>
    <col min="15109" max="15109" width="14.85546875" style="3" customWidth="1"/>
    <col min="15110" max="15110" width="17.42578125" style="3" customWidth="1"/>
    <col min="15111" max="15111" width="21.7109375" style="3" customWidth="1"/>
    <col min="15112" max="15113" width="24" style="3" customWidth="1"/>
    <col min="15114" max="15114" width="36.42578125" style="3" customWidth="1"/>
    <col min="15115" max="15115" width="6.42578125" style="3" customWidth="1"/>
    <col min="15116" max="15116" width="11.42578125" style="3" customWidth="1"/>
    <col min="15117" max="15360" width="11.42578125" style="3"/>
    <col min="15361" max="15361" width="42.42578125" style="3" customWidth="1"/>
    <col min="15362" max="15362" width="53.7109375" style="3" customWidth="1"/>
    <col min="15363" max="15363" width="35.140625" style="3" customWidth="1"/>
    <col min="15364" max="15364" width="18.42578125" style="3" customWidth="1"/>
    <col min="15365" max="15365" width="14.85546875" style="3" customWidth="1"/>
    <col min="15366" max="15366" width="17.42578125" style="3" customWidth="1"/>
    <col min="15367" max="15367" width="21.7109375" style="3" customWidth="1"/>
    <col min="15368" max="15369" width="24" style="3" customWidth="1"/>
    <col min="15370" max="15370" width="36.42578125" style="3" customWidth="1"/>
    <col min="15371" max="15371" width="6.42578125" style="3" customWidth="1"/>
    <col min="15372" max="15372" width="11.42578125" style="3" customWidth="1"/>
    <col min="15373" max="15616" width="11.42578125" style="3"/>
    <col min="15617" max="15617" width="42.42578125" style="3" customWidth="1"/>
    <col min="15618" max="15618" width="53.7109375" style="3" customWidth="1"/>
    <col min="15619" max="15619" width="35.140625" style="3" customWidth="1"/>
    <col min="15620" max="15620" width="18.42578125" style="3" customWidth="1"/>
    <col min="15621" max="15621" width="14.85546875" style="3" customWidth="1"/>
    <col min="15622" max="15622" width="17.42578125" style="3" customWidth="1"/>
    <col min="15623" max="15623" width="21.7109375" style="3" customWidth="1"/>
    <col min="15624" max="15625" width="24" style="3" customWidth="1"/>
    <col min="15626" max="15626" width="36.42578125" style="3" customWidth="1"/>
    <col min="15627" max="15627" width="6.42578125" style="3" customWidth="1"/>
    <col min="15628" max="15628" width="11.42578125" style="3" customWidth="1"/>
    <col min="15629" max="15872" width="11.42578125" style="3"/>
    <col min="15873" max="15873" width="42.42578125" style="3" customWidth="1"/>
    <col min="15874" max="15874" width="53.7109375" style="3" customWidth="1"/>
    <col min="15875" max="15875" width="35.140625" style="3" customWidth="1"/>
    <col min="15876" max="15876" width="18.42578125" style="3" customWidth="1"/>
    <col min="15877" max="15877" width="14.85546875" style="3" customWidth="1"/>
    <col min="15878" max="15878" width="17.42578125" style="3" customWidth="1"/>
    <col min="15879" max="15879" width="21.7109375" style="3" customWidth="1"/>
    <col min="15880" max="15881" width="24" style="3" customWidth="1"/>
    <col min="15882" max="15882" width="36.42578125" style="3" customWidth="1"/>
    <col min="15883" max="15883" width="6.42578125" style="3" customWidth="1"/>
    <col min="15884" max="15884" width="11.42578125" style="3" customWidth="1"/>
    <col min="15885" max="16128" width="11.42578125" style="3"/>
    <col min="16129" max="16129" width="42.42578125" style="3" customWidth="1"/>
    <col min="16130" max="16130" width="53.7109375" style="3" customWidth="1"/>
    <col min="16131" max="16131" width="35.140625" style="3" customWidth="1"/>
    <col min="16132" max="16132" width="18.42578125" style="3" customWidth="1"/>
    <col min="16133" max="16133" width="14.85546875" style="3" customWidth="1"/>
    <col min="16134" max="16134" width="17.42578125" style="3" customWidth="1"/>
    <col min="16135" max="16135" width="21.7109375" style="3" customWidth="1"/>
    <col min="16136" max="16137" width="24" style="3" customWidth="1"/>
    <col min="16138" max="16138" width="36.42578125" style="3" customWidth="1"/>
    <col min="16139" max="16139" width="6.42578125" style="3" customWidth="1"/>
    <col min="16140" max="16140" width="11.42578125" style="3" customWidth="1"/>
    <col min="16141" max="16384" width="11.42578125" style="3"/>
  </cols>
  <sheetData>
    <row r="1" spans="1:10" ht="33.75" customHeight="1">
      <c r="A1" s="93" t="s">
        <v>165</v>
      </c>
      <c r="B1" s="93"/>
      <c r="C1" s="93"/>
      <c r="D1" s="93"/>
      <c r="E1" s="93"/>
      <c r="F1" s="93"/>
      <c r="G1" s="93"/>
      <c r="H1" s="93"/>
      <c r="I1" s="93"/>
      <c r="J1" s="94"/>
    </row>
    <row r="2" spans="1:10" ht="7.5" customHeight="1"/>
    <row r="3" spans="1:10" ht="99.75" customHeight="1">
      <c r="A3" s="16" t="s">
        <v>0</v>
      </c>
      <c r="B3" s="17" t="s">
        <v>1</v>
      </c>
      <c r="C3" s="17" t="s">
        <v>2</v>
      </c>
      <c r="D3" s="18" t="s">
        <v>3</v>
      </c>
      <c r="E3" s="17" t="s">
        <v>4</v>
      </c>
      <c r="F3" s="17" t="s">
        <v>16</v>
      </c>
      <c r="G3" s="17" t="s">
        <v>5</v>
      </c>
      <c r="H3" s="17" t="s">
        <v>17</v>
      </c>
      <c r="I3" s="17" t="s">
        <v>6</v>
      </c>
      <c r="J3" s="17" t="s">
        <v>8</v>
      </c>
    </row>
    <row r="4" spans="1:10" s="21" customFormat="1" ht="90" customHeight="1">
      <c r="A4" s="7" t="s">
        <v>18</v>
      </c>
      <c r="B4" s="19" t="s">
        <v>21</v>
      </c>
      <c r="C4" s="19" t="s">
        <v>22</v>
      </c>
      <c r="D4" s="20">
        <v>200000</v>
      </c>
      <c r="E4" s="72" t="s">
        <v>19</v>
      </c>
      <c r="F4" s="12">
        <v>2026</v>
      </c>
      <c r="G4" s="12" t="s">
        <v>10</v>
      </c>
      <c r="H4" s="12" t="s">
        <v>20</v>
      </c>
      <c r="I4" s="13" t="s">
        <v>11</v>
      </c>
      <c r="J4" s="7" t="s">
        <v>13</v>
      </c>
    </row>
    <row r="5" spans="1:10" s="21" customFormat="1" ht="90" customHeight="1">
      <c r="A5" s="7" t="s">
        <v>18</v>
      </c>
      <c r="B5" s="19" t="s">
        <v>205</v>
      </c>
      <c r="C5" s="19" t="s">
        <v>190</v>
      </c>
      <c r="D5" s="20">
        <v>500000</v>
      </c>
      <c r="E5" s="72" t="s">
        <v>19</v>
      </c>
      <c r="F5" s="12">
        <v>2026</v>
      </c>
      <c r="G5" s="12" t="s">
        <v>10</v>
      </c>
      <c r="H5" s="12" t="s">
        <v>20</v>
      </c>
      <c r="I5" s="13" t="s">
        <v>11</v>
      </c>
      <c r="J5" s="7" t="s">
        <v>13</v>
      </c>
    </row>
    <row r="6" spans="1:10" s="21" customFormat="1" ht="90" customHeight="1">
      <c r="A6" s="7" t="s">
        <v>18</v>
      </c>
      <c r="B6" s="19" t="s">
        <v>189</v>
      </c>
      <c r="C6" s="19" t="s">
        <v>188</v>
      </c>
      <c r="D6" s="20">
        <v>200000</v>
      </c>
      <c r="E6" s="72" t="s">
        <v>19</v>
      </c>
      <c r="F6" s="12">
        <v>2026</v>
      </c>
      <c r="G6" s="12" t="s">
        <v>10</v>
      </c>
      <c r="H6" s="12" t="s">
        <v>20</v>
      </c>
      <c r="I6" s="13" t="s">
        <v>11</v>
      </c>
      <c r="J6" s="7" t="s">
        <v>13</v>
      </c>
    </row>
    <row r="7" spans="1:10" s="23" customFormat="1" ht="90" customHeight="1">
      <c r="A7" s="7" t="s">
        <v>18</v>
      </c>
      <c r="B7" s="9" t="s">
        <v>167</v>
      </c>
      <c r="C7" s="9" t="s">
        <v>24</v>
      </c>
      <c r="D7" s="10">
        <v>100000</v>
      </c>
      <c r="E7" s="71" t="s">
        <v>164</v>
      </c>
      <c r="F7" s="12">
        <v>2026</v>
      </c>
      <c r="G7" s="11" t="s">
        <v>10</v>
      </c>
      <c r="H7" s="11" t="s">
        <v>20</v>
      </c>
      <c r="I7" s="22" t="s">
        <v>23</v>
      </c>
      <c r="J7" s="6" t="s">
        <v>13</v>
      </c>
    </row>
  </sheetData>
  <autoFilter ref="A3:J4"/>
  <mergeCells count="1">
    <mergeCell ref="A1:J1"/>
  </mergeCells>
  <printOptions horizontalCentered="1" verticalCentered="1"/>
  <pageMargins left="0.23622047244094491" right="0.23622047244094491" top="0.35433070866141736" bottom="0.11811023622047245" header="0.31496062992125984" footer="0.31496062992125984"/>
  <pageSetup paperSize="9" scale="47" orientation="landscape" r:id="rId1"/>
  <headerFooter>
    <oddHeader>&amp;C&amp;16&amp;P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AO8"/>
  <sheetViews>
    <sheetView view="pageBreakPreview" topLeftCell="A4" zoomScale="60" zoomScaleNormal="71" workbookViewId="0">
      <selection activeCell="I7" sqref="I7"/>
    </sheetView>
  </sheetViews>
  <sheetFormatPr baseColWidth="10" defaultColWidth="10.7109375" defaultRowHeight="15"/>
  <cols>
    <col min="1" max="1" width="11.42578125" style="95" customWidth="1"/>
    <col min="2" max="2" width="41.7109375" customWidth="1"/>
    <col min="3" max="3" width="50.5703125" customWidth="1"/>
    <col min="4" max="4" width="18.42578125" customWidth="1"/>
    <col min="5" max="5" width="22.5703125" customWidth="1"/>
    <col min="6" max="6" width="16.7109375" customWidth="1"/>
    <col min="7" max="7" width="17.85546875" customWidth="1"/>
    <col min="8" max="8" width="18" customWidth="1"/>
    <col min="9" max="9" width="17.85546875" customWidth="1"/>
    <col min="10" max="10" width="23" customWidth="1"/>
    <col min="11" max="11" width="24.7109375" customWidth="1"/>
    <col min="12" max="12" width="19.140625" customWidth="1"/>
    <col min="13" max="13" width="25.85546875" customWidth="1"/>
    <col min="14" max="14" width="22" customWidth="1"/>
    <col min="257" max="257" width="11.42578125" customWidth="1"/>
    <col min="258" max="258" width="31.7109375" customWidth="1"/>
    <col min="259" max="259" width="46.28515625" customWidth="1"/>
    <col min="260" max="260" width="18.42578125" customWidth="1"/>
    <col min="261" max="261" width="22.5703125" customWidth="1"/>
    <col min="263" max="263" width="17.85546875" customWidth="1"/>
    <col min="264" max="264" width="18" customWidth="1"/>
    <col min="265" max="265" width="15" customWidth="1"/>
    <col min="266" max="266" width="23" customWidth="1"/>
    <col min="267" max="267" width="24.7109375" customWidth="1"/>
    <col min="268" max="268" width="19.140625" customWidth="1"/>
    <col min="269" max="269" width="25.85546875" customWidth="1"/>
    <col min="270" max="270" width="22" customWidth="1"/>
    <col min="513" max="513" width="11.42578125" customWidth="1"/>
    <col min="514" max="514" width="31.7109375" customWidth="1"/>
    <col min="515" max="515" width="46.28515625" customWidth="1"/>
    <col min="516" max="516" width="18.42578125" customWidth="1"/>
    <col min="517" max="517" width="22.5703125" customWidth="1"/>
    <col min="519" max="519" width="17.85546875" customWidth="1"/>
    <col min="520" max="520" width="18" customWidth="1"/>
    <col min="521" max="521" width="15" customWidth="1"/>
    <col min="522" max="522" width="23" customWidth="1"/>
    <col min="523" max="523" width="24.7109375" customWidth="1"/>
    <col min="524" max="524" width="19.140625" customWidth="1"/>
    <col min="525" max="525" width="25.85546875" customWidth="1"/>
    <col min="526" max="526" width="22" customWidth="1"/>
    <col min="769" max="769" width="11.42578125" customWidth="1"/>
    <col min="770" max="770" width="31.7109375" customWidth="1"/>
    <col min="771" max="771" width="46.28515625" customWidth="1"/>
    <col min="772" max="772" width="18.42578125" customWidth="1"/>
    <col min="773" max="773" width="22.5703125" customWidth="1"/>
    <col min="775" max="775" width="17.85546875" customWidth="1"/>
    <col min="776" max="776" width="18" customWidth="1"/>
    <col min="777" max="777" width="15" customWidth="1"/>
    <col min="778" max="778" width="23" customWidth="1"/>
    <col min="779" max="779" width="24.7109375" customWidth="1"/>
    <col min="780" max="780" width="19.140625" customWidth="1"/>
    <col min="781" max="781" width="25.85546875" customWidth="1"/>
    <col min="782" max="782" width="22" customWidth="1"/>
    <col min="1025" max="1025" width="11.42578125" customWidth="1"/>
    <col min="1026" max="1026" width="31.7109375" customWidth="1"/>
    <col min="1027" max="1027" width="46.28515625" customWidth="1"/>
    <col min="1028" max="1028" width="18.42578125" customWidth="1"/>
    <col min="1029" max="1029" width="22.5703125" customWidth="1"/>
    <col min="1031" max="1031" width="17.85546875" customWidth="1"/>
    <col min="1032" max="1032" width="18" customWidth="1"/>
    <col min="1033" max="1033" width="15" customWidth="1"/>
    <col min="1034" max="1034" width="23" customWidth="1"/>
    <col min="1035" max="1035" width="24.7109375" customWidth="1"/>
    <col min="1036" max="1036" width="19.140625" customWidth="1"/>
    <col min="1037" max="1037" width="25.85546875" customWidth="1"/>
    <col min="1038" max="1038" width="22" customWidth="1"/>
    <col min="1281" max="1281" width="11.42578125" customWidth="1"/>
    <col min="1282" max="1282" width="31.7109375" customWidth="1"/>
    <col min="1283" max="1283" width="46.28515625" customWidth="1"/>
    <col min="1284" max="1284" width="18.42578125" customWidth="1"/>
    <col min="1285" max="1285" width="22.5703125" customWidth="1"/>
    <col min="1287" max="1287" width="17.85546875" customWidth="1"/>
    <col min="1288" max="1288" width="18" customWidth="1"/>
    <col min="1289" max="1289" width="15" customWidth="1"/>
    <col min="1290" max="1290" width="23" customWidth="1"/>
    <col min="1291" max="1291" width="24.7109375" customWidth="1"/>
    <col min="1292" max="1292" width="19.140625" customWidth="1"/>
    <col min="1293" max="1293" width="25.85546875" customWidth="1"/>
    <col min="1294" max="1294" width="22" customWidth="1"/>
    <col min="1537" max="1537" width="11.42578125" customWidth="1"/>
    <col min="1538" max="1538" width="31.7109375" customWidth="1"/>
    <col min="1539" max="1539" width="46.28515625" customWidth="1"/>
    <col min="1540" max="1540" width="18.42578125" customWidth="1"/>
    <col min="1541" max="1541" width="22.5703125" customWidth="1"/>
    <col min="1543" max="1543" width="17.85546875" customWidth="1"/>
    <col min="1544" max="1544" width="18" customWidth="1"/>
    <col min="1545" max="1545" width="15" customWidth="1"/>
    <col min="1546" max="1546" width="23" customWidth="1"/>
    <col min="1547" max="1547" width="24.7109375" customWidth="1"/>
    <col min="1548" max="1548" width="19.140625" customWidth="1"/>
    <col min="1549" max="1549" width="25.85546875" customWidth="1"/>
    <col min="1550" max="1550" width="22" customWidth="1"/>
    <col min="1793" max="1793" width="11.42578125" customWidth="1"/>
    <col min="1794" max="1794" width="31.7109375" customWidth="1"/>
    <col min="1795" max="1795" width="46.28515625" customWidth="1"/>
    <col min="1796" max="1796" width="18.42578125" customWidth="1"/>
    <col min="1797" max="1797" width="22.5703125" customWidth="1"/>
    <col min="1799" max="1799" width="17.85546875" customWidth="1"/>
    <col min="1800" max="1800" width="18" customWidth="1"/>
    <col min="1801" max="1801" width="15" customWidth="1"/>
    <col min="1802" max="1802" width="23" customWidth="1"/>
    <col min="1803" max="1803" width="24.7109375" customWidth="1"/>
    <col min="1804" max="1804" width="19.140625" customWidth="1"/>
    <col min="1805" max="1805" width="25.85546875" customWidth="1"/>
    <col min="1806" max="1806" width="22" customWidth="1"/>
    <col min="2049" max="2049" width="11.42578125" customWidth="1"/>
    <col min="2050" max="2050" width="31.7109375" customWidth="1"/>
    <col min="2051" max="2051" width="46.28515625" customWidth="1"/>
    <col min="2052" max="2052" width="18.42578125" customWidth="1"/>
    <col min="2053" max="2053" width="22.5703125" customWidth="1"/>
    <col min="2055" max="2055" width="17.85546875" customWidth="1"/>
    <col min="2056" max="2056" width="18" customWidth="1"/>
    <col min="2057" max="2057" width="15" customWidth="1"/>
    <col min="2058" max="2058" width="23" customWidth="1"/>
    <col min="2059" max="2059" width="24.7109375" customWidth="1"/>
    <col min="2060" max="2060" width="19.140625" customWidth="1"/>
    <col min="2061" max="2061" width="25.85546875" customWidth="1"/>
    <col min="2062" max="2062" width="22" customWidth="1"/>
    <col min="2305" max="2305" width="11.42578125" customWidth="1"/>
    <col min="2306" max="2306" width="31.7109375" customWidth="1"/>
    <col min="2307" max="2307" width="46.28515625" customWidth="1"/>
    <col min="2308" max="2308" width="18.42578125" customWidth="1"/>
    <col min="2309" max="2309" width="22.5703125" customWidth="1"/>
    <col min="2311" max="2311" width="17.85546875" customWidth="1"/>
    <col min="2312" max="2312" width="18" customWidth="1"/>
    <col min="2313" max="2313" width="15" customWidth="1"/>
    <col min="2314" max="2314" width="23" customWidth="1"/>
    <col min="2315" max="2315" width="24.7109375" customWidth="1"/>
    <col min="2316" max="2316" width="19.140625" customWidth="1"/>
    <col min="2317" max="2317" width="25.85546875" customWidth="1"/>
    <col min="2318" max="2318" width="22" customWidth="1"/>
    <col min="2561" max="2561" width="11.42578125" customWidth="1"/>
    <col min="2562" max="2562" width="31.7109375" customWidth="1"/>
    <col min="2563" max="2563" width="46.28515625" customWidth="1"/>
    <col min="2564" max="2564" width="18.42578125" customWidth="1"/>
    <col min="2565" max="2565" width="22.5703125" customWidth="1"/>
    <col min="2567" max="2567" width="17.85546875" customWidth="1"/>
    <col min="2568" max="2568" width="18" customWidth="1"/>
    <col min="2569" max="2569" width="15" customWidth="1"/>
    <col min="2570" max="2570" width="23" customWidth="1"/>
    <col min="2571" max="2571" width="24.7109375" customWidth="1"/>
    <col min="2572" max="2572" width="19.140625" customWidth="1"/>
    <col min="2573" max="2573" width="25.85546875" customWidth="1"/>
    <col min="2574" max="2574" width="22" customWidth="1"/>
    <col min="2817" max="2817" width="11.42578125" customWidth="1"/>
    <col min="2818" max="2818" width="31.7109375" customWidth="1"/>
    <col min="2819" max="2819" width="46.28515625" customWidth="1"/>
    <col min="2820" max="2820" width="18.42578125" customWidth="1"/>
    <col min="2821" max="2821" width="22.5703125" customWidth="1"/>
    <col min="2823" max="2823" width="17.85546875" customWidth="1"/>
    <col min="2824" max="2824" width="18" customWidth="1"/>
    <col min="2825" max="2825" width="15" customWidth="1"/>
    <col min="2826" max="2826" width="23" customWidth="1"/>
    <col min="2827" max="2827" width="24.7109375" customWidth="1"/>
    <col min="2828" max="2828" width="19.140625" customWidth="1"/>
    <col min="2829" max="2829" width="25.85546875" customWidth="1"/>
    <col min="2830" max="2830" width="22" customWidth="1"/>
    <col min="3073" max="3073" width="11.42578125" customWidth="1"/>
    <col min="3074" max="3074" width="31.7109375" customWidth="1"/>
    <col min="3075" max="3075" width="46.28515625" customWidth="1"/>
    <col min="3076" max="3076" width="18.42578125" customWidth="1"/>
    <col min="3077" max="3077" width="22.5703125" customWidth="1"/>
    <col min="3079" max="3079" width="17.85546875" customWidth="1"/>
    <col min="3080" max="3080" width="18" customWidth="1"/>
    <col min="3081" max="3081" width="15" customWidth="1"/>
    <col min="3082" max="3082" width="23" customWidth="1"/>
    <col min="3083" max="3083" width="24.7109375" customWidth="1"/>
    <col min="3084" max="3084" width="19.140625" customWidth="1"/>
    <col min="3085" max="3085" width="25.85546875" customWidth="1"/>
    <col min="3086" max="3086" width="22" customWidth="1"/>
    <col min="3329" max="3329" width="11.42578125" customWidth="1"/>
    <col min="3330" max="3330" width="31.7109375" customWidth="1"/>
    <col min="3331" max="3331" width="46.28515625" customWidth="1"/>
    <col min="3332" max="3332" width="18.42578125" customWidth="1"/>
    <col min="3333" max="3333" width="22.5703125" customWidth="1"/>
    <col min="3335" max="3335" width="17.85546875" customWidth="1"/>
    <col min="3336" max="3336" width="18" customWidth="1"/>
    <col min="3337" max="3337" width="15" customWidth="1"/>
    <col min="3338" max="3338" width="23" customWidth="1"/>
    <col min="3339" max="3339" width="24.7109375" customWidth="1"/>
    <col min="3340" max="3340" width="19.140625" customWidth="1"/>
    <col min="3341" max="3341" width="25.85546875" customWidth="1"/>
    <col min="3342" max="3342" width="22" customWidth="1"/>
    <col min="3585" max="3585" width="11.42578125" customWidth="1"/>
    <col min="3586" max="3586" width="31.7109375" customWidth="1"/>
    <col min="3587" max="3587" width="46.28515625" customWidth="1"/>
    <col min="3588" max="3588" width="18.42578125" customWidth="1"/>
    <col min="3589" max="3589" width="22.5703125" customWidth="1"/>
    <col min="3591" max="3591" width="17.85546875" customWidth="1"/>
    <col min="3592" max="3592" width="18" customWidth="1"/>
    <col min="3593" max="3593" width="15" customWidth="1"/>
    <col min="3594" max="3594" width="23" customWidth="1"/>
    <col min="3595" max="3595" width="24.7109375" customWidth="1"/>
    <col min="3596" max="3596" width="19.140625" customWidth="1"/>
    <col min="3597" max="3597" width="25.85546875" customWidth="1"/>
    <col min="3598" max="3598" width="22" customWidth="1"/>
    <col min="3841" max="3841" width="11.42578125" customWidth="1"/>
    <col min="3842" max="3842" width="31.7109375" customWidth="1"/>
    <col min="3843" max="3843" width="46.28515625" customWidth="1"/>
    <col min="3844" max="3844" width="18.42578125" customWidth="1"/>
    <col min="3845" max="3845" width="22.5703125" customWidth="1"/>
    <col min="3847" max="3847" width="17.85546875" customWidth="1"/>
    <col min="3848" max="3848" width="18" customWidth="1"/>
    <col min="3849" max="3849" width="15" customWidth="1"/>
    <col min="3850" max="3850" width="23" customWidth="1"/>
    <col min="3851" max="3851" width="24.7109375" customWidth="1"/>
    <col min="3852" max="3852" width="19.140625" customWidth="1"/>
    <col min="3853" max="3853" width="25.85546875" customWidth="1"/>
    <col min="3854" max="3854" width="22" customWidth="1"/>
    <col min="4097" max="4097" width="11.42578125" customWidth="1"/>
    <col min="4098" max="4098" width="31.7109375" customWidth="1"/>
    <col min="4099" max="4099" width="46.28515625" customWidth="1"/>
    <col min="4100" max="4100" width="18.42578125" customWidth="1"/>
    <col min="4101" max="4101" width="22.5703125" customWidth="1"/>
    <col min="4103" max="4103" width="17.85546875" customWidth="1"/>
    <col min="4104" max="4104" width="18" customWidth="1"/>
    <col min="4105" max="4105" width="15" customWidth="1"/>
    <col min="4106" max="4106" width="23" customWidth="1"/>
    <col min="4107" max="4107" width="24.7109375" customWidth="1"/>
    <col min="4108" max="4108" width="19.140625" customWidth="1"/>
    <col min="4109" max="4109" width="25.85546875" customWidth="1"/>
    <col min="4110" max="4110" width="22" customWidth="1"/>
    <col min="4353" max="4353" width="11.42578125" customWidth="1"/>
    <col min="4354" max="4354" width="31.7109375" customWidth="1"/>
    <col min="4355" max="4355" width="46.28515625" customWidth="1"/>
    <col min="4356" max="4356" width="18.42578125" customWidth="1"/>
    <col min="4357" max="4357" width="22.5703125" customWidth="1"/>
    <col min="4359" max="4359" width="17.85546875" customWidth="1"/>
    <col min="4360" max="4360" width="18" customWidth="1"/>
    <col min="4361" max="4361" width="15" customWidth="1"/>
    <col min="4362" max="4362" width="23" customWidth="1"/>
    <col min="4363" max="4363" width="24.7109375" customWidth="1"/>
    <col min="4364" max="4364" width="19.140625" customWidth="1"/>
    <col min="4365" max="4365" width="25.85546875" customWidth="1"/>
    <col min="4366" max="4366" width="22" customWidth="1"/>
    <col min="4609" max="4609" width="11.42578125" customWidth="1"/>
    <col min="4610" max="4610" width="31.7109375" customWidth="1"/>
    <col min="4611" max="4611" width="46.28515625" customWidth="1"/>
    <col min="4612" max="4612" width="18.42578125" customWidth="1"/>
    <col min="4613" max="4613" width="22.5703125" customWidth="1"/>
    <col min="4615" max="4615" width="17.85546875" customWidth="1"/>
    <col min="4616" max="4616" width="18" customWidth="1"/>
    <col min="4617" max="4617" width="15" customWidth="1"/>
    <col min="4618" max="4618" width="23" customWidth="1"/>
    <col min="4619" max="4619" width="24.7109375" customWidth="1"/>
    <col min="4620" max="4620" width="19.140625" customWidth="1"/>
    <col min="4621" max="4621" width="25.85546875" customWidth="1"/>
    <col min="4622" max="4622" width="22" customWidth="1"/>
    <col min="4865" max="4865" width="11.42578125" customWidth="1"/>
    <col min="4866" max="4866" width="31.7109375" customWidth="1"/>
    <col min="4867" max="4867" width="46.28515625" customWidth="1"/>
    <col min="4868" max="4868" width="18.42578125" customWidth="1"/>
    <col min="4869" max="4869" width="22.5703125" customWidth="1"/>
    <col min="4871" max="4871" width="17.85546875" customWidth="1"/>
    <col min="4872" max="4872" width="18" customWidth="1"/>
    <col min="4873" max="4873" width="15" customWidth="1"/>
    <col min="4874" max="4874" width="23" customWidth="1"/>
    <col min="4875" max="4875" width="24.7109375" customWidth="1"/>
    <col min="4876" max="4876" width="19.140625" customWidth="1"/>
    <col min="4877" max="4877" width="25.85546875" customWidth="1"/>
    <col min="4878" max="4878" width="22" customWidth="1"/>
    <col min="5121" max="5121" width="11.42578125" customWidth="1"/>
    <col min="5122" max="5122" width="31.7109375" customWidth="1"/>
    <col min="5123" max="5123" width="46.28515625" customWidth="1"/>
    <col min="5124" max="5124" width="18.42578125" customWidth="1"/>
    <col min="5125" max="5125" width="22.5703125" customWidth="1"/>
    <col min="5127" max="5127" width="17.85546875" customWidth="1"/>
    <col min="5128" max="5128" width="18" customWidth="1"/>
    <col min="5129" max="5129" width="15" customWidth="1"/>
    <col min="5130" max="5130" width="23" customWidth="1"/>
    <col min="5131" max="5131" width="24.7109375" customWidth="1"/>
    <col min="5132" max="5132" width="19.140625" customWidth="1"/>
    <col min="5133" max="5133" width="25.85546875" customWidth="1"/>
    <col min="5134" max="5134" width="22" customWidth="1"/>
    <col min="5377" max="5377" width="11.42578125" customWidth="1"/>
    <col min="5378" max="5378" width="31.7109375" customWidth="1"/>
    <col min="5379" max="5379" width="46.28515625" customWidth="1"/>
    <col min="5380" max="5380" width="18.42578125" customWidth="1"/>
    <col min="5381" max="5381" width="22.5703125" customWidth="1"/>
    <col min="5383" max="5383" width="17.85546875" customWidth="1"/>
    <col min="5384" max="5384" width="18" customWidth="1"/>
    <col min="5385" max="5385" width="15" customWidth="1"/>
    <col min="5386" max="5386" width="23" customWidth="1"/>
    <col min="5387" max="5387" width="24.7109375" customWidth="1"/>
    <col min="5388" max="5388" width="19.140625" customWidth="1"/>
    <col min="5389" max="5389" width="25.85546875" customWidth="1"/>
    <col min="5390" max="5390" width="22" customWidth="1"/>
    <col min="5633" max="5633" width="11.42578125" customWidth="1"/>
    <col min="5634" max="5634" width="31.7109375" customWidth="1"/>
    <col min="5635" max="5635" width="46.28515625" customWidth="1"/>
    <col min="5636" max="5636" width="18.42578125" customWidth="1"/>
    <col min="5637" max="5637" width="22.5703125" customWidth="1"/>
    <col min="5639" max="5639" width="17.85546875" customWidth="1"/>
    <col min="5640" max="5640" width="18" customWidth="1"/>
    <col min="5641" max="5641" width="15" customWidth="1"/>
    <col min="5642" max="5642" width="23" customWidth="1"/>
    <col min="5643" max="5643" width="24.7109375" customWidth="1"/>
    <col min="5644" max="5644" width="19.140625" customWidth="1"/>
    <col min="5645" max="5645" width="25.85546875" customWidth="1"/>
    <col min="5646" max="5646" width="22" customWidth="1"/>
    <col min="5889" max="5889" width="11.42578125" customWidth="1"/>
    <col min="5890" max="5890" width="31.7109375" customWidth="1"/>
    <col min="5891" max="5891" width="46.28515625" customWidth="1"/>
    <col min="5892" max="5892" width="18.42578125" customWidth="1"/>
    <col min="5893" max="5893" width="22.5703125" customWidth="1"/>
    <col min="5895" max="5895" width="17.85546875" customWidth="1"/>
    <col min="5896" max="5896" width="18" customWidth="1"/>
    <col min="5897" max="5897" width="15" customWidth="1"/>
    <col min="5898" max="5898" width="23" customWidth="1"/>
    <col min="5899" max="5899" width="24.7109375" customWidth="1"/>
    <col min="5900" max="5900" width="19.140625" customWidth="1"/>
    <col min="5901" max="5901" width="25.85546875" customWidth="1"/>
    <col min="5902" max="5902" width="22" customWidth="1"/>
    <col min="6145" max="6145" width="11.42578125" customWidth="1"/>
    <col min="6146" max="6146" width="31.7109375" customWidth="1"/>
    <col min="6147" max="6147" width="46.28515625" customWidth="1"/>
    <col min="6148" max="6148" width="18.42578125" customWidth="1"/>
    <col min="6149" max="6149" width="22.5703125" customWidth="1"/>
    <col min="6151" max="6151" width="17.85546875" customWidth="1"/>
    <col min="6152" max="6152" width="18" customWidth="1"/>
    <col min="6153" max="6153" width="15" customWidth="1"/>
    <col min="6154" max="6154" width="23" customWidth="1"/>
    <col min="6155" max="6155" width="24.7109375" customWidth="1"/>
    <col min="6156" max="6156" width="19.140625" customWidth="1"/>
    <col min="6157" max="6157" width="25.85546875" customWidth="1"/>
    <col min="6158" max="6158" width="22" customWidth="1"/>
    <col min="6401" max="6401" width="11.42578125" customWidth="1"/>
    <col min="6402" max="6402" width="31.7109375" customWidth="1"/>
    <col min="6403" max="6403" width="46.28515625" customWidth="1"/>
    <col min="6404" max="6404" width="18.42578125" customWidth="1"/>
    <col min="6405" max="6405" width="22.5703125" customWidth="1"/>
    <col min="6407" max="6407" width="17.85546875" customWidth="1"/>
    <col min="6408" max="6408" width="18" customWidth="1"/>
    <col min="6409" max="6409" width="15" customWidth="1"/>
    <col min="6410" max="6410" width="23" customWidth="1"/>
    <col min="6411" max="6411" width="24.7109375" customWidth="1"/>
    <col min="6412" max="6412" width="19.140625" customWidth="1"/>
    <col min="6413" max="6413" width="25.85546875" customWidth="1"/>
    <col min="6414" max="6414" width="22" customWidth="1"/>
    <col min="6657" max="6657" width="11.42578125" customWidth="1"/>
    <col min="6658" max="6658" width="31.7109375" customWidth="1"/>
    <col min="6659" max="6659" width="46.28515625" customWidth="1"/>
    <col min="6660" max="6660" width="18.42578125" customWidth="1"/>
    <col min="6661" max="6661" width="22.5703125" customWidth="1"/>
    <col min="6663" max="6663" width="17.85546875" customWidth="1"/>
    <col min="6664" max="6664" width="18" customWidth="1"/>
    <col min="6665" max="6665" width="15" customWidth="1"/>
    <col min="6666" max="6666" width="23" customWidth="1"/>
    <col min="6667" max="6667" width="24.7109375" customWidth="1"/>
    <col min="6668" max="6668" width="19.140625" customWidth="1"/>
    <col min="6669" max="6669" width="25.85546875" customWidth="1"/>
    <col min="6670" max="6670" width="22" customWidth="1"/>
    <col min="6913" max="6913" width="11.42578125" customWidth="1"/>
    <col min="6914" max="6914" width="31.7109375" customWidth="1"/>
    <col min="6915" max="6915" width="46.28515625" customWidth="1"/>
    <col min="6916" max="6916" width="18.42578125" customWidth="1"/>
    <col min="6917" max="6917" width="22.5703125" customWidth="1"/>
    <col min="6919" max="6919" width="17.85546875" customWidth="1"/>
    <col min="6920" max="6920" width="18" customWidth="1"/>
    <col min="6921" max="6921" width="15" customWidth="1"/>
    <col min="6922" max="6922" width="23" customWidth="1"/>
    <col min="6923" max="6923" width="24.7109375" customWidth="1"/>
    <col min="6924" max="6924" width="19.140625" customWidth="1"/>
    <col min="6925" max="6925" width="25.85546875" customWidth="1"/>
    <col min="6926" max="6926" width="22" customWidth="1"/>
    <col min="7169" max="7169" width="11.42578125" customWidth="1"/>
    <col min="7170" max="7170" width="31.7109375" customWidth="1"/>
    <col min="7171" max="7171" width="46.28515625" customWidth="1"/>
    <col min="7172" max="7172" width="18.42578125" customWidth="1"/>
    <col min="7173" max="7173" width="22.5703125" customWidth="1"/>
    <col min="7175" max="7175" width="17.85546875" customWidth="1"/>
    <col min="7176" max="7176" width="18" customWidth="1"/>
    <col min="7177" max="7177" width="15" customWidth="1"/>
    <col min="7178" max="7178" width="23" customWidth="1"/>
    <col min="7179" max="7179" width="24.7109375" customWidth="1"/>
    <col min="7180" max="7180" width="19.140625" customWidth="1"/>
    <col min="7181" max="7181" width="25.85546875" customWidth="1"/>
    <col min="7182" max="7182" width="22" customWidth="1"/>
    <col min="7425" max="7425" width="11.42578125" customWidth="1"/>
    <col min="7426" max="7426" width="31.7109375" customWidth="1"/>
    <col min="7427" max="7427" width="46.28515625" customWidth="1"/>
    <col min="7428" max="7428" width="18.42578125" customWidth="1"/>
    <col min="7429" max="7429" width="22.5703125" customWidth="1"/>
    <col min="7431" max="7431" width="17.85546875" customWidth="1"/>
    <col min="7432" max="7432" width="18" customWidth="1"/>
    <col min="7433" max="7433" width="15" customWidth="1"/>
    <col min="7434" max="7434" width="23" customWidth="1"/>
    <col min="7435" max="7435" width="24.7109375" customWidth="1"/>
    <col min="7436" max="7436" width="19.140625" customWidth="1"/>
    <col min="7437" max="7437" width="25.85546875" customWidth="1"/>
    <col min="7438" max="7438" width="22" customWidth="1"/>
    <col min="7681" max="7681" width="11.42578125" customWidth="1"/>
    <col min="7682" max="7682" width="31.7109375" customWidth="1"/>
    <col min="7683" max="7683" width="46.28515625" customWidth="1"/>
    <col min="7684" max="7684" width="18.42578125" customWidth="1"/>
    <col min="7685" max="7685" width="22.5703125" customWidth="1"/>
    <col min="7687" max="7687" width="17.85546875" customWidth="1"/>
    <col min="7688" max="7688" width="18" customWidth="1"/>
    <col min="7689" max="7689" width="15" customWidth="1"/>
    <col min="7690" max="7690" width="23" customWidth="1"/>
    <col min="7691" max="7691" width="24.7109375" customWidth="1"/>
    <col min="7692" max="7692" width="19.140625" customWidth="1"/>
    <col min="7693" max="7693" width="25.85546875" customWidth="1"/>
    <col min="7694" max="7694" width="22" customWidth="1"/>
    <col min="7937" max="7937" width="11.42578125" customWidth="1"/>
    <col min="7938" max="7938" width="31.7109375" customWidth="1"/>
    <col min="7939" max="7939" width="46.28515625" customWidth="1"/>
    <col min="7940" max="7940" width="18.42578125" customWidth="1"/>
    <col min="7941" max="7941" width="22.5703125" customWidth="1"/>
    <col min="7943" max="7943" width="17.85546875" customWidth="1"/>
    <col min="7944" max="7944" width="18" customWidth="1"/>
    <col min="7945" max="7945" width="15" customWidth="1"/>
    <col min="7946" max="7946" width="23" customWidth="1"/>
    <col min="7947" max="7947" width="24.7109375" customWidth="1"/>
    <col min="7948" max="7948" width="19.140625" customWidth="1"/>
    <col min="7949" max="7949" width="25.85546875" customWidth="1"/>
    <col min="7950" max="7950" width="22" customWidth="1"/>
    <col min="8193" max="8193" width="11.42578125" customWidth="1"/>
    <col min="8194" max="8194" width="31.7109375" customWidth="1"/>
    <col min="8195" max="8195" width="46.28515625" customWidth="1"/>
    <col min="8196" max="8196" width="18.42578125" customWidth="1"/>
    <col min="8197" max="8197" width="22.5703125" customWidth="1"/>
    <col min="8199" max="8199" width="17.85546875" customWidth="1"/>
    <col min="8200" max="8200" width="18" customWidth="1"/>
    <col min="8201" max="8201" width="15" customWidth="1"/>
    <col min="8202" max="8202" width="23" customWidth="1"/>
    <col min="8203" max="8203" width="24.7109375" customWidth="1"/>
    <col min="8204" max="8204" width="19.140625" customWidth="1"/>
    <col min="8205" max="8205" width="25.85546875" customWidth="1"/>
    <col min="8206" max="8206" width="22" customWidth="1"/>
    <col min="8449" max="8449" width="11.42578125" customWidth="1"/>
    <col min="8450" max="8450" width="31.7109375" customWidth="1"/>
    <col min="8451" max="8451" width="46.28515625" customWidth="1"/>
    <col min="8452" max="8452" width="18.42578125" customWidth="1"/>
    <col min="8453" max="8453" width="22.5703125" customWidth="1"/>
    <col min="8455" max="8455" width="17.85546875" customWidth="1"/>
    <col min="8456" max="8456" width="18" customWidth="1"/>
    <col min="8457" max="8457" width="15" customWidth="1"/>
    <col min="8458" max="8458" width="23" customWidth="1"/>
    <col min="8459" max="8459" width="24.7109375" customWidth="1"/>
    <col min="8460" max="8460" width="19.140625" customWidth="1"/>
    <col min="8461" max="8461" width="25.85546875" customWidth="1"/>
    <col min="8462" max="8462" width="22" customWidth="1"/>
    <col min="8705" max="8705" width="11.42578125" customWidth="1"/>
    <col min="8706" max="8706" width="31.7109375" customWidth="1"/>
    <col min="8707" max="8707" width="46.28515625" customWidth="1"/>
    <col min="8708" max="8708" width="18.42578125" customWidth="1"/>
    <col min="8709" max="8709" width="22.5703125" customWidth="1"/>
    <col min="8711" max="8711" width="17.85546875" customWidth="1"/>
    <col min="8712" max="8712" width="18" customWidth="1"/>
    <col min="8713" max="8713" width="15" customWidth="1"/>
    <col min="8714" max="8714" width="23" customWidth="1"/>
    <col min="8715" max="8715" width="24.7109375" customWidth="1"/>
    <col min="8716" max="8716" width="19.140625" customWidth="1"/>
    <col min="8717" max="8717" width="25.85546875" customWidth="1"/>
    <col min="8718" max="8718" width="22" customWidth="1"/>
    <col min="8961" max="8961" width="11.42578125" customWidth="1"/>
    <col min="8962" max="8962" width="31.7109375" customWidth="1"/>
    <col min="8963" max="8963" width="46.28515625" customWidth="1"/>
    <col min="8964" max="8964" width="18.42578125" customWidth="1"/>
    <col min="8965" max="8965" width="22.5703125" customWidth="1"/>
    <col min="8967" max="8967" width="17.85546875" customWidth="1"/>
    <col min="8968" max="8968" width="18" customWidth="1"/>
    <col min="8969" max="8969" width="15" customWidth="1"/>
    <col min="8970" max="8970" width="23" customWidth="1"/>
    <col min="8971" max="8971" width="24.7109375" customWidth="1"/>
    <col min="8972" max="8972" width="19.140625" customWidth="1"/>
    <col min="8973" max="8973" width="25.85546875" customWidth="1"/>
    <col min="8974" max="8974" width="22" customWidth="1"/>
    <col min="9217" max="9217" width="11.42578125" customWidth="1"/>
    <col min="9218" max="9218" width="31.7109375" customWidth="1"/>
    <col min="9219" max="9219" width="46.28515625" customWidth="1"/>
    <col min="9220" max="9220" width="18.42578125" customWidth="1"/>
    <col min="9221" max="9221" width="22.5703125" customWidth="1"/>
    <col min="9223" max="9223" width="17.85546875" customWidth="1"/>
    <col min="9224" max="9224" width="18" customWidth="1"/>
    <col min="9225" max="9225" width="15" customWidth="1"/>
    <col min="9226" max="9226" width="23" customWidth="1"/>
    <col min="9227" max="9227" width="24.7109375" customWidth="1"/>
    <col min="9228" max="9228" width="19.140625" customWidth="1"/>
    <col min="9229" max="9229" width="25.85546875" customWidth="1"/>
    <col min="9230" max="9230" width="22" customWidth="1"/>
    <col min="9473" max="9473" width="11.42578125" customWidth="1"/>
    <col min="9474" max="9474" width="31.7109375" customWidth="1"/>
    <col min="9475" max="9475" width="46.28515625" customWidth="1"/>
    <col min="9476" max="9476" width="18.42578125" customWidth="1"/>
    <col min="9477" max="9477" width="22.5703125" customWidth="1"/>
    <col min="9479" max="9479" width="17.85546875" customWidth="1"/>
    <col min="9480" max="9480" width="18" customWidth="1"/>
    <col min="9481" max="9481" width="15" customWidth="1"/>
    <col min="9482" max="9482" width="23" customWidth="1"/>
    <col min="9483" max="9483" width="24.7109375" customWidth="1"/>
    <col min="9484" max="9484" width="19.140625" customWidth="1"/>
    <col min="9485" max="9485" width="25.85546875" customWidth="1"/>
    <col min="9486" max="9486" width="22" customWidth="1"/>
    <col min="9729" max="9729" width="11.42578125" customWidth="1"/>
    <col min="9730" max="9730" width="31.7109375" customWidth="1"/>
    <col min="9731" max="9731" width="46.28515625" customWidth="1"/>
    <col min="9732" max="9732" width="18.42578125" customWidth="1"/>
    <col min="9733" max="9733" width="22.5703125" customWidth="1"/>
    <col min="9735" max="9735" width="17.85546875" customWidth="1"/>
    <col min="9736" max="9736" width="18" customWidth="1"/>
    <col min="9737" max="9737" width="15" customWidth="1"/>
    <col min="9738" max="9738" width="23" customWidth="1"/>
    <col min="9739" max="9739" width="24.7109375" customWidth="1"/>
    <col min="9740" max="9740" width="19.140625" customWidth="1"/>
    <col min="9741" max="9741" width="25.85546875" customWidth="1"/>
    <col min="9742" max="9742" width="22" customWidth="1"/>
    <col min="9985" max="9985" width="11.42578125" customWidth="1"/>
    <col min="9986" max="9986" width="31.7109375" customWidth="1"/>
    <col min="9987" max="9987" width="46.28515625" customWidth="1"/>
    <col min="9988" max="9988" width="18.42578125" customWidth="1"/>
    <col min="9989" max="9989" width="22.5703125" customWidth="1"/>
    <col min="9991" max="9991" width="17.85546875" customWidth="1"/>
    <col min="9992" max="9992" width="18" customWidth="1"/>
    <col min="9993" max="9993" width="15" customWidth="1"/>
    <col min="9994" max="9994" width="23" customWidth="1"/>
    <col min="9995" max="9995" width="24.7109375" customWidth="1"/>
    <col min="9996" max="9996" width="19.140625" customWidth="1"/>
    <col min="9997" max="9997" width="25.85546875" customWidth="1"/>
    <col min="9998" max="9998" width="22" customWidth="1"/>
    <col min="10241" max="10241" width="11.42578125" customWidth="1"/>
    <col min="10242" max="10242" width="31.7109375" customWidth="1"/>
    <col min="10243" max="10243" width="46.28515625" customWidth="1"/>
    <col min="10244" max="10244" width="18.42578125" customWidth="1"/>
    <col min="10245" max="10245" width="22.5703125" customWidth="1"/>
    <col min="10247" max="10247" width="17.85546875" customWidth="1"/>
    <col min="10248" max="10248" width="18" customWidth="1"/>
    <col min="10249" max="10249" width="15" customWidth="1"/>
    <col min="10250" max="10250" width="23" customWidth="1"/>
    <col min="10251" max="10251" width="24.7109375" customWidth="1"/>
    <col min="10252" max="10252" width="19.140625" customWidth="1"/>
    <col min="10253" max="10253" width="25.85546875" customWidth="1"/>
    <col min="10254" max="10254" width="22" customWidth="1"/>
    <col min="10497" max="10497" width="11.42578125" customWidth="1"/>
    <col min="10498" max="10498" width="31.7109375" customWidth="1"/>
    <col min="10499" max="10499" width="46.28515625" customWidth="1"/>
    <col min="10500" max="10500" width="18.42578125" customWidth="1"/>
    <col min="10501" max="10501" width="22.5703125" customWidth="1"/>
    <col min="10503" max="10503" width="17.85546875" customWidth="1"/>
    <col min="10504" max="10504" width="18" customWidth="1"/>
    <col min="10505" max="10505" width="15" customWidth="1"/>
    <col min="10506" max="10506" width="23" customWidth="1"/>
    <col min="10507" max="10507" width="24.7109375" customWidth="1"/>
    <col min="10508" max="10508" width="19.140625" customWidth="1"/>
    <col min="10509" max="10509" width="25.85546875" customWidth="1"/>
    <col min="10510" max="10510" width="22" customWidth="1"/>
    <col min="10753" max="10753" width="11.42578125" customWidth="1"/>
    <col min="10754" max="10754" width="31.7109375" customWidth="1"/>
    <col min="10755" max="10755" width="46.28515625" customWidth="1"/>
    <col min="10756" max="10756" width="18.42578125" customWidth="1"/>
    <col min="10757" max="10757" width="22.5703125" customWidth="1"/>
    <col min="10759" max="10759" width="17.85546875" customWidth="1"/>
    <col min="10760" max="10760" width="18" customWidth="1"/>
    <col min="10761" max="10761" width="15" customWidth="1"/>
    <col min="10762" max="10762" width="23" customWidth="1"/>
    <col min="10763" max="10763" width="24.7109375" customWidth="1"/>
    <col min="10764" max="10764" width="19.140625" customWidth="1"/>
    <col min="10765" max="10765" width="25.85546875" customWidth="1"/>
    <col min="10766" max="10766" width="22" customWidth="1"/>
    <col min="11009" max="11009" width="11.42578125" customWidth="1"/>
    <col min="11010" max="11010" width="31.7109375" customWidth="1"/>
    <col min="11011" max="11011" width="46.28515625" customWidth="1"/>
    <col min="11012" max="11012" width="18.42578125" customWidth="1"/>
    <col min="11013" max="11013" width="22.5703125" customWidth="1"/>
    <col min="11015" max="11015" width="17.85546875" customWidth="1"/>
    <col min="11016" max="11016" width="18" customWidth="1"/>
    <col min="11017" max="11017" width="15" customWidth="1"/>
    <col min="11018" max="11018" width="23" customWidth="1"/>
    <col min="11019" max="11019" width="24.7109375" customWidth="1"/>
    <col min="11020" max="11020" width="19.140625" customWidth="1"/>
    <col min="11021" max="11021" width="25.85546875" customWidth="1"/>
    <col min="11022" max="11022" width="22" customWidth="1"/>
    <col min="11265" max="11265" width="11.42578125" customWidth="1"/>
    <col min="11266" max="11266" width="31.7109375" customWidth="1"/>
    <col min="11267" max="11267" width="46.28515625" customWidth="1"/>
    <col min="11268" max="11268" width="18.42578125" customWidth="1"/>
    <col min="11269" max="11269" width="22.5703125" customWidth="1"/>
    <col min="11271" max="11271" width="17.85546875" customWidth="1"/>
    <col min="11272" max="11272" width="18" customWidth="1"/>
    <col min="11273" max="11273" width="15" customWidth="1"/>
    <col min="11274" max="11274" width="23" customWidth="1"/>
    <col min="11275" max="11275" width="24.7109375" customWidth="1"/>
    <col min="11276" max="11276" width="19.140625" customWidth="1"/>
    <col min="11277" max="11277" width="25.85546875" customWidth="1"/>
    <col min="11278" max="11278" width="22" customWidth="1"/>
    <col min="11521" max="11521" width="11.42578125" customWidth="1"/>
    <col min="11522" max="11522" width="31.7109375" customWidth="1"/>
    <col min="11523" max="11523" width="46.28515625" customWidth="1"/>
    <col min="11524" max="11524" width="18.42578125" customWidth="1"/>
    <col min="11525" max="11525" width="22.5703125" customWidth="1"/>
    <col min="11527" max="11527" width="17.85546875" customWidth="1"/>
    <col min="11528" max="11528" width="18" customWidth="1"/>
    <col min="11529" max="11529" width="15" customWidth="1"/>
    <col min="11530" max="11530" width="23" customWidth="1"/>
    <col min="11531" max="11531" width="24.7109375" customWidth="1"/>
    <col min="11532" max="11532" width="19.140625" customWidth="1"/>
    <col min="11533" max="11533" width="25.85546875" customWidth="1"/>
    <col min="11534" max="11534" width="22" customWidth="1"/>
    <col min="11777" max="11777" width="11.42578125" customWidth="1"/>
    <col min="11778" max="11778" width="31.7109375" customWidth="1"/>
    <col min="11779" max="11779" width="46.28515625" customWidth="1"/>
    <col min="11780" max="11780" width="18.42578125" customWidth="1"/>
    <col min="11781" max="11781" width="22.5703125" customWidth="1"/>
    <col min="11783" max="11783" width="17.85546875" customWidth="1"/>
    <col min="11784" max="11784" width="18" customWidth="1"/>
    <col min="11785" max="11785" width="15" customWidth="1"/>
    <col min="11786" max="11786" width="23" customWidth="1"/>
    <col min="11787" max="11787" width="24.7109375" customWidth="1"/>
    <col min="11788" max="11788" width="19.140625" customWidth="1"/>
    <col min="11789" max="11789" width="25.85546875" customWidth="1"/>
    <col min="11790" max="11790" width="22" customWidth="1"/>
    <col min="12033" max="12033" width="11.42578125" customWidth="1"/>
    <col min="12034" max="12034" width="31.7109375" customWidth="1"/>
    <col min="12035" max="12035" width="46.28515625" customWidth="1"/>
    <col min="12036" max="12036" width="18.42578125" customWidth="1"/>
    <col min="12037" max="12037" width="22.5703125" customWidth="1"/>
    <col min="12039" max="12039" width="17.85546875" customWidth="1"/>
    <col min="12040" max="12040" width="18" customWidth="1"/>
    <col min="12041" max="12041" width="15" customWidth="1"/>
    <col min="12042" max="12042" width="23" customWidth="1"/>
    <col min="12043" max="12043" width="24.7109375" customWidth="1"/>
    <col min="12044" max="12044" width="19.140625" customWidth="1"/>
    <col min="12045" max="12045" width="25.85546875" customWidth="1"/>
    <col min="12046" max="12046" width="22" customWidth="1"/>
    <col min="12289" max="12289" width="11.42578125" customWidth="1"/>
    <col min="12290" max="12290" width="31.7109375" customWidth="1"/>
    <col min="12291" max="12291" width="46.28515625" customWidth="1"/>
    <col min="12292" max="12292" width="18.42578125" customWidth="1"/>
    <col min="12293" max="12293" width="22.5703125" customWidth="1"/>
    <col min="12295" max="12295" width="17.85546875" customWidth="1"/>
    <col min="12296" max="12296" width="18" customWidth="1"/>
    <col min="12297" max="12297" width="15" customWidth="1"/>
    <col min="12298" max="12298" width="23" customWidth="1"/>
    <col min="12299" max="12299" width="24.7109375" customWidth="1"/>
    <col min="12300" max="12300" width="19.140625" customWidth="1"/>
    <col min="12301" max="12301" width="25.85546875" customWidth="1"/>
    <col min="12302" max="12302" width="22" customWidth="1"/>
    <col min="12545" max="12545" width="11.42578125" customWidth="1"/>
    <col min="12546" max="12546" width="31.7109375" customWidth="1"/>
    <col min="12547" max="12547" width="46.28515625" customWidth="1"/>
    <col min="12548" max="12548" width="18.42578125" customWidth="1"/>
    <col min="12549" max="12549" width="22.5703125" customWidth="1"/>
    <col min="12551" max="12551" width="17.85546875" customWidth="1"/>
    <col min="12552" max="12552" width="18" customWidth="1"/>
    <col min="12553" max="12553" width="15" customWidth="1"/>
    <col min="12554" max="12554" width="23" customWidth="1"/>
    <col min="12555" max="12555" width="24.7109375" customWidth="1"/>
    <col min="12556" max="12556" width="19.140625" customWidth="1"/>
    <col min="12557" max="12557" width="25.85546875" customWidth="1"/>
    <col min="12558" max="12558" width="22" customWidth="1"/>
    <col min="12801" max="12801" width="11.42578125" customWidth="1"/>
    <col min="12802" max="12802" width="31.7109375" customWidth="1"/>
    <col min="12803" max="12803" width="46.28515625" customWidth="1"/>
    <col min="12804" max="12804" width="18.42578125" customWidth="1"/>
    <col min="12805" max="12805" width="22.5703125" customWidth="1"/>
    <col min="12807" max="12807" width="17.85546875" customWidth="1"/>
    <col min="12808" max="12808" width="18" customWidth="1"/>
    <col min="12809" max="12809" width="15" customWidth="1"/>
    <col min="12810" max="12810" width="23" customWidth="1"/>
    <col min="12811" max="12811" width="24.7109375" customWidth="1"/>
    <col min="12812" max="12812" width="19.140625" customWidth="1"/>
    <col min="12813" max="12813" width="25.85546875" customWidth="1"/>
    <col min="12814" max="12814" width="22" customWidth="1"/>
    <col min="13057" max="13057" width="11.42578125" customWidth="1"/>
    <col min="13058" max="13058" width="31.7109375" customWidth="1"/>
    <col min="13059" max="13059" width="46.28515625" customWidth="1"/>
    <col min="13060" max="13060" width="18.42578125" customWidth="1"/>
    <col min="13061" max="13061" width="22.5703125" customWidth="1"/>
    <col min="13063" max="13063" width="17.85546875" customWidth="1"/>
    <col min="13064" max="13064" width="18" customWidth="1"/>
    <col min="13065" max="13065" width="15" customWidth="1"/>
    <col min="13066" max="13066" width="23" customWidth="1"/>
    <col min="13067" max="13067" width="24.7109375" customWidth="1"/>
    <col min="13068" max="13068" width="19.140625" customWidth="1"/>
    <col min="13069" max="13069" width="25.85546875" customWidth="1"/>
    <col min="13070" max="13070" width="22" customWidth="1"/>
    <col min="13313" max="13313" width="11.42578125" customWidth="1"/>
    <col min="13314" max="13314" width="31.7109375" customWidth="1"/>
    <col min="13315" max="13315" width="46.28515625" customWidth="1"/>
    <col min="13316" max="13316" width="18.42578125" customWidth="1"/>
    <col min="13317" max="13317" width="22.5703125" customWidth="1"/>
    <col min="13319" max="13319" width="17.85546875" customWidth="1"/>
    <col min="13320" max="13320" width="18" customWidth="1"/>
    <col min="13321" max="13321" width="15" customWidth="1"/>
    <col min="13322" max="13322" width="23" customWidth="1"/>
    <col min="13323" max="13323" width="24.7109375" customWidth="1"/>
    <col min="13324" max="13324" width="19.140625" customWidth="1"/>
    <col min="13325" max="13325" width="25.85546875" customWidth="1"/>
    <col min="13326" max="13326" width="22" customWidth="1"/>
    <col min="13569" max="13569" width="11.42578125" customWidth="1"/>
    <col min="13570" max="13570" width="31.7109375" customWidth="1"/>
    <col min="13571" max="13571" width="46.28515625" customWidth="1"/>
    <col min="13572" max="13572" width="18.42578125" customWidth="1"/>
    <col min="13573" max="13573" width="22.5703125" customWidth="1"/>
    <col min="13575" max="13575" width="17.85546875" customWidth="1"/>
    <col min="13576" max="13576" width="18" customWidth="1"/>
    <col min="13577" max="13577" width="15" customWidth="1"/>
    <col min="13578" max="13578" width="23" customWidth="1"/>
    <col min="13579" max="13579" width="24.7109375" customWidth="1"/>
    <col min="13580" max="13580" width="19.140625" customWidth="1"/>
    <col min="13581" max="13581" width="25.85546875" customWidth="1"/>
    <col min="13582" max="13582" width="22" customWidth="1"/>
    <col min="13825" max="13825" width="11.42578125" customWidth="1"/>
    <col min="13826" max="13826" width="31.7109375" customWidth="1"/>
    <col min="13827" max="13827" width="46.28515625" customWidth="1"/>
    <col min="13828" max="13828" width="18.42578125" customWidth="1"/>
    <col min="13829" max="13829" width="22.5703125" customWidth="1"/>
    <col min="13831" max="13831" width="17.85546875" customWidth="1"/>
    <col min="13832" max="13832" width="18" customWidth="1"/>
    <col min="13833" max="13833" width="15" customWidth="1"/>
    <col min="13834" max="13834" width="23" customWidth="1"/>
    <col min="13835" max="13835" width="24.7109375" customWidth="1"/>
    <col min="13836" max="13836" width="19.140625" customWidth="1"/>
    <col min="13837" max="13837" width="25.85546875" customWidth="1"/>
    <col min="13838" max="13838" width="22" customWidth="1"/>
    <col min="14081" max="14081" width="11.42578125" customWidth="1"/>
    <col min="14082" max="14082" width="31.7109375" customWidth="1"/>
    <col min="14083" max="14083" width="46.28515625" customWidth="1"/>
    <col min="14084" max="14084" width="18.42578125" customWidth="1"/>
    <col min="14085" max="14085" width="22.5703125" customWidth="1"/>
    <col min="14087" max="14087" width="17.85546875" customWidth="1"/>
    <col min="14088" max="14088" width="18" customWidth="1"/>
    <col min="14089" max="14089" width="15" customWidth="1"/>
    <col min="14090" max="14090" width="23" customWidth="1"/>
    <col min="14091" max="14091" width="24.7109375" customWidth="1"/>
    <col min="14092" max="14092" width="19.140625" customWidth="1"/>
    <col min="14093" max="14093" width="25.85546875" customWidth="1"/>
    <col min="14094" max="14094" width="22" customWidth="1"/>
    <col min="14337" max="14337" width="11.42578125" customWidth="1"/>
    <col min="14338" max="14338" width="31.7109375" customWidth="1"/>
    <col min="14339" max="14339" width="46.28515625" customWidth="1"/>
    <col min="14340" max="14340" width="18.42578125" customWidth="1"/>
    <col min="14341" max="14341" width="22.5703125" customWidth="1"/>
    <col min="14343" max="14343" width="17.85546875" customWidth="1"/>
    <col min="14344" max="14344" width="18" customWidth="1"/>
    <col min="14345" max="14345" width="15" customWidth="1"/>
    <col min="14346" max="14346" width="23" customWidth="1"/>
    <col min="14347" max="14347" width="24.7109375" customWidth="1"/>
    <col min="14348" max="14348" width="19.140625" customWidth="1"/>
    <col min="14349" max="14349" width="25.85546875" customWidth="1"/>
    <col min="14350" max="14350" width="22" customWidth="1"/>
    <col min="14593" max="14593" width="11.42578125" customWidth="1"/>
    <col min="14594" max="14594" width="31.7109375" customWidth="1"/>
    <col min="14595" max="14595" width="46.28515625" customWidth="1"/>
    <col min="14596" max="14596" width="18.42578125" customWidth="1"/>
    <col min="14597" max="14597" width="22.5703125" customWidth="1"/>
    <col min="14599" max="14599" width="17.85546875" customWidth="1"/>
    <col min="14600" max="14600" width="18" customWidth="1"/>
    <col min="14601" max="14601" width="15" customWidth="1"/>
    <col min="14602" max="14602" width="23" customWidth="1"/>
    <col min="14603" max="14603" width="24.7109375" customWidth="1"/>
    <col min="14604" max="14604" width="19.140625" customWidth="1"/>
    <col min="14605" max="14605" width="25.85546875" customWidth="1"/>
    <col min="14606" max="14606" width="22" customWidth="1"/>
    <col min="14849" max="14849" width="11.42578125" customWidth="1"/>
    <col min="14850" max="14850" width="31.7109375" customWidth="1"/>
    <col min="14851" max="14851" width="46.28515625" customWidth="1"/>
    <col min="14852" max="14852" width="18.42578125" customWidth="1"/>
    <col min="14853" max="14853" width="22.5703125" customWidth="1"/>
    <col min="14855" max="14855" width="17.85546875" customWidth="1"/>
    <col min="14856" max="14856" width="18" customWidth="1"/>
    <col min="14857" max="14857" width="15" customWidth="1"/>
    <col min="14858" max="14858" width="23" customWidth="1"/>
    <col min="14859" max="14859" width="24.7109375" customWidth="1"/>
    <col min="14860" max="14860" width="19.140625" customWidth="1"/>
    <col min="14861" max="14861" width="25.85546875" customWidth="1"/>
    <col min="14862" max="14862" width="22" customWidth="1"/>
    <col min="15105" max="15105" width="11.42578125" customWidth="1"/>
    <col min="15106" max="15106" width="31.7109375" customWidth="1"/>
    <col min="15107" max="15107" width="46.28515625" customWidth="1"/>
    <col min="15108" max="15108" width="18.42578125" customWidth="1"/>
    <col min="15109" max="15109" width="22.5703125" customWidth="1"/>
    <col min="15111" max="15111" width="17.85546875" customWidth="1"/>
    <col min="15112" max="15112" width="18" customWidth="1"/>
    <col min="15113" max="15113" width="15" customWidth="1"/>
    <col min="15114" max="15114" width="23" customWidth="1"/>
    <col min="15115" max="15115" width="24.7109375" customWidth="1"/>
    <col min="15116" max="15116" width="19.140625" customWidth="1"/>
    <col min="15117" max="15117" width="25.85546875" customWidth="1"/>
    <col min="15118" max="15118" width="22" customWidth="1"/>
    <col min="15361" max="15361" width="11.42578125" customWidth="1"/>
    <col min="15362" max="15362" width="31.7109375" customWidth="1"/>
    <col min="15363" max="15363" width="46.28515625" customWidth="1"/>
    <col min="15364" max="15364" width="18.42578125" customWidth="1"/>
    <col min="15365" max="15365" width="22.5703125" customWidth="1"/>
    <col min="15367" max="15367" width="17.85546875" customWidth="1"/>
    <col min="15368" max="15368" width="18" customWidth="1"/>
    <col min="15369" max="15369" width="15" customWidth="1"/>
    <col min="15370" max="15370" width="23" customWidth="1"/>
    <col min="15371" max="15371" width="24.7109375" customWidth="1"/>
    <col min="15372" max="15372" width="19.140625" customWidth="1"/>
    <col min="15373" max="15373" width="25.85546875" customWidth="1"/>
    <col min="15374" max="15374" width="22" customWidth="1"/>
    <col min="15617" max="15617" width="11.42578125" customWidth="1"/>
    <col min="15618" max="15618" width="31.7109375" customWidth="1"/>
    <col min="15619" max="15619" width="46.28515625" customWidth="1"/>
    <col min="15620" max="15620" width="18.42578125" customWidth="1"/>
    <col min="15621" max="15621" width="22.5703125" customWidth="1"/>
    <col min="15623" max="15623" width="17.85546875" customWidth="1"/>
    <col min="15624" max="15624" width="18" customWidth="1"/>
    <col min="15625" max="15625" width="15" customWidth="1"/>
    <col min="15626" max="15626" width="23" customWidth="1"/>
    <col min="15627" max="15627" width="24.7109375" customWidth="1"/>
    <col min="15628" max="15628" width="19.140625" customWidth="1"/>
    <col min="15629" max="15629" width="25.85546875" customWidth="1"/>
    <col min="15630" max="15630" width="22" customWidth="1"/>
    <col min="15873" max="15873" width="11.42578125" customWidth="1"/>
    <col min="15874" max="15874" width="31.7109375" customWidth="1"/>
    <col min="15875" max="15875" width="46.28515625" customWidth="1"/>
    <col min="15876" max="15876" width="18.42578125" customWidth="1"/>
    <col min="15877" max="15877" width="22.5703125" customWidth="1"/>
    <col min="15879" max="15879" width="17.85546875" customWidth="1"/>
    <col min="15880" max="15880" width="18" customWidth="1"/>
    <col min="15881" max="15881" width="15" customWidth="1"/>
    <col min="15882" max="15882" width="23" customWidth="1"/>
    <col min="15883" max="15883" width="24.7109375" customWidth="1"/>
    <col min="15884" max="15884" width="19.140625" customWidth="1"/>
    <col min="15885" max="15885" width="25.85546875" customWidth="1"/>
    <col min="15886" max="15886" width="22" customWidth="1"/>
    <col min="16129" max="16129" width="11.42578125" customWidth="1"/>
    <col min="16130" max="16130" width="31.7109375" customWidth="1"/>
    <col min="16131" max="16131" width="46.28515625" customWidth="1"/>
    <col min="16132" max="16132" width="18.42578125" customWidth="1"/>
    <col min="16133" max="16133" width="22.5703125" customWidth="1"/>
    <col min="16135" max="16135" width="17.85546875" customWidth="1"/>
    <col min="16136" max="16136" width="18" customWidth="1"/>
    <col min="16137" max="16137" width="15" customWidth="1"/>
    <col min="16138" max="16138" width="23" customWidth="1"/>
    <col min="16139" max="16139" width="24.7109375" customWidth="1"/>
    <col min="16140" max="16140" width="19.140625" customWidth="1"/>
    <col min="16141" max="16141" width="25.85546875" customWidth="1"/>
    <col min="16142" max="16142" width="22" customWidth="1"/>
  </cols>
  <sheetData>
    <row r="1" spans="1:41" ht="61.5" customHeight="1"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41" ht="38.25" customHeight="1">
      <c r="B2" s="93" t="s">
        <v>25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12.75" customHeight="1">
      <c r="B3" s="24"/>
      <c r="C3" s="25"/>
      <c r="D3" s="26"/>
      <c r="E3" s="27"/>
      <c r="F3" s="26"/>
      <c r="G3" s="24"/>
      <c r="H3" s="24"/>
      <c r="I3" s="24"/>
      <c r="J3" s="24"/>
      <c r="K3" s="26"/>
      <c r="L3" s="24"/>
      <c r="M3" s="28"/>
      <c r="N3" s="2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ht="84.75" thickBot="1">
      <c r="A4" s="95"/>
      <c r="B4" s="29" t="s">
        <v>0</v>
      </c>
      <c r="C4" s="29" t="s">
        <v>1</v>
      </c>
      <c r="D4" s="29" t="s">
        <v>2</v>
      </c>
      <c r="E4" s="30" t="s">
        <v>3</v>
      </c>
      <c r="F4" s="30" t="s">
        <v>26</v>
      </c>
      <c r="G4" s="31" t="s">
        <v>4</v>
      </c>
      <c r="H4" s="29" t="s">
        <v>16</v>
      </c>
      <c r="I4" s="29" t="s">
        <v>5</v>
      </c>
      <c r="J4" s="29" t="s">
        <v>17</v>
      </c>
      <c r="K4" s="29" t="s">
        <v>6</v>
      </c>
      <c r="L4" s="29" t="s">
        <v>7</v>
      </c>
      <c r="M4" s="32" t="s">
        <v>8</v>
      </c>
      <c r="N4" s="33" t="s">
        <v>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" customFormat="1" ht="131.25" customHeight="1" thickTop="1" thickBot="1">
      <c r="A5" s="95"/>
      <c r="B5" s="34" t="s">
        <v>18</v>
      </c>
      <c r="C5" s="34" t="s">
        <v>27</v>
      </c>
      <c r="D5" s="35" t="s">
        <v>28</v>
      </c>
      <c r="E5" s="36">
        <v>1500000</v>
      </c>
      <c r="F5" s="35" t="s">
        <v>29</v>
      </c>
      <c r="G5" s="35" t="s">
        <v>30</v>
      </c>
      <c r="H5" s="35">
        <v>2026</v>
      </c>
      <c r="I5" s="35" t="s">
        <v>10</v>
      </c>
      <c r="J5" s="35" t="s">
        <v>31</v>
      </c>
      <c r="K5" s="35" t="s">
        <v>31</v>
      </c>
      <c r="L5" s="35" t="s">
        <v>12</v>
      </c>
      <c r="M5" s="35" t="s">
        <v>32</v>
      </c>
      <c r="N5" s="37"/>
      <c r="O5" s="38"/>
      <c r="P5" s="38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  <row r="6" spans="1:41" s="2" customFormat="1" ht="173.25" customHeight="1" thickTop="1" thickBot="1">
      <c r="A6" s="95"/>
      <c r="B6" s="34" t="s">
        <v>18</v>
      </c>
      <c r="C6" s="8" t="s">
        <v>33</v>
      </c>
      <c r="D6" s="35" t="s">
        <v>28</v>
      </c>
      <c r="E6" s="36">
        <v>600000</v>
      </c>
      <c r="F6" s="35" t="s">
        <v>29</v>
      </c>
      <c r="G6" s="35" t="s">
        <v>30</v>
      </c>
      <c r="H6" s="35">
        <v>2026</v>
      </c>
      <c r="I6" s="35" t="s">
        <v>10</v>
      </c>
      <c r="J6" s="35" t="s">
        <v>31</v>
      </c>
      <c r="K6" s="35" t="s">
        <v>31</v>
      </c>
      <c r="L6" s="35" t="s">
        <v>12</v>
      </c>
      <c r="M6" s="35" t="s">
        <v>32</v>
      </c>
      <c r="N6" s="40"/>
      <c r="O6" s="38"/>
      <c r="P6" s="38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</row>
    <row r="7" spans="1:41" ht="138.75" customHeight="1" thickTop="1" thickBot="1">
      <c r="B7" s="34" t="s">
        <v>18</v>
      </c>
      <c r="C7" s="34" t="s">
        <v>34</v>
      </c>
      <c r="D7" s="35" t="s">
        <v>28</v>
      </c>
      <c r="E7" s="36">
        <v>500000</v>
      </c>
      <c r="F7" s="35" t="s">
        <v>29</v>
      </c>
      <c r="G7" s="35" t="s">
        <v>30</v>
      </c>
      <c r="H7" s="35">
        <v>2026</v>
      </c>
      <c r="I7" s="35" t="s">
        <v>10</v>
      </c>
      <c r="J7" s="35" t="s">
        <v>31</v>
      </c>
      <c r="K7" s="35" t="s">
        <v>31</v>
      </c>
      <c r="L7" s="35" t="s">
        <v>12</v>
      </c>
      <c r="M7" s="35" t="s">
        <v>32</v>
      </c>
      <c r="N7" s="34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</row>
    <row r="8" spans="1:41" ht="15.75" thickTop="1">
      <c r="E8" s="70"/>
    </row>
  </sheetData>
  <mergeCells count="3">
    <mergeCell ref="A1:A1048576"/>
    <mergeCell ref="B1:N1"/>
    <mergeCell ref="B2:N2"/>
  </mergeCells>
  <pageMargins left="0.7" right="0.7" top="0.75" bottom="0.75" header="0.3" footer="0.3"/>
  <pageSetup paperSize="9" scale="40" orientation="landscape" r:id="rId1"/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G62"/>
  <sheetViews>
    <sheetView view="pageBreakPreview" zoomScale="60" workbookViewId="0">
      <selection activeCell="J54" sqref="J54"/>
    </sheetView>
  </sheetViews>
  <sheetFormatPr baseColWidth="10" defaultColWidth="10.7109375" defaultRowHeight="15"/>
  <cols>
    <col min="1" max="1" width="10.85546875" style="2" bestFit="1" customWidth="1"/>
    <col min="2" max="2" width="29.42578125" style="3" customWidth="1"/>
    <col min="3" max="3" width="40.28515625" style="3" customWidth="1"/>
    <col min="4" max="4" width="10.85546875" style="5" bestFit="1" customWidth="1"/>
    <col min="5" max="5" width="17.28515625" style="55" customWidth="1"/>
    <col min="6" max="6" width="20.42578125" style="58" customWidth="1"/>
    <col min="7" max="7" width="12.140625" style="5" customWidth="1"/>
    <col min="256" max="256" width="10.85546875" bestFit="1" customWidth="1"/>
    <col min="257" max="257" width="14.7109375" bestFit="1" customWidth="1"/>
    <col min="258" max="258" width="25.42578125" customWidth="1"/>
    <col min="259" max="259" width="40.28515625" customWidth="1"/>
    <col min="260" max="260" width="10.85546875" bestFit="1" customWidth="1"/>
    <col min="261" max="261" width="17.28515625" customWidth="1"/>
    <col min="262" max="262" width="20.42578125" customWidth="1"/>
    <col min="263" max="263" width="12.140625" customWidth="1"/>
    <col min="512" max="512" width="10.85546875" bestFit="1" customWidth="1"/>
    <col min="513" max="513" width="14.7109375" bestFit="1" customWidth="1"/>
    <col min="514" max="514" width="25.42578125" customWidth="1"/>
    <col min="515" max="515" width="40.28515625" customWidth="1"/>
    <col min="516" max="516" width="10.85546875" bestFit="1" customWidth="1"/>
    <col min="517" max="517" width="17.28515625" customWidth="1"/>
    <col min="518" max="518" width="20.42578125" customWidth="1"/>
    <col min="519" max="519" width="12.140625" customWidth="1"/>
    <col min="768" max="768" width="10.85546875" bestFit="1" customWidth="1"/>
    <col min="769" max="769" width="14.7109375" bestFit="1" customWidth="1"/>
    <col min="770" max="770" width="25.42578125" customWidth="1"/>
    <col min="771" max="771" width="40.28515625" customWidth="1"/>
    <col min="772" max="772" width="10.85546875" bestFit="1" customWidth="1"/>
    <col min="773" max="773" width="17.28515625" customWidth="1"/>
    <col min="774" max="774" width="20.42578125" customWidth="1"/>
    <col min="775" max="775" width="12.140625" customWidth="1"/>
    <col min="1024" max="1024" width="10.85546875" bestFit="1" customWidth="1"/>
    <col min="1025" max="1025" width="14.7109375" bestFit="1" customWidth="1"/>
    <col min="1026" max="1026" width="25.42578125" customWidth="1"/>
    <col min="1027" max="1027" width="40.28515625" customWidth="1"/>
    <col min="1028" max="1028" width="10.85546875" bestFit="1" customWidth="1"/>
    <col min="1029" max="1029" width="17.28515625" customWidth="1"/>
    <col min="1030" max="1030" width="20.42578125" customWidth="1"/>
    <col min="1031" max="1031" width="12.140625" customWidth="1"/>
    <col min="1280" max="1280" width="10.85546875" bestFit="1" customWidth="1"/>
    <col min="1281" max="1281" width="14.7109375" bestFit="1" customWidth="1"/>
    <col min="1282" max="1282" width="25.42578125" customWidth="1"/>
    <col min="1283" max="1283" width="40.28515625" customWidth="1"/>
    <col min="1284" max="1284" width="10.85546875" bestFit="1" customWidth="1"/>
    <col min="1285" max="1285" width="17.28515625" customWidth="1"/>
    <col min="1286" max="1286" width="20.42578125" customWidth="1"/>
    <col min="1287" max="1287" width="12.140625" customWidth="1"/>
    <col min="1536" max="1536" width="10.85546875" bestFit="1" customWidth="1"/>
    <col min="1537" max="1537" width="14.7109375" bestFit="1" customWidth="1"/>
    <col min="1538" max="1538" width="25.42578125" customWidth="1"/>
    <col min="1539" max="1539" width="40.28515625" customWidth="1"/>
    <col min="1540" max="1540" width="10.85546875" bestFit="1" customWidth="1"/>
    <col min="1541" max="1541" width="17.28515625" customWidth="1"/>
    <col min="1542" max="1542" width="20.42578125" customWidth="1"/>
    <col min="1543" max="1543" width="12.140625" customWidth="1"/>
    <col min="1792" max="1792" width="10.85546875" bestFit="1" customWidth="1"/>
    <col min="1793" max="1793" width="14.7109375" bestFit="1" customWidth="1"/>
    <col min="1794" max="1794" width="25.42578125" customWidth="1"/>
    <col min="1795" max="1795" width="40.28515625" customWidth="1"/>
    <col min="1796" max="1796" width="10.85546875" bestFit="1" customWidth="1"/>
    <col min="1797" max="1797" width="17.28515625" customWidth="1"/>
    <col min="1798" max="1798" width="20.42578125" customWidth="1"/>
    <col min="1799" max="1799" width="12.140625" customWidth="1"/>
    <col min="2048" max="2048" width="10.85546875" bestFit="1" customWidth="1"/>
    <col min="2049" max="2049" width="14.7109375" bestFit="1" customWidth="1"/>
    <col min="2050" max="2050" width="25.42578125" customWidth="1"/>
    <col min="2051" max="2051" width="40.28515625" customWidth="1"/>
    <col min="2052" max="2052" width="10.85546875" bestFit="1" customWidth="1"/>
    <col min="2053" max="2053" width="17.28515625" customWidth="1"/>
    <col min="2054" max="2054" width="20.42578125" customWidth="1"/>
    <col min="2055" max="2055" width="12.140625" customWidth="1"/>
    <col min="2304" max="2304" width="10.85546875" bestFit="1" customWidth="1"/>
    <col min="2305" max="2305" width="14.7109375" bestFit="1" customWidth="1"/>
    <col min="2306" max="2306" width="25.42578125" customWidth="1"/>
    <col min="2307" max="2307" width="40.28515625" customWidth="1"/>
    <col min="2308" max="2308" width="10.85546875" bestFit="1" customWidth="1"/>
    <col min="2309" max="2309" width="17.28515625" customWidth="1"/>
    <col min="2310" max="2310" width="20.42578125" customWidth="1"/>
    <col min="2311" max="2311" width="12.140625" customWidth="1"/>
    <col min="2560" max="2560" width="10.85546875" bestFit="1" customWidth="1"/>
    <col min="2561" max="2561" width="14.7109375" bestFit="1" customWidth="1"/>
    <col min="2562" max="2562" width="25.42578125" customWidth="1"/>
    <col min="2563" max="2563" width="40.28515625" customWidth="1"/>
    <col min="2564" max="2564" width="10.85546875" bestFit="1" customWidth="1"/>
    <col min="2565" max="2565" width="17.28515625" customWidth="1"/>
    <col min="2566" max="2566" width="20.42578125" customWidth="1"/>
    <col min="2567" max="2567" width="12.140625" customWidth="1"/>
    <col min="2816" max="2816" width="10.85546875" bestFit="1" customWidth="1"/>
    <col min="2817" max="2817" width="14.7109375" bestFit="1" customWidth="1"/>
    <col min="2818" max="2818" width="25.42578125" customWidth="1"/>
    <col min="2819" max="2819" width="40.28515625" customWidth="1"/>
    <col min="2820" max="2820" width="10.85546875" bestFit="1" customWidth="1"/>
    <col min="2821" max="2821" width="17.28515625" customWidth="1"/>
    <col min="2822" max="2822" width="20.42578125" customWidth="1"/>
    <col min="2823" max="2823" width="12.140625" customWidth="1"/>
    <col min="3072" max="3072" width="10.85546875" bestFit="1" customWidth="1"/>
    <col min="3073" max="3073" width="14.7109375" bestFit="1" customWidth="1"/>
    <col min="3074" max="3074" width="25.42578125" customWidth="1"/>
    <col min="3075" max="3075" width="40.28515625" customWidth="1"/>
    <col min="3076" max="3076" width="10.85546875" bestFit="1" customWidth="1"/>
    <col min="3077" max="3077" width="17.28515625" customWidth="1"/>
    <col min="3078" max="3078" width="20.42578125" customWidth="1"/>
    <col min="3079" max="3079" width="12.140625" customWidth="1"/>
    <col min="3328" max="3328" width="10.85546875" bestFit="1" customWidth="1"/>
    <col min="3329" max="3329" width="14.7109375" bestFit="1" customWidth="1"/>
    <col min="3330" max="3330" width="25.42578125" customWidth="1"/>
    <col min="3331" max="3331" width="40.28515625" customWidth="1"/>
    <col min="3332" max="3332" width="10.85546875" bestFit="1" customWidth="1"/>
    <col min="3333" max="3333" width="17.28515625" customWidth="1"/>
    <col min="3334" max="3334" width="20.42578125" customWidth="1"/>
    <col min="3335" max="3335" width="12.140625" customWidth="1"/>
    <col min="3584" max="3584" width="10.85546875" bestFit="1" customWidth="1"/>
    <col min="3585" max="3585" width="14.7109375" bestFit="1" customWidth="1"/>
    <col min="3586" max="3586" width="25.42578125" customWidth="1"/>
    <col min="3587" max="3587" width="40.28515625" customWidth="1"/>
    <col min="3588" max="3588" width="10.85546875" bestFit="1" customWidth="1"/>
    <col min="3589" max="3589" width="17.28515625" customWidth="1"/>
    <col min="3590" max="3590" width="20.42578125" customWidth="1"/>
    <col min="3591" max="3591" width="12.140625" customWidth="1"/>
    <col min="3840" max="3840" width="10.85546875" bestFit="1" customWidth="1"/>
    <col min="3841" max="3841" width="14.7109375" bestFit="1" customWidth="1"/>
    <col min="3842" max="3842" width="25.42578125" customWidth="1"/>
    <col min="3843" max="3843" width="40.28515625" customWidth="1"/>
    <col min="3844" max="3844" width="10.85546875" bestFit="1" customWidth="1"/>
    <col min="3845" max="3845" width="17.28515625" customWidth="1"/>
    <col min="3846" max="3846" width="20.42578125" customWidth="1"/>
    <col min="3847" max="3847" width="12.140625" customWidth="1"/>
    <col min="4096" max="4096" width="10.85546875" bestFit="1" customWidth="1"/>
    <col min="4097" max="4097" width="14.7109375" bestFit="1" customWidth="1"/>
    <col min="4098" max="4098" width="25.42578125" customWidth="1"/>
    <col min="4099" max="4099" width="40.28515625" customWidth="1"/>
    <col min="4100" max="4100" width="10.85546875" bestFit="1" customWidth="1"/>
    <col min="4101" max="4101" width="17.28515625" customWidth="1"/>
    <col min="4102" max="4102" width="20.42578125" customWidth="1"/>
    <col min="4103" max="4103" width="12.140625" customWidth="1"/>
    <col min="4352" max="4352" width="10.85546875" bestFit="1" customWidth="1"/>
    <col min="4353" max="4353" width="14.7109375" bestFit="1" customWidth="1"/>
    <col min="4354" max="4354" width="25.42578125" customWidth="1"/>
    <col min="4355" max="4355" width="40.28515625" customWidth="1"/>
    <col min="4356" max="4356" width="10.85546875" bestFit="1" customWidth="1"/>
    <col min="4357" max="4357" width="17.28515625" customWidth="1"/>
    <col min="4358" max="4358" width="20.42578125" customWidth="1"/>
    <col min="4359" max="4359" width="12.140625" customWidth="1"/>
    <col min="4608" max="4608" width="10.85546875" bestFit="1" customWidth="1"/>
    <col min="4609" max="4609" width="14.7109375" bestFit="1" customWidth="1"/>
    <col min="4610" max="4610" width="25.42578125" customWidth="1"/>
    <col min="4611" max="4611" width="40.28515625" customWidth="1"/>
    <col min="4612" max="4612" width="10.85546875" bestFit="1" customWidth="1"/>
    <col min="4613" max="4613" width="17.28515625" customWidth="1"/>
    <col min="4614" max="4614" width="20.42578125" customWidth="1"/>
    <col min="4615" max="4615" width="12.140625" customWidth="1"/>
    <col min="4864" max="4864" width="10.85546875" bestFit="1" customWidth="1"/>
    <col min="4865" max="4865" width="14.7109375" bestFit="1" customWidth="1"/>
    <col min="4866" max="4866" width="25.42578125" customWidth="1"/>
    <col min="4867" max="4867" width="40.28515625" customWidth="1"/>
    <col min="4868" max="4868" width="10.85546875" bestFit="1" customWidth="1"/>
    <col min="4869" max="4869" width="17.28515625" customWidth="1"/>
    <col min="4870" max="4870" width="20.42578125" customWidth="1"/>
    <col min="4871" max="4871" width="12.140625" customWidth="1"/>
    <col min="5120" max="5120" width="10.85546875" bestFit="1" customWidth="1"/>
    <col min="5121" max="5121" width="14.7109375" bestFit="1" customWidth="1"/>
    <col min="5122" max="5122" width="25.42578125" customWidth="1"/>
    <col min="5123" max="5123" width="40.28515625" customWidth="1"/>
    <col min="5124" max="5124" width="10.85546875" bestFit="1" customWidth="1"/>
    <col min="5125" max="5125" width="17.28515625" customWidth="1"/>
    <col min="5126" max="5126" width="20.42578125" customWidth="1"/>
    <col min="5127" max="5127" width="12.140625" customWidth="1"/>
    <col min="5376" max="5376" width="10.85546875" bestFit="1" customWidth="1"/>
    <col min="5377" max="5377" width="14.7109375" bestFit="1" customWidth="1"/>
    <col min="5378" max="5378" width="25.42578125" customWidth="1"/>
    <col min="5379" max="5379" width="40.28515625" customWidth="1"/>
    <col min="5380" max="5380" width="10.85546875" bestFit="1" customWidth="1"/>
    <col min="5381" max="5381" width="17.28515625" customWidth="1"/>
    <col min="5382" max="5382" width="20.42578125" customWidth="1"/>
    <col min="5383" max="5383" width="12.140625" customWidth="1"/>
    <col min="5632" max="5632" width="10.85546875" bestFit="1" customWidth="1"/>
    <col min="5633" max="5633" width="14.7109375" bestFit="1" customWidth="1"/>
    <col min="5634" max="5634" width="25.42578125" customWidth="1"/>
    <col min="5635" max="5635" width="40.28515625" customWidth="1"/>
    <col min="5636" max="5636" width="10.85546875" bestFit="1" customWidth="1"/>
    <col min="5637" max="5637" width="17.28515625" customWidth="1"/>
    <col min="5638" max="5638" width="20.42578125" customWidth="1"/>
    <col min="5639" max="5639" width="12.140625" customWidth="1"/>
    <col min="5888" max="5888" width="10.85546875" bestFit="1" customWidth="1"/>
    <col min="5889" max="5889" width="14.7109375" bestFit="1" customWidth="1"/>
    <col min="5890" max="5890" width="25.42578125" customWidth="1"/>
    <col min="5891" max="5891" width="40.28515625" customWidth="1"/>
    <col min="5892" max="5892" width="10.85546875" bestFit="1" customWidth="1"/>
    <col min="5893" max="5893" width="17.28515625" customWidth="1"/>
    <col min="5894" max="5894" width="20.42578125" customWidth="1"/>
    <col min="5895" max="5895" width="12.140625" customWidth="1"/>
    <col min="6144" max="6144" width="10.85546875" bestFit="1" customWidth="1"/>
    <col min="6145" max="6145" width="14.7109375" bestFit="1" customWidth="1"/>
    <col min="6146" max="6146" width="25.42578125" customWidth="1"/>
    <col min="6147" max="6147" width="40.28515625" customWidth="1"/>
    <col min="6148" max="6148" width="10.85546875" bestFit="1" customWidth="1"/>
    <col min="6149" max="6149" width="17.28515625" customWidth="1"/>
    <col min="6150" max="6150" width="20.42578125" customWidth="1"/>
    <col min="6151" max="6151" width="12.140625" customWidth="1"/>
    <col min="6400" max="6400" width="10.85546875" bestFit="1" customWidth="1"/>
    <col min="6401" max="6401" width="14.7109375" bestFit="1" customWidth="1"/>
    <col min="6402" max="6402" width="25.42578125" customWidth="1"/>
    <col min="6403" max="6403" width="40.28515625" customWidth="1"/>
    <col min="6404" max="6404" width="10.85546875" bestFit="1" customWidth="1"/>
    <col min="6405" max="6405" width="17.28515625" customWidth="1"/>
    <col min="6406" max="6406" width="20.42578125" customWidth="1"/>
    <col min="6407" max="6407" width="12.140625" customWidth="1"/>
    <col min="6656" max="6656" width="10.85546875" bestFit="1" customWidth="1"/>
    <col min="6657" max="6657" width="14.7109375" bestFit="1" customWidth="1"/>
    <col min="6658" max="6658" width="25.42578125" customWidth="1"/>
    <col min="6659" max="6659" width="40.28515625" customWidth="1"/>
    <col min="6660" max="6660" width="10.85546875" bestFit="1" customWidth="1"/>
    <col min="6661" max="6661" width="17.28515625" customWidth="1"/>
    <col min="6662" max="6662" width="20.42578125" customWidth="1"/>
    <col min="6663" max="6663" width="12.140625" customWidth="1"/>
    <col min="6912" max="6912" width="10.85546875" bestFit="1" customWidth="1"/>
    <col min="6913" max="6913" width="14.7109375" bestFit="1" customWidth="1"/>
    <col min="6914" max="6914" width="25.42578125" customWidth="1"/>
    <col min="6915" max="6915" width="40.28515625" customWidth="1"/>
    <col min="6916" max="6916" width="10.85546875" bestFit="1" customWidth="1"/>
    <col min="6917" max="6917" width="17.28515625" customWidth="1"/>
    <col min="6918" max="6918" width="20.42578125" customWidth="1"/>
    <col min="6919" max="6919" width="12.140625" customWidth="1"/>
    <col min="7168" max="7168" width="10.85546875" bestFit="1" customWidth="1"/>
    <col min="7169" max="7169" width="14.7109375" bestFit="1" customWidth="1"/>
    <col min="7170" max="7170" width="25.42578125" customWidth="1"/>
    <col min="7171" max="7171" width="40.28515625" customWidth="1"/>
    <col min="7172" max="7172" width="10.85546875" bestFit="1" customWidth="1"/>
    <col min="7173" max="7173" width="17.28515625" customWidth="1"/>
    <col min="7174" max="7174" width="20.42578125" customWidth="1"/>
    <col min="7175" max="7175" width="12.140625" customWidth="1"/>
    <col min="7424" max="7424" width="10.85546875" bestFit="1" customWidth="1"/>
    <col min="7425" max="7425" width="14.7109375" bestFit="1" customWidth="1"/>
    <col min="7426" max="7426" width="25.42578125" customWidth="1"/>
    <col min="7427" max="7427" width="40.28515625" customWidth="1"/>
    <col min="7428" max="7428" width="10.85546875" bestFit="1" customWidth="1"/>
    <col min="7429" max="7429" width="17.28515625" customWidth="1"/>
    <col min="7430" max="7430" width="20.42578125" customWidth="1"/>
    <col min="7431" max="7431" width="12.140625" customWidth="1"/>
    <col min="7680" max="7680" width="10.85546875" bestFit="1" customWidth="1"/>
    <col min="7681" max="7681" width="14.7109375" bestFit="1" customWidth="1"/>
    <col min="7682" max="7682" width="25.42578125" customWidth="1"/>
    <col min="7683" max="7683" width="40.28515625" customWidth="1"/>
    <col min="7684" max="7684" width="10.85546875" bestFit="1" customWidth="1"/>
    <col min="7685" max="7685" width="17.28515625" customWidth="1"/>
    <col min="7686" max="7686" width="20.42578125" customWidth="1"/>
    <col min="7687" max="7687" width="12.140625" customWidth="1"/>
    <col min="7936" max="7936" width="10.85546875" bestFit="1" customWidth="1"/>
    <col min="7937" max="7937" width="14.7109375" bestFit="1" customWidth="1"/>
    <col min="7938" max="7938" width="25.42578125" customWidth="1"/>
    <col min="7939" max="7939" width="40.28515625" customWidth="1"/>
    <col min="7940" max="7940" width="10.85546875" bestFit="1" customWidth="1"/>
    <col min="7941" max="7941" width="17.28515625" customWidth="1"/>
    <col min="7942" max="7942" width="20.42578125" customWidth="1"/>
    <col min="7943" max="7943" width="12.140625" customWidth="1"/>
    <col min="8192" max="8192" width="10.85546875" bestFit="1" customWidth="1"/>
    <col min="8193" max="8193" width="14.7109375" bestFit="1" customWidth="1"/>
    <col min="8194" max="8194" width="25.42578125" customWidth="1"/>
    <col min="8195" max="8195" width="40.28515625" customWidth="1"/>
    <col min="8196" max="8196" width="10.85546875" bestFit="1" customWidth="1"/>
    <col min="8197" max="8197" width="17.28515625" customWidth="1"/>
    <col min="8198" max="8198" width="20.42578125" customWidth="1"/>
    <col min="8199" max="8199" width="12.140625" customWidth="1"/>
    <col min="8448" max="8448" width="10.85546875" bestFit="1" customWidth="1"/>
    <col min="8449" max="8449" width="14.7109375" bestFit="1" customWidth="1"/>
    <col min="8450" max="8450" width="25.42578125" customWidth="1"/>
    <col min="8451" max="8451" width="40.28515625" customWidth="1"/>
    <col min="8452" max="8452" width="10.85546875" bestFit="1" customWidth="1"/>
    <col min="8453" max="8453" width="17.28515625" customWidth="1"/>
    <col min="8454" max="8454" width="20.42578125" customWidth="1"/>
    <col min="8455" max="8455" width="12.140625" customWidth="1"/>
    <col min="8704" max="8704" width="10.85546875" bestFit="1" customWidth="1"/>
    <col min="8705" max="8705" width="14.7109375" bestFit="1" customWidth="1"/>
    <col min="8706" max="8706" width="25.42578125" customWidth="1"/>
    <col min="8707" max="8707" width="40.28515625" customWidth="1"/>
    <col min="8708" max="8708" width="10.85546875" bestFit="1" customWidth="1"/>
    <col min="8709" max="8709" width="17.28515625" customWidth="1"/>
    <col min="8710" max="8710" width="20.42578125" customWidth="1"/>
    <col min="8711" max="8711" width="12.140625" customWidth="1"/>
    <col min="8960" max="8960" width="10.85546875" bestFit="1" customWidth="1"/>
    <col min="8961" max="8961" width="14.7109375" bestFit="1" customWidth="1"/>
    <col min="8962" max="8962" width="25.42578125" customWidth="1"/>
    <col min="8963" max="8963" width="40.28515625" customWidth="1"/>
    <col min="8964" max="8964" width="10.85546875" bestFit="1" customWidth="1"/>
    <col min="8965" max="8965" width="17.28515625" customWidth="1"/>
    <col min="8966" max="8966" width="20.42578125" customWidth="1"/>
    <col min="8967" max="8967" width="12.140625" customWidth="1"/>
    <col min="9216" max="9216" width="10.85546875" bestFit="1" customWidth="1"/>
    <col min="9217" max="9217" width="14.7109375" bestFit="1" customWidth="1"/>
    <col min="9218" max="9218" width="25.42578125" customWidth="1"/>
    <col min="9219" max="9219" width="40.28515625" customWidth="1"/>
    <col min="9220" max="9220" width="10.85546875" bestFit="1" customWidth="1"/>
    <col min="9221" max="9221" width="17.28515625" customWidth="1"/>
    <col min="9222" max="9222" width="20.42578125" customWidth="1"/>
    <col min="9223" max="9223" width="12.140625" customWidth="1"/>
    <col min="9472" max="9472" width="10.85546875" bestFit="1" customWidth="1"/>
    <col min="9473" max="9473" width="14.7109375" bestFit="1" customWidth="1"/>
    <col min="9474" max="9474" width="25.42578125" customWidth="1"/>
    <col min="9475" max="9475" width="40.28515625" customWidth="1"/>
    <col min="9476" max="9476" width="10.85546875" bestFit="1" customWidth="1"/>
    <col min="9477" max="9477" width="17.28515625" customWidth="1"/>
    <col min="9478" max="9478" width="20.42578125" customWidth="1"/>
    <col min="9479" max="9479" width="12.140625" customWidth="1"/>
    <col min="9728" max="9728" width="10.85546875" bestFit="1" customWidth="1"/>
    <col min="9729" max="9729" width="14.7109375" bestFit="1" customWidth="1"/>
    <col min="9730" max="9730" width="25.42578125" customWidth="1"/>
    <col min="9731" max="9731" width="40.28515625" customWidth="1"/>
    <col min="9732" max="9732" width="10.85546875" bestFit="1" customWidth="1"/>
    <col min="9733" max="9733" width="17.28515625" customWidth="1"/>
    <col min="9734" max="9734" width="20.42578125" customWidth="1"/>
    <col min="9735" max="9735" width="12.140625" customWidth="1"/>
    <col min="9984" max="9984" width="10.85546875" bestFit="1" customWidth="1"/>
    <col min="9985" max="9985" width="14.7109375" bestFit="1" customWidth="1"/>
    <col min="9986" max="9986" width="25.42578125" customWidth="1"/>
    <col min="9987" max="9987" width="40.28515625" customWidth="1"/>
    <col min="9988" max="9988" width="10.85546875" bestFit="1" customWidth="1"/>
    <col min="9989" max="9989" width="17.28515625" customWidth="1"/>
    <col min="9990" max="9990" width="20.42578125" customWidth="1"/>
    <col min="9991" max="9991" width="12.140625" customWidth="1"/>
    <col min="10240" max="10240" width="10.85546875" bestFit="1" customWidth="1"/>
    <col min="10241" max="10241" width="14.7109375" bestFit="1" customWidth="1"/>
    <col min="10242" max="10242" width="25.42578125" customWidth="1"/>
    <col min="10243" max="10243" width="40.28515625" customWidth="1"/>
    <col min="10244" max="10244" width="10.85546875" bestFit="1" customWidth="1"/>
    <col min="10245" max="10245" width="17.28515625" customWidth="1"/>
    <col min="10246" max="10246" width="20.42578125" customWidth="1"/>
    <col min="10247" max="10247" width="12.140625" customWidth="1"/>
    <col min="10496" max="10496" width="10.85546875" bestFit="1" customWidth="1"/>
    <col min="10497" max="10497" width="14.7109375" bestFit="1" customWidth="1"/>
    <col min="10498" max="10498" width="25.42578125" customWidth="1"/>
    <col min="10499" max="10499" width="40.28515625" customWidth="1"/>
    <col min="10500" max="10500" width="10.85546875" bestFit="1" customWidth="1"/>
    <col min="10501" max="10501" width="17.28515625" customWidth="1"/>
    <col min="10502" max="10502" width="20.42578125" customWidth="1"/>
    <col min="10503" max="10503" width="12.140625" customWidth="1"/>
    <col min="10752" max="10752" width="10.85546875" bestFit="1" customWidth="1"/>
    <col min="10753" max="10753" width="14.7109375" bestFit="1" customWidth="1"/>
    <col min="10754" max="10754" width="25.42578125" customWidth="1"/>
    <col min="10755" max="10755" width="40.28515625" customWidth="1"/>
    <col min="10756" max="10756" width="10.85546875" bestFit="1" customWidth="1"/>
    <col min="10757" max="10757" width="17.28515625" customWidth="1"/>
    <col min="10758" max="10758" width="20.42578125" customWidth="1"/>
    <col min="10759" max="10759" width="12.140625" customWidth="1"/>
    <col min="11008" max="11008" width="10.85546875" bestFit="1" customWidth="1"/>
    <col min="11009" max="11009" width="14.7109375" bestFit="1" customWidth="1"/>
    <col min="11010" max="11010" width="25.42578125" customWidth="1"/>
    <col min="11011" max="11011" width="40.28515625" customWidth="1"/>
    <col min="11012" max="11012" width="10.85546875" bestFit="1" customWidth="1"/>
    <col min="11013" max="11013" width="17.28515625" customWidth="1"/>
    <col min="11014" max="11014" width="20.42578125" customWidth="1"/>
    <col min="11015" max="11015" width="12.140625" customWidth="1"/>
    <col min="11264" max="11264" width="10.85546875" bestFit="1" customWidth="1"/>
    <col min="11265" max="11265" width="14.7109375" bestFit="1" customWidth="1"/>
    <col min="11266" max="11266" width="25.42578125" customWidth="1"/>
    <col min="11267" max="11267" width="40.28515625" customWidth="1"/>
    <col min="11268" max="11268" width="10.85546875" bestFit="1" customWidth="1"/>
    <col min="11269" max="11269" width="17.28515625" customWidth="1"/>
    <col min="11270" max="11270" width="20.42578125" customWidth="1"/>
    <col min="11271" max="11271" width="12.140625" customWidth="1"/>
    <col min="11520" max="11520" width="10.85546875" bestFit="1" customWidth="1"/>
    <col min="11521" max="11521" width="14.7109375" bestFit="1" customWidth="1"/>
    <col min="11522" max="11522" width="25.42578125" customWidth="1"/>
    <col min="11523" max="11523" width="40.28515625" customWidth="1"/>
    <col min="11524" max="11524" width="10.85546875" bestFit="1" customWidth="1"/>
    <col min="11525" max="11525" width="17.28515625" customWidth="1"/>
    <col min="11526" max="11526" width="20.42578125" customWidth="1"/>
    <col min="11527" max="11527" width="12.140625" customWidth="1"/>
    <col min="11776" max="11776" width="10.85546875" bestFit="1" customWidth="1"/>
    <col min="11777" max="11777" width="14.7109375" bestFit="1" customWidth="1"/>
    <col min="11778" max="11778" width="25.42578125" customWidth="1"/>
    <col min="11779" max="11779" width="40.28515625" customWidth="1"/>
    <col min="11780" max="11780" width="10.85546875" bestFit="1" customWidth="1"/>
    <col min="11781" max="11781" width="17.28515625" customWidth="1"/>
    <col min="11782" max="11782" width="20.42578125" customWidth="1"/>
    <col min="11783" max="11783" width="12.140625" customWidth="1"/>
    <col min="12032" max="12032" width="10.85546875" bestFit="1" customWidth="1"/>
    <col min="12033" max="12033" width="14.7109375" bestFit="1" customWidth="1"/>
    <col min="12034" max="12034" width="25.42578125" customWidth="1"/>
    <col min="12035" max="12035" width="40.28515625" customWidth="1"/>
    <col min="12036" max="12036" width="10.85546875" bestFit="1" customWidth="1"/>
    <col min="12037" max="12037" width="17.28515625" customWidth="1"/>
    <col min="12038" max="12038" width="20.42578125" customWidth="1"/>
    <col min="12039" max="12039" width="12.140625" customWidth="1"/>
    <col min="12288" max="12288" width="10.85546875" bestFit="1" customWidth="1"/>
    <col min="12289" max="12289" width="14.7109375" bestFit="1" customWidth="1"/>
    <col min="12290" max="12290" width="25.42578125" customWidth="1"/>
    <col min="12291" max="12291" width="40.28515625" customWidth="1"/>
    <col min="12292" max="12292" width="10.85546875" bestFit="1" customWidth="1"/>
    <col min="12293" max="12293" width="17.28515625" customWidth="1"/>
    <col min="12294" max="12294" width="20.42578125" customWidth="1"/>
    <col min="12295" max="12295" width="12.140625" customWidth="1"/>
    <col min="12544" max="12544" width="10.85546875" bestFit="1" customWidth="1"/>
    <col min="12545" max="12545" width="14.7109375" bestFit="1" customWidth="1"/>
    <col min="12546" max="12546" width="25.42578125" customWidth="1"/>
    <col min="12547" max="12547" width="40.28515625" customWidth="1"/>
    <col min="12548" max="12548" width="10.85546875" bestFit="1" customWidth="1"/>
    <col min="12549" max="12549" width="17.28515625" customWidth="1"/>
    <col min="12550" max="12550" width="20.42578125" customWidth="1"/>
    <col min="12551" max="12551" width="12.140625" customWidth="1"/>
    <col min="12800" max="12800" width="10.85546875" bestFit="1" customWidth="1"/>
    <col min="12801" max="12801" width="14.7109375" bestFit="1" customWidth="1"/>
    <col min="12802" max="12802" width="25.42578125" customWidth="1"/>
    <col min="12803" max="12803" width="40.28515625" customWidth="1"/>
    <col min="12804" max="12804" width="10.85546875" bestFit="1" customWidth="1"/>
    <col min="12805" max="12805" width="17.28515625" customWidth="1"/>
    <col min="12806" max="12806" width="20.42578125" customWidth="1"/>
    <col min="12807" max="12807" width="12.140625" customWidth="1"/>
    <col min="13056" max="13056" width="10.85546875" bestFit="1" customWidth="1"/>
    <col min="13057" max="13057" width="14.7109375" bestFit="1" customWidth="1"/>
    <col min="13058" max="13058" width="25.42578125" customWidth="1"/>
    <col min="13059" max="13059" width="40.28515625" customWidth="1"/>
    <col min="13060" max="13060" width="10.85546875" bestFit="1" customWidth="1"/>
    <col min="13061" max="13061" width="17.28515625" customWidth="1"/>
    <col min="13062" max="13062" width="20.42578125" customWidth="1"/>
    <col min="13063" max="13063" width="12.140625" customWidth="1"/>
    <col min="13312" max="13312" width="10.85546875" bestFit="1" customWidth="1"/>
    <col min="13313" max="13313" width="14.7109375" bestFit="1" customWidth="1"/>
    <col min="13314" max="13314" width="25.42578125" customWidth="1"/>
    <col min="13315" max="13315" width="40.28515625" customWidth="1"/>
    <col min="13316" max="13316" width="10.85546875" bestFit="1" customWidth="1"/>
    <col min="13317" max="13317" width="17.28515625" customWidth="1"/>
    <col min="13318" max="13318" width="20.42578125" customWidth="1"/>
    <col min="13319" max="13319" width="12.140625" customWidth="1"/>
    <col min="13568" max="13568" width="10.85546875" bestFit="1" customWidth="1"/>
    <col min="13569" max="13569" width="14.7109375" bestFit="1" customWidth="1"/>
    <col min="13570" max="13570" width="25.42578125" customWidth="1"/>
    <col min="13571" max="13571" width="40.28515625" customWidth="1"/>
    <col min="13572" max="13572" width="10.85546875" bestFit="1" customWidth="1"/>
    <col min="13573" max="13573" width="17.28515625" customWidth="1"/>
    <col min="13574" max="13574" width="20.42578125" customWidth="1"/>
    <col min="13575" max="13575" width="12.140625" customWidth="1"/>
    <col min="13824" max="13824" width="10.85546875" bestFit="1" customWidth="1"/>
    <col min="13825" max="13825" width="14.7109375" bestFit="1" customWidth="1"/>
    <col min="13826" max="13826" width="25.42578125" customWidth="1"/>
    <col min="13827" max="13827" width="40.28515625" customWidth="1"/>
    <col min="13828" max="13828" width="10.85546875" bestFit="1" customWidth="1"/>
    <col min="13829" max="13829" width="17.28515625" customWidth="1"/>
    <col min="13830" max="13830" width="20.42578125" customWidth="1"/>
    <col min="13831" max="13831" width="12.140625" customWidth="1"/>
    <col min="14080" max="14080" width="10.85546875" bestFit="1" customWidth="1"/>
    <col min="14081" max="14081" width="14.7109375" bestFit="1" customWidth="1"/>
    <col min="14082" max="14082" width="25.42578125" customWidth="1"/>
    <col min="14083" max="14083" width="40.28515625" customWidth="1"/>
    <col min="14084" max="14084" width="10.85546875" bestFit="1" customWidth="1"/>
    <col min="14085" max="14085" width="17.28515625" customWidth="1"/>
    <col min="14086" max="14086" width="20.42578125" customWidth="1"/>
    <col min="14087" max="14087" width="12.140625" customWidth="1"/>
    <col min="14336" max="14336" width="10.85546875" bestFit="1" customWidth="1"/>
    <col min="14337" max="14337" width="14.7109375" bestFit="1" customWidth="1"/>
    <col min="14338" max="14338" width="25.42578125" customWidth="1"/>
    <col min="14339" max="14339" width="40.28515625" customWidth="1"/>
    <col min="14340" max="14340" width="10.85546875" bestFit="1" customWidth="1"/>
    <col min="14341" max="14341" width="17.28515625" customWidth="1"/>
    <col min="14342" max="14342" width="20.42578125" customWidth="1"/>
    <col min="14343" max="14343" width="12.140625" customWidth="1"/>
    <col min="14592" max="14592" width="10.85546875" bestFit="1" customWidth="1"/>
    <col min="14593" max="14593" width="14.7109375" bestFit="1" customWidth="1"/>
    <col min="14594" max="14594" width="25.42578125" customWidth="1"/>
    <col min="14595" max="14595" width="40.28515625" customWidth="1"/>
    <col min="14596" max="14596" width="10.85546875" bestFit="1" customWidth="1"/>
    <col min="14597" max="14597" width="17.28515625" customWidth="1"/>
    <col min="14598" max="14598" width="20.42578125" customWidth="1"/>
    <col min="14599" max="14599" width="12.140625" customWidth="1"/>
    <col min="14848" max="14848" width="10.85546875" bestFit="1" customWidth="1"/>
    <col min="14849" max="14849" width="14.7109375" bestFit="1" customWidth="1"/>
    <col min="14850" max="14850" width="25.42578125" customWidth="1"/>
    <col min="14851" max="14851" width="40.28515625" customWidth="1"/>
    <col min="14852" max="14852" width="10.85546875" bestFit="1" customWidth="1"/>
    <col min="14853" max="14853" width="17.28515625" customWidth="1"/>
    <col min="14854" max="14854" width="20.42578125" customWidth="1"/>
    <col min="14855" max="14855" width="12.140625" customWidth="1"/>
    <col min="15104" max="15104" width="10.85546875" bestFit="1" customWidth="1"/>
    <col min="15105" max="15105" width="14.7109375" bestFit="1" customWidth="1"/>
    <col min="15106" max="15106" width="25.42578125" customWidth="1"/>
    <col min="15107" max="15107" width="40.28515625" customWidth="1"/>
    <col min="15108" max="15108" width="10.85546875" bestFit="1" customWidth="1"/>
    <col min="15109" max="15109" width="17.28515625" customWidth="1"/>
    <col min="15110" max="15110" width="20.42578125" customWidth="1"/>
    <col min="15111" max="15111" width="12.140625" customWidth="1"/>
    <col min="15360" max="15360" width="10.85546875" bestFit="1" customWidth="1"/>
    <col min="15361" max="15361" width="14.7109375" bestFit="1" customWidth="1"/>
    <col min="15362" max="15362" width="25.42578125" customWidth="1"/>
    <col min="15363" max="15363" width="40.28515625" customWidth="1"/>
    <col min="15364" max="15364" width="10.85546875" bestFit="1" customWidth="1"/>
    <col min="15365" max="15365" width="17.28515625" customWidth="1"/>
    <col min="15366" max="15366" width="20.42578125" customWidth="1"/>
    <col min="15367" max="15367" width="12.140625" customWidth="1"/>
    <col min="15616" max="15616" width="10.85546875" bestFit="1" customWidth="1"/>
    <col min="15617" max="15617" width="14.7109375" bestFit="1" customWidth="1"/>
    <col min="15618" max="15618" width="25.42578125" customWidth="1"/>
    <col min="15619" max="15619" width="40.28515625" customWidth="1"/>
    <col min="15620" max="15620" width="10.85546875" bestFit="1" customWidth="1"/>
    <col min="15621" max="15621" width="17.28515625" customWidth="1"/>
    <col min="15622" max="15622" width="20.42578125" customWidth="1"/>
    <col min="15623" max="15623" width="12.140625" customWidth="1"/>
    <col min="15872" max="15872" width="10.85546875" bestFit="1" customWidth="1"/>
    <col min="15873" max="15873" width="14.7109375" bestFit="1" customWidth="1"/>
    <col min="15874" max="15874" width="25.42578125" customWidth="1"/>
    <col min="15875" max="15875" width="40.28515625" customWidth="1"/>
    <col min="15876" max="15876" width="10.85546875" bestFit="1" customWidth="1"/>
    <col min="15877" max="15877" width="17.28515625" customWidth="1"/>
    <col min="15878" max="15878" width="20.42578125" customWidth="1"/>
    <col min="15879" max="15879" width="12.140625" customWidth="1"/>
    <col min="16128" max="16128" width="10.85546875" bestFit="1" customWidth="1"/>
    <col min="16129" max="16129" width="14.7109375" bestFit="1" customWidth="1"/>
    <col min="16130" max="16130" width="25.42578125" customWidth="1"/>
    <col min="16131" max="16131" width="40.28515625" customWidth="1"/>
    <col min="16132" max="16132" width="10.85546875" bestFit="1" customWidth="1"/>
    <col min="16133" max="16133" width="17.28515625" customWidth="1"/>
    <col min="16134" max="16134" width="20.42578125" customWidth="1"/>
    <col min="16135" max="16135" width="12.140625" customWidth="1"/>
  </cols>
  <sheetData>
    <row r="1" spans="1:7" ht="60.75" customHeight="1">
      <c r="A1" s="42" t="s">
        <v>35</v>
      </c>
      <c r="B1" s="43" t="s">
        <v>36</v>
      </c>
      <c r="C1" s="43" t="s">
        <v>37</v>
      </c>
      <c r="D1" s="43" t="s">
        <v>38</v>
      </c>
      <c r="E1" s="44" t="s">
        <v>39</v>
      </c>
      <c r="F1" s="44" t="s">
        <v>40</v>
      </c>
      <c r="G1" s="43" t="s">
        <v>41</v>
      </c>
    </row>
    <row r="2" spans="1:7" ht="35.1" customHeight="1">
      <c r="A2" s="45">
        <v>1</v>
      </c>
      <c r="B2" s="46" t="s">
        <v>42</v>
      </c>
      <c r="C2" s="47" t="s">
        <v>43</v>
      </c>
      <c r="D2" s="48">
        <v>4</v>
      </c>
      <c r="E2" s="49">
        <v>21000</v>
      </c>
      <c r="F2" s="49">
        <f>+E2*D2</f>
        <v>84000</v>
      </c>
      <c r="G2" s="1" t="s">
        <v>44</v>
      </c>
    </row>
    <row r="3" spans="1:7" ht="35.1" customHeight="1">
      <c r="A3" s="45">
        <v>2</v>
      </c>
      <c r="B3" s="46" t="s">
        <v>45</v>
      </c>
      <c r="C3" s="47" t="s">
        <v>46</v>
      </c>
      <c r="D3" s="48">
        <v>4</v>
      </c>
      <c r="E3" s="49">
        <v>27300</v>
      </c>
      <c r="F3" s="49">
        <f t="shared" ref="F3:F32" si="0">+E3*D3</f>
        <v>109200</v>
      </c>
      <c r="G3" s="1" t="s">
        <v>44</v>
      </c>
    </row>
    <row r="4" spans="1:7" ht="35.1" customHeight="1">
      <c r="A4" s="45">
        <v>3</v>
      </c>
      <c r="B4" s="46" t="s">
        <v>47</v>
      </c>
      <c r="C4" s="47" t="s">
        <v>48</v>
      </c>
      <c r="D4" s="48">
        <v>4</v>
      </c>
      <c r="E4" s="49">
        <v>31200</v>
      </c>
      <c r="F4" s="49">
        <f t="shared" si="0"/>
        <v>124800</v>
      </c>
      <c r="G4" s="1" t="s">
        <v>44</v>
      </c>
    </row>
    <row r="5" spans="1:7" ht="35.1" customHeight="1">
      <c r="A5" s="45">
        <v>4</v>
      </c>
      <c r="B5" s="46" t="s">
        <v>49</v>
      </c>
      <c r="C5" s="47" t="s">
        <v>50</v>
      </c>
      <c r="D5" s="48">
        <v>4</v>
      </c>
      <c r="E5" s="49">
        <v>21450</v>
      </c>
      <c r="F5" s="49">
        <f t="shared" si="0"/>
        <v>85800</v>
      </c>
      <c r="G5" s="1" t="s">
        <v>44</v>
      </c>
    </row>
    <row r="6" spans="1:7" ht="35.1" customHeight="1">
      <c r="A6" s="45">
        <v>5</v>
      </c>
      <c r="B6" s="46" t="s">
        <v>51</v>
      </c>
      <c r="C6" s="47" t="s">
        <v>52</v>
      </c>
      <c r="D6" s="48">
        <v>4</v>
      </c>
      <c r="E6" s="49">
        <v>21000</v>
      </c>
      <c r="F6" s="49">
        <f t="shared" si="0"/>
        <v>84000</v>
      </c>
      <c r="G6" s="1" t="s">
        <v>44</v>
      </c>
    </row>
    <row r="7" spans="1:7" ht="35.1" customHeight="1">
      <c r="A7" s="45">
        <v>6</v>
      </c>
      <c r="B7" s="46" t="s">
        <v>53</v>
      </c>
      <c r="C7" s="47" t="s">
        <v>54</v>
      </c>
      <c r="D7" s="48">
        <v>4</v>
      </c>
      <c r="E7" s="49">
        <v>27300</v>
      </c>
      <c r="F7" s="49">
        <f t="shared" si="0"/>
        <v>109200</v>
      </c>
      <c r="G7" s="1" t="s">
        <v>44</v>
      </c>
    </row>
    <row r="8" spans="1:7" ht="35.1" customHeight="1">
      <c r="A8" s="45">
        <v>7</v>
      </c>
      <c r="B8" s="46" t="s">
        <v>55</v>
      </c>
      <c r="C8" s="47" t="s">
        <v>56</v>
      </c>
      <c r="D8" s="48">
        <v>4</v>
      </c>
      <c r="E8" s="49">
        <v>19500</v>
      </c>
      <c r="F8" s="49">
        <f t="shared" si="0"/>
        <v>78000</v>
      </c>
      <c r="G8" s="1" t="s">
        <v>44</v>
      </c>
    </row>
    <row r="9" spans="1:7" ht="35.1" customHeight="1">
      <c r="A9" s="45">
        <v>8</v>
      </c>
      <c r="B9" s="46" t="s">
        <v>57</v>
      </c>
      <c r="C9" s="47" t="s">
        <v>58</v>
      </c>
      <c r="D9" s="48">
        <v>4</v>
      </c>
      <c r="E9" s="49">
        <v>15600</v>
      </c>
      <c r="F9" s="49">
        <f t="shared" si="0"/>
        <v>62400</v>
      </c>
      <c r="G9" s="1" t="s">
        <v>44</v>
      </c>
    </row>
    <row r="10" spans="1:7" ht="35.1" customHeight="1">
      <c r="A10" s="45">
        <v>9</v>
      </c>
      <c r="B10" s="46" t="s">
        <v>59</v>
      </c>
      <c r="C10" s="47" t="s">
        <v>56</v>
      </c>
      <c r="D10" s="48">
        <v>4</v>
      </c>
      <c r="E10" s="49">
        <v>18000</v>
      </c>
      <c r="F10" s="49">
        <f t="shared" si="0"/>
        <v>72000</v>
      </c>
      <c r="G10" s="1" t="s">
        <v>44</v>
      </c>
    </row>
    <row r="11" spans="1:7" ht="35.1" customHeight="1">
      <c r="A11" s="45">
        <v>10</v>
      </c>
      <c r="B11" s="46" t="s">
        <v>60</v>
      </c>
      <c r="C11" s="50" t="s">
        <v>61</v>
      </c>
      <c r="D11" s="48">
        <v>4</v>
      </c>
      <c r="E11" s="49">
        <v>22500</v>
      </c>
      <c r="F11" s="49">
        <f t="shared" si="0"/>
        <v>90000</v>
      </c>
      <c r="G11" s="1" t="s">
        <v>44</v>
      </c>
    </row>
    <row r="12" spans="1:7" ht="35.1" customHeight="1">
      <c r="A12" s="45">
        <v>11</v>
      </c>
      <c r="B12" s="46" t="s">
        <v>62</v>
      </c>
      <c r="C12" s="47" t="s">
        <v>63</v>
      </c>
      <c r="D12" s="48">
        <v>4</v>
      </c>
      <c r="E12" s="49">
        <v>21000</v>
      </c>
      <c r="F12" s="49">
        <f t="shared" si="0"/>
        <v>84000</v>
      </c>
      <c r="G12" s="1" t="s">
        <v>44</v>
      </c>
    </row>
    <row r="13" spans="1:7" ht="35.1" customHeight="1">
      <c r="A13" s="45">
        <v>12</v>
      </c>
      <c r="B13" s="46" t="s">
        <v>64</v>
      </c>
      <c r="C13" s="47" t="s">
        <v>65</v>
      </c>
      <c r="D13" s="48">
        <v>4</v>
      </c>
      <c r="E13" s="49">
        <v>21000</v>
      </c>
      <c r="F13" s="49">
        <f t="shared" si="0"/>
        <v>84000</v>
      </c>
      <c r="G13" s="1" t="s">
        <v>44</v>
      </c>
    </row>
    <row r="14" spans="1:7" ht="35.1" customHeight="1">
      <c r="A14" s="45">
        <v>13</v>
      </c>
      <c r="B14" s="46" t="s">
        <v>66</v>
      </c>
      <c r="C14" s="47" t="s">
        <v>67</v>
      </c>
      <c r="D14" s="48">
        <v>4</v>
      </c>
      <c r="E14" s="49">
        <v>24000</v>
      </c>
      <c r="F14" s="49">
        <f t="shared" si="0"/>
        <v>96000</v>
      </c>
      <c r="G14" s="1" t="s">
        <v>44</v>
      </c>
    </row>
    <row r="15" spans="1:7" ht="35.1" customHeight="1">
      <c r="A15" s="45">
        <v>14</v>
      </c>
      <c r="B15" s="46" t="s">
        <v>68</v>
      </c>
      <c r="C15" s="47" t="s">
        <v>54</v>
      </c>
      <c r="D15" s="48">
        <v>4</v>
      </c>
      <c r="E15" s="49">
        <v>27000</v>
      </c>
      <c r="F15" s="49">
        <f t="shared" si="0"/>
        <v>108000</v>
      </c>
      <c r="G15" s="1" t="s">
        <v>44</v>
      </c>
    </row>
    <row r="16" spans="1:7" ht="35.1" customHeight="1">
      <c r="A16" s="45">
        <v>15</v>
      </c>
      <c r="B16" s="46" t="s">
        <v>69</v>
      </c>
      <c r="C16" s="47" t="s">
        <v>70</v>
      </c>
      <c r="D16" s="48">
        <v>4</v>
      </c>
      <c r="E16" s="49">
        <v>24000</v>
      </c>
      <c r="F16" s="49">
        <f t="shared" si="0"/>
        <v>96000</v>
      </c>
      <c r="G16" s="1" t="s">
        <v>44</v>
      </c>
    </row>
    <row r="17" spans="1:7" ht="35.1" customHeight="1">
      <c r="A17" s="45">
        <v>16</v>
      </c>
      <c r="B17" s="46" t="s">
        <v>71</v>
      </c>
      <c r="C17" s="47" t="s">
        <v>70</v>
      </c>
      <c r="D17" s="48">
        <v>4</v>
      </c>
      <c r="E17" s="49">
        <v>19500</v>
      </c>
      <c r="F17" s="49">
        <f t="shared" si="0"/>
        <v>78000</v>
      </c>
      <c r="G17" s="1" t="s">
        <v>44</v>
      </c>
    </row>
    <row r="18" spans="1:7" ht="35.1" customHeight="1">
      <c r="A18" s="45">
        <v>17</v>
      </c>
      <c r="B18" s="46" t="s">
        <v>72</v>
      </c>
      <c r="C18" s="47" t="s">
        <v>70</v>
      </c>
      <c r="D18" s="48">
        <v>4</v>
      </c>
      <c r="E18" s="49">
        <v>21000</v>
      </c>
      <c r="F18" s="49">
        <f t="shared" si="0"/>
        <v>84000</v>
      </c>
      <c r="G18" s="1" t="s">
        <v>44</v>
      </c>
    </row>
    <row r="19" spans="1:7" ht="35.1" customHeight="1">
      <c r="A19" s="45">
        <v>18</v>
      </c>
      <c r="B19" s="46" t="s">
        <v>73</v>
      </c>
      <c r="C19" s="47" t="s">
        <v>70</v>
      </c>
      <c r="D19" s="48">
        <v>4</v>
      </c>
      <c r="E19" s="49">
        <v>24000</v>
      </c>
      <c r="F19" s="49">
        <f t="shared" si="0"/>
        <v>96000</v>
      </c>
      <c r="G19" s="1" t="s">
        <v>44</v>
      </c>
    </row>
    <row r="20" spans="1:7" ht="35.1" customHeight="1">
      <c r="A20" s="45">
        <v>19</v>
      </c>
      <c r="B20" s="46" t="s">
        <v>74</v>
      </c>
      <c r="C20" s="47" t="s">
        <v>75</v>
      </c>
      <c r="D20" s="48">
        <v>4</v>
      </c>
      <c r="E20" s="49">
        <v>24000</v>
      </c>
      <c r="F20" s="49">
        <f t="shared" si="0"/>
        <v>96000</v>
      </c>
      <c r="G20" s="1" t="s">
        <v>44</v>
      </c>
    </row>
    <row r="21" spans="1:7" ht="35.1" customHeight="1">
      <c r="A21" s="45">
        <v>20</v>
      </c>
      <c r="B21" s="46" t="s">
        <v>76</v>
      </c>
      <c r="C21" s="47" t="s">
        <v>77</v>
      </c>
      <c r="D21" s="48">
        <v>4</v>
      </c>
      <c r="E21" s="49">
        <v>18000</v>
      </c>
      <c r="F21" s="49">
        <f t="shared" si="0"/>
        <v>72000</v>
      </c>
      <c r="G21" s="1" t="s">
        <v>44</v>
      </c>
    </row>
    <row r="22" spans="1:7" ht="35.1" customHeight="1">
      <c r="A22" s="45">
        <v>21</v>
      </c>
      <c r="B22" s="46" t="s">
        <v>78</v>
      </c>
      <c r="C22" s="47" t="s">
        <v>79</v>
      </c>
      <c r="D22" s="48">
        <v>4</v>
      </c>
      <c r="E22" s="49">
        <v>18000</v>
      </c>
      <c r="F22" s="49">
        <f t="shared" si="0"/>
        <v>72000</v>
      </c>
      <c r="G22" s="1" t="s">
        <v>44</v>
      </c>
    </row>
    <row r="23" spans="1:7" ht="35.1" customHeight="1">
      <c r="A23" s="51">
        <v>22</v>
      </c>
      <c r="B23" s="46" t="s">
        <v>80</v>
      </c>
      <c r="C23" s="47" t="s">
        <v>81</v>
      </c>
      <c r="D23" s="48">
        <v>4</v>
      </c>
      <c r="E23" s="49">
        <v>24000</v>
      </c>
      <c r="F23" s="49">
        <f t="shared" si="0"/>
        <v>96000</v>
      </c>
      <c r="G23" s="1" t="s">
        <v>44</v>
      </c>
    </row>
    <row r="24" spans="1:7" ht="35.1" customHeight="1">
      <c r="A24" s="45">
        <v>23</v>
      </c>
      <c r="B24" s="46" t="s">
        <v>82</v>
      </c>
      <c r="C24" s="50" t="s">
        <v>83</v>
      </c>
      <c r="D24" s="48">
        <v>4</v>
      </c>
      <c r="E24" s="49">
        <v>36000</v>
      </c>
      <c r="F24" s="49">
        <f t="shared" si="0"/>
        <v>144000</v>
      </c>
      <c r="G24" s="1" t="s">
        <v>44</v>
      </c>
    </row>
    <row r="25" spans="1:7" ht="35.1" customHeight="1">
      <c r="A25" s="45">
        <v>24</v>
      </c>
      <c r="B25" s="46" t="s">
        <v>84</v>
      </c>
      <c r="C25" s="50" t="s">
        <v>65</v>
      </c>
      <c r="D25" s="48">
        <v>4</v>
      </c>
      <c r="E25" s="49">
        <v>21000</v>
      </c>
      <c r="F25" s="49">
        <f t="shared" si="0"/>
        <v>84000</v>
      </c>
      <c r="G25" s="1" t="s">
        <v>44</v>
      </c>
    </row>
    <row r="26" spans="1:7" ht="35.1" customHeight="1">
      <c r="A26" s="51">
        <v>25</v>
      </c>
      <c r="B26" s="46" t="s">
        <v>85</v>
      </c>
      <c r="C26" s="47" t="s">
        <v>81</v>
      </c>
      <c r="D26" s="48">
        <v>4</v>
      </c>
      <c r="E26" s="49">
        <v>33000</v>
      </c>
      <c r="F26" s="49">
        <f t="shared" si="0"/>
        <v>132000</v>
      </c>
      <c r="G26" s="1" t="s">
        <v>44</v>
      </c>
    </row>
    <row r="27" spans="1:7" ht="35.1" customHeight="1">
      <c r="A27" s="45">
        <v>26</v>
      </c>
      <c r="B27" s="46" t="s">
        <v>86</v>
      </c>
      <c r="C27" s="47" t="s">
        <v>87</v>
      </c>
      <c r="D27" s="48">
        <v>4</v>
      </c>
      <c r="E27" s="49">
        <v>24000</v>
      </c>
      <c r="F27" s="49">
        <f t="shared" si="0"/>
        <v>96000</v>
      </c>
      <c r="G27" s="1" t="s">
        <v>44</v>
      </c>
    </row>
    <row r="28" spans="1:7" ht="35.1" customHeight="1">
      <c r="A28" s="45">
        <v>27</v>
      </c>
      <c r="B28" s="46" t="s">
        <v>88</v>
      </c>
      <c r="C28" s="47" t="s">
        <v>50</v>
      </c>
      <c r="D28" s="48">
        <v>4</v>
      </c>
      <c r="E28" s="49">
        <v>31200</v>
      </c>
      <c r="F28" s="49">
        <f t="shared" si="0"/>
        <v>124800</v>
      </c>
      <c r="G28" s="1" t="s">
        <v>44</v>
      </c>
    </row>
    <row r="29" spans="1:7" ht="35.1" customHeight="1">
      <c r="A29" s="51">
        <v>28</v>
      </c>
      <c r="B29" s="46" t="s">
        <v>89</v>
      </c>
      <c r="C29" s="47" t="s">
        <v>90</v>
      </c>
      <c r="D29" s="48">
        <v>4</v>
      </c>
      <c r="E29" s="49">
        <v>42857.13</v>
      </c>
      <c r="F29" s="49">
        <f t="shared" si="0"/>
        <v>171428.52</v>
      </c>
      <c r="G29" s="1" t="s">
        <v>44</v>
      </c>
    </row>
    <row r="30" spans="1:7" ht="35.1" customHeight="1">
      <c r="A30" s="51">
        <v>29</v>
      </c>
      <c r="B30" s="46" t="s">
        <v>166</v>
      </c>
      <c r="C30" s="47" t="s">
        <v>91</v>
      </c>
      <c r="D30" s="48">
        <v>4</v>
      </c>
      <c r="E30" s="49">
        <v>45000</v>
      </c>
      <c r="F30" s="49">
        <f t="shared" si="0"/>
        <v>180000</v>
      </c>
      <c r="G30" s="1" t="s">
        <v>44</v>
      </c>
    </row>
    <row r="31" spans="1:7" ht="35.1" customHeight="1">
      <c r="A31" s="45">
        <v>30</v>
      </c>
      <c r="B31" s="46" t="s">
        <v>92</v>
      </c>
      <c r="C31" s="47" t="s">
        <v>90</v>
      </c>
      <c r="D31" s="48">
        <v>4</v>
      </c>
      <c r="E31" s="49">
        <v>30000</v>
      </c>
      <c r="F31" s="49">
        <f t="shared" si="0"/>
        <v>120000</v>
      </c>
      <c r="G31" s="1" t="s">
        <v>44</v>
      </c>
    </row>
    <row r="32" spans="1:7" ht="35.1" customHeight="1">
      <c r="A32" s="51">
        <v>31</v>
      </c>
      <c r="B32" s="46" t="s">
        <v>93</v>
      </c>
      <c r="C32" s="47" t="s">
        <v>94</v>
      </c>
      <c r="D32" s="48">
        <v>4</v>
      </c>
      <c r="E32" s="49">
        <v>24000</v>
      </c>
      <c r="F32" s="49">
        <f t="shared" si="0"/>
        <v>96000</v>
      </c>
      <c r="G32" s="1" t="s">
        <v>44</v>
      </c>
    </row>
    <row r="33" spans="1:7" ht="35.1" customHeight="1">
      <c r="A33" s="45">
        <v>32</v>
      </c>
      <c r="B33" s="46" t="s">
        <v>95</v>
      </c>
      <c r="C33" s="47" t="s">
        <v>96</v>
      </c>
      <c r="D33" s="1" t="s">
        <v>97</v>
      </c>
      <c r="E33" s="49">
        <v>14285.71</v>
      </c>
      <c r="F33" s="49">
        <f>+E33*32</f>
        <v>457142.72</v>
      </c>
      <c r="G33" s="1" t="s">
        <v>44</v>
      </c>
    </row>
    <row r="34" spans="1:7" ht="35.1" customHeight="1">
      <c r="A34" s="45">
        <v>33</v>
      </c>
      <c r="B34" s="46" t="s">
        <v>98</v>
      </c>
      <c r="C34" s="47" t="s">
        <v>65</v>
      </c>
      <c r="D34" s="48">
        <v>4</v>
      </c>
      <c r="E34" s="49">
        <v>21000</v>
      </c>
      <c r="F34" s="49">
        <f>+E34*4</f>
        <v>84000</v>
      </c>
      <c r="G34" s="1" t="s">
        <v>44</v>
      </c>
    </row>
    <row r="35" spans="1:7" ht="35.1" customHeight="1">
      <c r="A35" s="51">
        <v>34</v>
      </c>
      <c r="B35" s="46" t="s">
        <v>99</v>
      </c>
      <c r="C35" s="47" t="s">
        <v>81</v>
      </c>
      <c r="D35" s="48">
        <v>4</v>
      </c>
      <c r="E35" s="49">
        <v>24000</v>
      </c>
      <c r="F35" s="49">
        <f>+E35*4</f>
        <v>96000</v>
      </c>
      <c r="G35" s="1" t="s">
        <v>44</v>
      </c>
    </row>
    <row r="36" spans="1:7" ht="35.1" customHeight="1">
      <c r="A36" s="51">
        <v>35</v>
      </c>
      <c r="B36" s="46" t="s">
        <v>100</v>
      </c>
      <c r="C36" s="47" t="s">
        <v>96</v>
      </c>
      <c r="D36" s="1" t="s">
        <v>101</v>
      </c>
      <c r="E36" s="49">
        <v>800</v>
      </c>
      <c r="F36" s="49">
        <f>+E36*52</f>
        <v>41600</v>
      </c>
      <c r="G36" s="1" t="s">
        <v>44</v>
      </c>
    </row>
    <row r="37" spans="1:7" ht="35.1" customHeight="1">
      <c r="A37" s="51">
        <v>36</v>
      </c>
      <c r="B37" s="46" t="s">
        <v>102</v>
      </c>
      <c r="C37" s="47" t="s">
        <v>103</v>
      </c>
      <c r="D37" s="52" t="s">
        <v>104</v>
      </c>
      <c r="E37" s="49">
        <v>700</v>
      </c>
      <c r="F37" s="49">
        <f>+E37*102</f>
        <v>71400</v>
      </c>
      <c r="G37" s="1" t="s">
        <v>44</v>
      </c>
    </row>
    <row r="38" spans="1:7" ht="35.1" customHeight="1">
      <c r="A38" s="51">
        <v>37</v>
      </c>
      <c r="B38" s="46" t="s">
        <v>105</v>
      </c>
      <c r="C38" s="47" t="s">
        <v>103</v>
      </c>
      <c r="D38" s="52" t="s">
        <v>104</v>
      </c>
      <c r="E38" s="49">
        <v>700</v>
      </c>
      <c r="F38" s="49">
        <f>+E38*102</f>
        <v>71400</v>
      </c>
      <c r="G38" s="1" t="s">
        <v>44</v>
      </c>
    </row>
    <row r="39" spans="1:7" ht="35.1" customHeight="1">
      <c r="A39" s="51">
        <v>38</v>
      </c>
      <c r="B39" s="46" t="s">
        <v>106</v>
      </c>
      <c r="C39" s="47" t="s">
        <v>103</v>
      </c>
      <c r="D39" s="52" t="s">
        <v>104</v>
      </c>
      <c r="E39" s="49">
        <v>700</v>
      </c>
      <c r="F39" s="49">
        <f>+E39*102</f>
        <v>71400</v>
      </c>
      <c r="G39" s="1" t="s">
        <v>44</v>
      </c>
    </row>
    <row r="40" spans="1:7" ht="35.1" customHeight="1">
      <c r="A40" s="51">
        <v>39</v>
      </c>
      <c r="B40" s="46" t="s">
        <v>107</v>
      </c>
      <c r="C40" s="47" t="s">
        <v>96</v>
      </c>
      <c r="D40" s="1" t="s">
        <v>101</v>
      </c>
      <c r="E40" s="49">
        <v>800</v>
      </c>
      <c r="F40" s="49">
        <f>+E40*52</f>
        <v>41600</v>
      </c>
      <c r="G40" s="1" t="s">
        <v>44</v>
      </c>
    </row>
    <row r="41" spans="1:7" ht="35.1" customHeight="1">
      <c r="A41" s="51">
        <v>40</v>
      </c>
      <c r="B41" s="46" t="s">
        <v>108</v>
      </c>
      <c r="C41" s="47" t="s">
        <v>81</v>
      </c>
      <c r="D41" s="48">
        <v>4</v>
      </c>
      <c r="E41" s="49">
        <v>24000</v>
      </c>
      <c r="F41" s="49">
        <f t="shared" ref="F41:F60" si="1">+E41*D41</f>
        <v>96000</v>
      </c>
      <c r="G41" s="1" t="s">
        <v>44</v>
      </c>
    </row>
    <row r="42" spans="1:7" ht="35.1" customHeight="1">
      <c r="A42" s="51">
        <v>41</v>
      </c>
      <c r="B42" s="46" t="s">
        <v>109</v>
      </c>
      <c r="C42" s="47" t="s">
        <v>81</v>
      </c>
      <c r="D42" s="48">
        <v>4</v>
      </c>
      <c r="E42" s="49">
        <v>21000</v>
      </c>
      <c r="F42" s="49">
        <f t="shared" si="1"/>
        <v>84000</v>
      </c>
      <c r="G42" s="1" t="s">
        <v>44</v>
      </c>
    </row>
    <row r="43" spans="1:7" ht="35.1" customHeight="1">
      <c r="A43" s="51">
        <v>42</v>
      </c>
      <c r="B43" s="46" t="s">
        <v>110</v>
      </c>
      <c r="C43" s="47" t="s">
        <v>81</v>
      </c>
      <c r="D43" s="48">
        <v>4</v>
      </c>
      <c r="E43" s="49">
        <v>24000</v>
      </c>
      <c r="F43" s="49">
        <f t="shared" si="1"/>
        <v>96000</v>
      </c>
      <c r="G43" s="1" t="s">
        <v>44</v>
      </c>
    </row>
    <row r="44" spans="1:7" ht="35.1" customHeight="1">
      <c r="A44" s="51">
        <v>43</v>
      </c>
      <c r="B44" s="46" t="s">
        <v>111</v>
      </c>
      <c r="C44" s="47" t="s">
        <v>81</v>
      </c>
      <c r="D44" s="48">
        <v>4</v>
      </c>
      <c r="E44" s="49">
        <v>24000</v>
      </c>
      <c r="F44" s="49">
        <f t="shared" si="1"/>
        <v>96000</v>
      </c>
      <c r="G44" s="1" t="s">
        <v>44</v>
      </c>
    </row>
    <row r="45" spans="1:7" ht="35.1" customHeight="1">
      <c r="A45" s="51">
        <v>44</v>
      </c>
      <c r="B45" s="46" t="s">
        <v>112</v>
      </c>
      <c r="C45" s="53" t="s">
        <v>113</v>
      </c>
      <c r="D45" s="48">
        <v>4</v>
      </c>
      <c r="E45" s="49">
        <v>24000</v>
      </c>
      <c r="F45" s="49">
        <f t="shared" si="1"/>
        <v>96000</v>
      </c>
      <c r="G45" s="1" t="s">
        <v>44</v>
      </c>
    </row>
    <row r="46" spans="1:7" ht="35.1" customHeight="1">
      <c r="A46" s="51">
        <v>45</v>
      </c>
      <c r="B46" s="46" t="s">
        <v>114</v>
      </c>
      <c r="C46" s="47" t="s">
        <v>115</v>
      </c>
      <c r="D46" s="48">
        <v>4</v>
      </c>
      <c r="E46" s="49">
        <v>24000</v>
      </c>
      <c r="F46" s="49">
        <f t="shared" si="1"/>
        <v>96000</v>
      </c>
      <c r="G46" s="1" t="s">
        <v>44</v>
      </c>
    </row>
    <row r="47" spans="1:7" ht="35.1" customHeight="1">
      <c r="A47" s="51">
        <v>46</v>
      </c>
      <c r="B47" s="46" t="s">
        <v>116</v>
      </c>
      <c r="C47" s="47" t="s">
        <v>81</v>
      </c>
      <c r="D47" s="48">
        <v>4</v>
      </c>
      <c r="E47" s="49">
        <v>24000</v>
      </c>
      <c r="F47" s="49">
        <f t="shared" si="1"/>
        <v>96000</v>
      </c>
      <c r="G47" s="1" t="s">
        <v>44</v>
      </c>
    </row>
    <row r="48" spans="1:7" ht="35.1" customHeight="1">
      <c r="A48" s="45">
        <v>47</v>
      </c>
      <c r="B48" s="46" t="s">
        <v>117</v>
      </c>
      <c r="C48" s="54" t="s">
        <v>118</v>
      </c>
      <c r="D48" s="48">
        <v>4</v>
      </c>
      <c r="E48" s="49">
        <v>24000</v>
      </c>
      <c r="F48" s="49">
        <f t="shared" si="1"/>
        <v>96000</v>
      </c>
      <c r="G48" s="1" t="s">
        <v>44</v>
      </c>
    </row>
    <row r="49" spans="1:7" ht="35.1" customHeight="1">
      <c r="A49" s="51">
        <v>48</v>
      </c>
      <c r="B49" s="46" t="s">
        <v>119</v>
      </c>
      <c r="C49" s="47" t="s">
        <v>115</v>
      </c>
      <c r="D49" s="48">
        <v>4</v>
      </c>
      <c r="E49" s="49">
        <v>24000</v>
      </c>
      <c r="F49" s="49">
        <f t="shared" si="1"/>
        <v>96000</v>
      </c>
      <c r="G49" s="1" t="s">
        <v>44</v>
      </c>
    </row>
    <row r="50" spans="1:7" ht="35.1" customHeight="1">
      <c r="A50" s="51">
        <v>49</v>
      </c>
      <c r="B50" s="46" t="s">
        <v>120</v>
      </c>
      <c r="C50" s="47" t="s">
        <v>81</v>
      </c>
      <c r="D50" s="48">
        <v>4</v>
      </c>
      <c r="E50" s="49">
        <v>24000</v>
      </c>
      <c r="F50" s="49">
        <f t="shared" si="1"/>
        <v>96000</v>
      </c>
      <c r="G50" s="1" t="s">
        <v>44</v>
      </c>
    </row>
    <row r="51" spans="1:7" ht="35.1" customHeight="1">
      <c r="A51" s="51">
        <v>50</v>
      </c>
      <c r="B51" s="46" t="s">
        <v>121</v>
      </c>
      <c r="C51" s="47" t="s">
        <v>115</v>
      </c>
      <c r="D51" s="48">
        <v>4</v>
      </c>
      <c r="E51" s="49">
        <v>24000</v>
      </c>
      <c r="F51" s="49">
        <f t="shared" si="1"/>
        <v>96000</v>
      </c>
      <c r="G51" s="1" t="s">
        <v>44</v>
      </c>
    </row>
    <row r="52" spans="1:7" ht="35.1" customHeight="1">
      <c r="A52" s="51">
        <v>51</v>
      </c>
      <c r="B52" s="47" t="s">
        <v>122</v>
      </c>
      <c r="C52" s="47" t="s">
        <v>115</v>
      </c>
      <c r="D52" s="48">
        <v>4</v>
      </c>
      <c r="E52" s="49">
        <v>24000</v>
      </c>
      <c r="F52" s="49">
        <f t="shared" si="1"/>
        <v>96000</v>
      </c>
      <c r="G52" s="1" t="s">
        <v>44</v>
      </c>
    </row>
    <row r="53" spans="1:7" ht="35.1" customHeight="1">
      <c r="A53" s="51">
        <v>52</v>
      </c>
      <c r="B53" s="46" t="s">
        <v>123</v>
      </c>
      <c r="C53" s="47" t="s">
        <v>103</v>
      </c>
      <c r="D53" s="48">
        <v>4</v>
      </c>
      <c r="E53" s="49">
        <v>33000</v>
      </c>
      <c r="F53" s="49">
        <f t="shared" si="1"/>
        <v>132000</v>
      </c>
      <c r="G53" s="1" t="s">
        <v>44</v>
      </c>
    </row>
    <row r="54" spans="1:7" ht="35.1" customHeight="1">
      <c r="A54" s="51">
        <v>53</v>
      </c>
      <c r="B54" s="46" t="s">
        <v>124</v>
      </c>
      <c r="C54" s="50" t="s">
        <v>125</v>
      </c>
      <c r="D54" s="48">
        <v>4</v>
      </c>
      <c r="E54" s="49">
        <v>21000</v>
      </c>
      <c r="F54" s="49">
        <f t="shared" si="1"/>
        <v>84000</v>
      </c>
      <c r="G54" s="1" t="s">
        <v>44</v>
      </c>
    </row>
    <row r="55" spans="1:7" ht="35.1" customHeight="1">
      <c r="A55" s="51">
        <v>54</v>
      </c>
      <c r="B55" s="46" t="s">
        <v>126</v>
      </c>
      <c r="C55" s="47" t="s">
        <v>81</v>
      </c>
      <c r="D55" s="48">
        <v>4</v>
      </c>
      <c r="E55" s="49">
        <v>24000</v>
      </c>
      <c r="F55" s="49">
        <f t="shared" si="1"/>
        <v>96000</v>
      </c>
      <c r="G55" s="1" t="s">
        <v>44</v>
      </c>
    </row>
    <row r="56" spans="1:7" ht="35.1" customHeight="1">
      <c r="A56" s="51">
        <v>55</v>
      </c>
      <c r="B56" s="46" t="s">
        <v>127</v>
      </c>
      <c r="C56" s="47" t="s">
        <v>81</v>
      </c>
      <c r="D56" s="48">
        <v>4</v>
      </c>
      <c r="E56" s="49">
        <v>24000</v>
      </c>
      <c r="F56" s="49">
        <f t="shared" si="1"/>
        <v>96000</v>
      </c>
      <c r="G56" s="1" t="s">
        <v>44</v>
      </c>
    </row>
    <row r="57" spans="1:7" ht="35.1" customHeight="1">
      <c r="A57" s="51">
        <v>56</v>
      </c>
      <c r="B57" s="46" t="s">
        <v>128</v>
      </c>
      <c r="C57" s="47" t="s">
        <v>81</v>
      </c>
      <c r="D57" s="48">
        <v>4</v>
      </c>
      <c r="E57" s="49">
        <v>24000</v>
      </c>
      <c r="F57" s="49">
        <f t="shared" si="1"/>
        <v>96000</v>
      </c>
      <c r="G57" s="1" t="s">
        <v>44</v>
      </c>
    </row>
    <row r="58" spans="1:7" ht="35.1" customHeight="1">
      <c r="A58" s="51">
        <v>57</v>
      </c>
      <c r="B58" s="46" t="s">
        <v>129</v>
      </c>
      <c r="C58" s="47" t="s">
        <v>115</v>
      </c>
      <c r="D58" s="48">
        <v>4</v>
      </c>
      <c r="E58" s="49">
        <v>24000</v>
      </c>
      <c r="F58" s="49">
        <f t="shared" si="1"/>
        <v>96000</v>
      </c>
      <c r="G58" s="1" t="s">
        <v>44</v>
      </c>
    </row>
    <row r="59" spans="1:7" ht="35.1" customHeight="1">
      <c r="A59" s="51">
        <v>58</v>
      </c>
      <c r="B59" s="46" t="s">
        <v>130</v>
      </c>
      <c r="C59" s="47" t="s">
        <v>81</v>
      </c>
      <c r="D59" s="48">
        <v>4</v>
      </c>
      <c r="E59" s="49">
        <v>24000</v>
      </c>
      <c r="F59" s="49">
        <f t="shared" si="1"/>
        <v>96000</v>
      </c>
      <c r="G59" s="1" t="s">
        <v>44</v>
      </c>
    </row>
    <row r="60" spans="1:7" ht="35.1" customHeight="1">
      <c r="A60" s="51">
        <v>59</v>
      </c>
      <c r="B60" s="46" t="s">
        <v>131</v>
      </c>
      <c r="C60" s="47" t="s">
        <v>115</v>
      </c>
      <c r="D60" s="48">
        <v>4</v>
      </c>
      <c r="E60" s="49">
        <v>24000</v>
      </c>
      <c r="F60" s="49">
        <f t="shared" si="1"/>
        <v>96000</v>
      </c>
      <c r="G60" s="1" t="s">
        <v>44</v>
      </c>
    </row>
    <row r="61" spans="1:7" ht="35.1" customHeight="1">
      <c r="F61" s="56">
        <f>SUM(F2:F60)</f>
        <v>5976171.2400000002</v>
      </c>
      <c r="G61" s="57"/>
    </row>
    <row r="62" spans="1:7" ht="35.1" customHeight="1"/>
  </sheetData>
  <pageMargins left="0.7" right="0.7" top="0.75" bottom="0.75" header="0.3" footer="0.3"/>
  <pageSetup paperSize="9" scale="54" orientation="portrait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8</vt:i4>
      </vt:variant>
    </vt:vector>
  </HeadingPairs>
  <TitlesOfParts>
    <vt:vector size="13" baseType="lpstr">
      <vt:lpstr>AOO 2026</vt:lpstr>
      <vt:lpstr>RECONDUCTION PRG EXT 2026</vt:lpstr>
      <vt:lpstr>PPA BONS DE COMMANDES 2026</vt:lpstr>
      <vt:lpstr>PPA MARCHES 2026</vt:lpstr>
      <vt:lpstr>DETAIL FREELANCES</vt:lpstr>
      <vt:lpstr>BC21_BDG</vt:lpstr>
      <vt:lpstr>BC21_DIR</vt:lpstr>
      <vt:lpstr>BC21_MNT</vt:lpstr>
      <vt:lpstr>'PPA BONS DE COMMANDES 2026'!Impression_des_titres</vt:lpstr>
      <vt:lpstr>'AOO 2026'!Zone_d_impression</vt:lpstr>
      <vt:lpstr>'PPA BONS DE COMMANDES 2026'!Zone_d_impression</vt:lpstr>
      <vt:lpstr>'PPA MARCHES 2026'!Zone_d_impression</vt:lpstr>
      <vt:lpstr>'RECONDUCTION PRG EXT 2026'!Zone_d_impression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m.nagib</dc:creator>
  <cp:lastModifiedBy>hp</cp:lastModifiedBy>
  <cp:lastPrinted>2025-02-25T13:15:27Z</cp:lastPrinted>
  <dcterms:created xsi:type="dcterms:W3CDTF">2013-01-29T12:40:44Z</dcterms:created>
  <dcterms:modified xsi:type="dcterms:W3CDTF">2025-10-02T14:08:48Z</dcterms:modified>
</cp:coreProperties>
</file>