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0" yWindow="0" windowWidth="28800" windowHeight="11835" activeTab="2"/>
  </bookViews>
  <sheets>
    <sheet name="Marchés" sheetId="16" r:id="rId1"/>
    <sheet name="Marchés Reconductibles" sheetId="24" r:id="rId2"/>
    <sheet name="Bons de commande " sheetId="26" r:id="rId3"/>
    <sheet name="Contrat-Convention de droit" sheetId="25" r:id="rId4"/>
  </sheets>
  <definedNames>
    <definedName name="_xlnm._FilterDatabase" localSheetId="0" hidden="1">Marchés!$A$3:$N$44</definedName>
    <definedName name="_xlnm.Print_Area" localSheetId="2">'Bons de commande '!$B$2:$I$4</definedName>
    <definedName name="_xlnm.Print_Area" localSheetId="3">'Contrat-Convention de droit'!$A$2:$F$5</definedName>
    <definedName name="_xlnm.Print_Area" localSheetId="0">Marchés!$B$2:$N$40</definedName>
    <definedName name="_xlnm.Print_Area" localSheetId="1">'Marchés Reconductibles'!$A$1:$K$12</definedName>
  </definedNames>
  <calcPr calcId="152511"/>
</workbook>
</file>

<file path=xl/calcChain.xml><?xml version="1.0" encoding="utf-8"?>
<calcChain xmlns="http://schemas.openxmlformats.org/spreadsheetml/2006/main">
  <c r="D7" i="26" l="1"/>
  <c r="D4" i="26"/>
  <c r="D15" i="26"/>
  <c r="D14" i="26" l="1"/>
  <c r="D12" i="16" l="1"/>
  <c r="D9" i="26" l="1"/>
  <c r="D16" i="26" s="1"/>
  <c r="D35" i="16" l="1"/>
  <c r="E34" i="16" l="1"/>
  <c r="D41" i="16"/>
  <c r="D43" i="16" s="1"/>
  <c r="D40" i="16"/>
  <c r="D42" i="16" s="1"/>
  <c r="F31" i="16"/>
  <c r="G31" i="16" s="1"/>
  <c r="E37" i="16"/>
  <c r="E39" i="16"/>
  <c r="E38" i="16"/>
  <c r="F27" i="16"/>
  <c r="E30" i="16"/>
  <c r="E33" i="16"/>
  <c r="F4" i="16"/>
  <c r="E5" i="16"/>
  <c r="E13" i="16"/>
  <c r="E36" i="16"/>
  <c r="E35" i="16"/>
  <c r="E32" i="16"/>
  <c r="E29" i="16"/>
  <c r="E28" i="16"/>
  <c r="E26" i="16"/>
  <c r="E25" i="16"/>
  <c r="E24" i="16"/>
  <c r="E23" i="16"/>
  <c r="E21" i="16"/>
  <c r="E20" i="16"/>
  <c r="E19" i="16"/>
  <c r="E18" i="16"/>
  <c r="E17" i="16"/>
  <c r="E16" i="16"/>
  <c r="E15" i="16"/>
  <c r="E14" i="16"/>
  <c r="E12" i="16"/>
  <c r="E11" i="16"/>
  <c r="E9" i="16"/>
  <c r="E8" i="16"/>
  <c r="E7" i="16"/>
  <c r="E6" i="16"/>
  <c r="G27" i="16"/>
  <c r="F22" i="16"/>
  <c r="G22" i="16"/>
  <c r="F10" i="16"/>
  <c r="G10" i="16" s="1"/>
  <c r="G4" i="16"/>
  <c r="E4" i="24"/>
  <c r="E7" i="24"/>
  <c r="D12" i="24"/>
  <c r="D6" i="24"/>
</calcChain>
</file>

<file path=xl/sharedStrings.xml><?xml version="1.0" encoding="utf-8"?>
<sst xmlns="http://schemas.openxmlformats.org/spreadsheetml/2006/main" count="439" uniqueCount="168">
  <si>
    <t>OBJET</t>
  </si>
  <si>
    <t>Lieu d'exécution</t>
  </si>
  <si>
    <t>Mode de Passation</t>
  </si>
  <si>
    <t>Matériel technique de production audio/vidéo</t>
  </si>
  <si>
    <t>AOO</t>
  </si>
  <si>
    <t>Nature de la Prestation</t>
  </si>
  <si>
    <t>Période prévue 
pour le lancement</t>
  </si>
  <si>
    <t>Nature Budget</t>
  </si>
  <si>
    <t>Investissement</t>
  </si>
  <si>
    <t>Fonctionnement</t>
  </si>
  <si>
    <t>Justification du besoin</t>
  </si>
  <si>
    <t xml:space="preserve">DIRECTION : </t>
  </si>
  <si>
    <t>Budget Prévisionnel HT en MDH/AXE</t>
  </si>
  <si>
    <t>Prestation de service</t>
  </si>
  <si>
    <t>Contrat</t>
  </si>
  <si>
    <t>Période d'exécution</t>
  </si>
  <si>
    <t xml:space="preserve">Budget Prévisionnel  Brut 
en DH </t>
  </si>
  <si>
    <t xml:space="preserve">Budget Prévisionnel HT 
en DH </t>
  </si>
  <si>
    <t>N°</t>
  </si>
  <si>
    <t>PME</t>
  </si>
  <si>
    <t>Entretien et maintenance des équipements  de diffusion techniques, y compris la fourniture des pièces de rechange</t>
  </si>
  <si>
    <t>Matériel informatique, pièces de rechange et logiciels</t>
  </si>
  <si>
    <t>I</t>
  </si>
  <si>
    <t>II</t>
  </si>
  <si>
    <t>III</t>
  </si>
  <si>
    <t>IV</t>
  </si>
  <si>
    <t>Renouvellement des moyens mobiles pour répondre aux besoins accrus en termes de couverture d’événements live :</t>
  </si>
  <si>
    <t>Renouvellement et mise à niveau des équipements audio et vidéo pour les besoins des moyens fixes et des chaines TV :</t>
  </si>
  <si>
    <t>BC</t>
  </si>
  <si>
    <t>Prestations techniques audiovisuelles</t>
  </si>
  <si>
    <t>Trim. 1</t>
  </si>
  <si>
    <t>V</t>
  </si>
  <si>
    <t>TOTAL HT en MDH (Investissement)</t>
  </si>
  <si>
    <t>TOTAL HT en MDH (Fonctionnement)</t>
  </si>
  <si>
    <t>Acquisition des équipements audio pour les besoins des chaines radios de la SNRT.</t>
  </si>
  <si>
    <t xml:space="preserve">Budget Prévisionnel HT en MDH </t>
  </si>
  <si>
    <t>Consommables et Numérisation des anciennes archives pour les besoins de la SNRT :</t>
  </si>
  <si>
    <t>Contrats de support / location :</t>
  </si>
  <si>
    <t>Reconduction</t>
  </si>
  <si>
    <t>-</t>
  </si>
  <si>
    <t>Souscription à un abonnement annuel de licences de logiciels de montage et de graphisme pour les besoins des chaines TV de la SNRT.</t>
  </si>
  <si>
    <t>Reconductible</t>
  </si>
  <si>
    <t>TOTAL TTC en MDH (Investissement)</t>
  </si>
  <si>
    <t>TOTAL TTC en MDH (Fonctionnement)</t>
  </si>
  <si>
    <t>Acquisition de matériel audio/vidéo pour le renouvellement des dispositifs des unités mobiles de la SNRT.</t>
  </si>
  <si>
    <t>Budget Prévisionnel  
en DH HT</t>
  </si>
  <si>
    <t>2024 - 2025 - 2026</t>
  </si>
  <si>
    <t>Consommables, licences et logiciels</t>
  </si>
  <si>
    <t>Réparation, entretien, et maintenance</t>
  </si>
  <si>
    <t>Pièces de rechange</t>
  </si>
  <si>
    <t>Prestation de service relative au transcodage, à la distribution et au streaming de flux vidéo.</t>
  </si>
  <si>
    <t>Prestations fonctionnelles et techniques du progiciel de gestion intégré de la SNRT: JDEWARDS</t>
  </si>
  <si>
    <t>Mise à niveau et renouvellement des équipements audiovisuels des unités mobiles afin de répondre aux besoins de production des événements sportifs de la SNRT.</t>
  </si>
  <si>
    <t>Mise à niveau des équipements de machinerie et d'éclairage afin de répondre aux besoins de production de la SNRT.</t>
  </si>
  <si>
    <t>Matériel technique de production vidéo</t>
  </si>
  <si>
    <t>Matériel technique de production audio</t>
  </si>
  <si>
    <t>Acquisition des équipements de machinerie et d'éclairage pour répondre aux besoins de production de la SNRT.</t>
  </si>
  <si>
    <t xml:space="preserve">ANNEE :  </t>
  </si>
  <si>
    <t>Location et infogérance de plateforme publiques d'hébergement "Cloud" et fourniture des services associés.</t>
  </si>
  <si>
    <t>Service de transcodage, segmentation et streaming live sur internet pour les chaines TV/Radio de la SNRT.</t>
  </si>
  <si>
    <r>
      <rPr>
        <b/>
        <u/>
        <sz val="14"/>
        <rFont val="Arial"/>
        <family val="2"/>
      </rPr>
      <t>N.B. :</t>
    </r>
    <r>
      <rPr>
        <sz val="14"/>
        <rFont val="Arial"/>
        <family val="2"/>
      </rPr>
      <t xml:space="preserve"> Le Budget Prévisionnel sollicité en cas d'urgence est réparti de manière équitable parmi les rubriques les plus fréquemment utilisées par la direction, conformément aux besoins exprimés par la direction des achats. 
           Les détails précis, tant sur le montant que sur la nature du Bon de Commande, seront communiqués en temps opportun, dès que le besoin sera expressément formulé.</t>
    </r>
  </si>
  <si>
    <t xml:space="preserve">TOTAL HT en MDH (Investissement) </t>
  </si>
  <si>
    <t xml:space="preserve">TOTAL HT en MDH (Fonctionnement) </t>
  </si>
  <si>
    <t>ANNEE :</t>
  </si>
  <si>
    <t>Renouvellement, mise à niveau et sécurisation de l'infrastructure IT/Réseau de la SNRT :</t>
  </si>
  <si>
    <t>Contrat de service de support (SLA) du Système de Production News                  « News Room » de la SNRT.</t>
  </si>
  <si>
    <t>Contrat N° xxxCT/SNRT/2025 "Abderrazzak Mouzahim"</t>
  </si>
  <si>
    <t>Contrat N° xxxCT/SNRT/2025 "Amal RIH"</t>
  </si>
  <si>
    <t>Contrat N° xxxCT/SNRT/2025 "M'RABETT Ayoub"</t>
  </si>
  <si>
    <t>Contrat N° xxxCT/SNRT/2025 "Meskine Ismail"</t>
  </si>
  <si>
    <t>Contrat N° xxxCT/SNRT/2025 "Skaf Yahya"</t>
  </si>
  <si>
    <t>Contrat N° xxxCT/SNRT/2025 "Amrenss Youssef"</t>
  </si>
  <si>
    <t>Contrat N° xxxCT/SNRT/2025 "KABBAJ Zouheir"</t>
  </si>
  <si>
    <t>Abonnement aux services internet</t>
  </si>
  <si>
    <t>Contrat N° 427CT/SNRT/2024 "Google Workspace"</t>
  </si>
  <si>
    <t>2025-2026-2027</t>
  </si>
  <si>
    <t>Hébergement et infogérance des systèmes d’information</t>
  </si>
  <si>
    <t>Fourniture et installation de liaisons fibres optiques pour les besoins de la SNRT.</t>
  </si>
  <si>
    <t>Contrat N° xxxCT/SNRT/2025 "MOUSSALLLEK Abderrahim"</t>
  </si>
  <si>
    <t>Prestations de maintenance du progiciel de gestion des ressources humaines AGIRH</t>
  </si>
  <si>
    <t>Acquisition d'une solution professionnelle de synthèse vocale basée sur Google Cloud Text-to-Speech permettant aux utilisateurs de générer des voix naturelles, multilingues, avec possibilité de clonage vocal personnalisé pour les utiliser dans des productions audio-visuelles</t>
  </si>
  <si>
    <t>Abonnement au service de synthèse vocale basée sur les voix Text-To-Speech de Google Cloud AI</t>
  </si>
  <si>
    <t>Plateforme de création de production virtuelle basée sur l’IA</t>
  </si>
  <si>
    <t>L’adoption des innovations technologiques permettant l’optimisation des ressources et la mutualisation des moyens de production</t>
  </si>
  <si>
    <t>D.C.T</t>
  </si>
  <si>
    <t xml:space="preserve">Budget Concrétisé HT en MDH </t>
  </si>
  <si>
    <t>Acquisition de lecteurs LTO destinés aux besoins d’archivage de la SNRT.</t>
  </si>
  <si>
    <t>Renouvellement du parc informatique par l’acquisition de périphériques de nouvelle génération (PC, laptops, imprimantes, accessoires).
Acquisition de nouveaux serveurs pour déployer les solutions IA internes de la SNRT.</t>
  </si>
  <si>
    <t>Mise à niveau du réseau Wi-Fi au siège et dans les sites régionaux de la SNRT via l’acquisition de nouveaux contrôleurs, points d’accès et périphériques.
Renouvellement des câbles cuivre et fibres pour les besoins de l'infrastructure réseau de la SNRT.</t>
  </si>
  <si>
    <t>Renouvellement des équipements de la régie multidiffusion afin d’assurer la continuité et la qualité de diffusion des chaînes Arryadia de la SNRT.</t>
  </si>
  <si>
    <t xml:space="preserve">Mise à niveau des unités mobiles pour répondre aux besoins de la production des évènements sportifs de la SNRT. </t>
  </si>
  <si>
    <t>Acquisition de véhicules « Support Trucks » pour répondre aux besoins des unités mobiles de la SNRT.</t>
  </si>
  <si>
    <t>Mise en place d'un système d'automation TV pour répondre aux besoins de la diffusion des chaines TV de la SNRT.</t>
  </si>
  <si>
    <t>Renouvellement des équipements Audio/Vidéo pour répondre aux besoins des chaines TV de la SNRT.</t>
  </si>
  <si>
    <t>Mise en place d'un schéma directeur SI pour la SNRT.
Mise à niveau de l'ERP de la SNRT.
Acquisition des licences de l'IA et de l'IT pour les besoins de la SNRT.</t>
  </si>
  <si>
    <t>Acquisition de véhicules utilitaires aménagés pour abriter les équipements d'éclairage et de machinerie pour répondre aux besoins de production de la SNRT.</t>
  </si>
  <si>
    <t>Mise à niveau des moyens logistiques pour le transport des équipements de machinerie et d'éclairage afin de répondre aux besoins de production de la SNRT.</t>
  </si>
  <si>
    <t>Renouvellement des équipements Audio/Vidéo du plateau JT pour répondre aux besoins de la chaine Al Aoula de la SNRT.</t>
  </si>
  <si>
    <t>Renouvellement des équipements de captation Audio/Vidéo pour répondre aux besoins de la chaine Al Aoula de la SNRT.</t>
  </si>
  <si>
    <t>Acquisition et mise à niveau des équipements Audio/vidéo de la régie multidiffusion pour répondre aux besoins de la chaine Arryadia de la SNRT.</t>
  </si>
  <si>
    <t>Renouvellement et mise à niveau des équipements Audio/Vidéo de la régie JT pour répondre aux besoins de la chaine TV Laayoune de la SNRT.</t>
  </si>
  <si>
    <t>Acquisition et mise à niveau des équipements Audio/Vidéo du studio virtuel pour répondre aux besoins de production de la chaine TV Laayoune de la SNRT.</t>
  </si>
  <si>
    <t>Renouvellement et mise à niveau des équipements audio pour les besoins des chaines RADIO :</t>
  </si>
  <si>
    <t>Renouvellement des systèmes d’automation radio des chaînes radios régionales de la SNRT.</t>
  </si>
  <si>
    <t>Acquisition des équipements informatiques Broadcast pour les besoins des chaines radios régionales de la SNRT.</t>
  </si>
  <si>
    <t>Acquisition des supports d’enregistrement et de lecture pour les besoins des chaines TV de la SNRT.</t>
  </si>
  <si>
    <t>Renouvellement et mise à niveau des systèmes et solutions logicielles de l'infrastructure IT de la SNRT.</t>
  </si>
  <si>
    <t>Acquisition des consommables, accessoires, pièces de rechange et outillage informatiques pour les besoins de la SNRT.</t>
  </si>
  <si>
    <t>Acquisition des serveurs et des équipements Informatiques pour les besoins de la SNRT.</t>
  </si>
  <si>
    <t>Acquisition des équipements pour la mise à niveau de l'infrastructure réseau de la SNRT.</t>
  </si>
  <si>
    <t>Répondre aux besoins annuels des chaînes TV de la SNRT.</t>
  </si>
  <si>
    <t>Modernisation de l’infrastructure technique et renforcement de l’efficacité des opérations de production en intégrant les technologies numériques récentes (ST2110) et préparation de la transition vers la diffusion en ultra-haute définition (4K).</t>
  </si>
  <si>
    <t>Mise à niveau de l’infrastructure hardware d’automation radio au sien des stations régionales radios.
Exécution du plan de maintenance d’amélioration d’équipement de d’enregistrement et de diffusion.</t>
  </si>
  <si>
    <t>Mise à jour software des systèmes d'automation Radio au niveau des stations régionales a pour objectif  de mettre à niveau les systèmes d’automation obsolètes et intégration de nouvelles technologies broadcaste et renforcement de la sécurité du système.</t>
  </si>
  <si>
    <t>Réponse aux besoins d'archivage des chaines de télévision de la SNRT.</t>
  </si>
  <si>
    <t>Acquisition de consommables et pièces de rechange (toners, disques, accessoires) pour assurer la continuité du parc informatique.</t>
  </si>
  <si>
    <t>Renouvellement et mise à niveau des équipements d'enregistrement, de lecture  et de traitement pour les besoins du système NewsRoom de la SNRT.</t>
  </si>
  <si>
    <t>Remplacement des équipements obsolétes et mise à niveau pour assurer la continuité de service.</t>
  </si>
  <si>
    <t>Contrat de support logiciel du système NewsRoom (PAM et NRCS) pour les besoins des chaines TV de la SNRT.</t>
  </si>
  <si>
    <t>Assurer la maintenance corrective et évolutive du système NewsRoom et bénéficier de l’assistance technique de l’éditeur.</t>
  </si>
  <si>
    <t>Renouvellement et mise à niveau du Centre de Diffusion et de Monitoring (CDM) pour les besoins des chaines Radio de la SNRT. afin d’assurer la supervision centralisée, la redondance et la continuité de service des diffusions.</t>
  </si>
  <si>
    <t>Assurer la modernisation de l’infrastructure radio afin de renforcer la supervision, la redondance et la continuité des diffusions.</t>
  </si>
  <si>
    <t>Garantir la fiabilité et la performance des installations techniques en remplaçant les équipements obsolètes par des systèmes audio/vidéo modernes et performants.</t>
  </si>
  <si>
    <t>Renouvellement des équipements audio/vidéo et des châssis de traitement de signaux pour répondre aux besoins des installations techniques de la SNRT.</t>
  </si>
  <si>
    <t>Assurer l’automatisation des plannings de diffusion, la fiabilité des programmes et la continuité du service des chaînes TV de la SNRT.</t>
  </si>
  <si>
    <t>Assurer la continuité et la fiabilité des opérations en remplaçant les équipements défectueux et obsolètes.</t>
  </si>
  <si>
    <t>Assurer la modernisation et l’optimisation du studio virtuel de la chaîne TV Laayoune pour répondre aux exigences techniques et améliorer la qualité des productions audiovisuelles</t>
  </si>
  <si>
    <t>Assurer la continuité, la fiabilité et la qualité des productions du journal télévisé de la chaîne TV Laayoune en modernisant et en optimisant les équipements audio/vidéo de la régie.</t>
  </si>
  <si>
    <t>Acquisition de nouveaux équipements de reportage (caméras, micros, accessoires) pour répondre aux besoins de production d’Al aoula.</t>
  </si>
  <si>
    <t>Renouveler les licences logicielles pour les stations d’habillage et de graphisme garantir la continuité des productions graphiques des chaînes TV de la SNRT.</t>
  </si>
  <si>
    <t>Renouvellement des licences logicielles pour les stations d’habillage et de graphisme pour les besoins des chaines TV de la SNRT.</t>
  </si>
  <si>
    <t>D.C.T.</t>
  </si>
  <si>
    <t xml:space="preserve">Budget Prévisionnel TTC en MDH </t>
  </si>
  <si>
    <t>Budget Prévisionnel TTC en MDH/AXE</t>
  </si>
  <si>
    <t>2026</t>
  </si>
  <si>
    <t>Location et infogérance de plateforme publiques d'hébergement "Cloud" et fourniture des services associés_années : 2024-2025-2026-2027-2028 -&gt;(Marché 31M/SNRT/2024).</t>
  </si>
  <si>
    <t>Contrat de support pour le système News room de la SNRT --&gt; Années : 2024, 2025, 2026 - (Marché 51M/SNRT/2022).</t>
  </si>
  <si>
    <t>Renouvellement des licences de logiciels --&gt; Années : 2023, 2024, 2025, 2026 et 2027 - (Marché 22M/SNRT/2023)</t>
  </si>
  <si>
    <t>Disposer de prestations d'assistance préventives et correctives, technique et fonctionnelle pour toute la plateforme.
Disposer de prestations fonctionnelles et techniques relatives à l'évolution des besoins métiers, technologiques, sécuritaires et réglementaires.
Former l'équipe informatique sur l'ERP JD EDWARDS. --&gt; Années : 2025, 2026, 2027</t>
  </si>
  <si>
    <t>Renouvellement de la maintenance de la solution de gestion des Ressources Humaines
L'ajout d'améliorations fonctionnelles concernant l'ergonomie, la simplicité d'utilisation et la rapidité des traitements
Adaptation des fonctionnalités ou création de nouvelles en cas de modifications dans la réglementation marocaine.
--&gt; Années : 2025, 2026, 2027</t>
  </si>
  <si>
    <t>Acquisition de systèmes de caméras aériennes sur câbles pour répondre aux besoins de production de la SNRT.</t>
  </si>
  <si>
    <t>Renforcer les moyens de captation de la SNRT en dotant ses équipes de systèmes de caméras aériennes sur câbles, permettant d’assurer des prises de vues dynamiques et immersives lors des grands événements sportifs</t>
  </si>
  <si>
    <t>Souscription à un abonnement annuel de licences logiciels pour les besoins de la SNRT.</t>
  </si>
  <si>
    <t>Garantir la continuité des services des logiciels utilisés au sein de la SNRT par la souscription à des licences annuelles.</t>
  </si>
  <si>
    <t>Numérisation des anciennes archives télévisuelles stockées sur des supports analogiques de type U-MATIC, pour les besoins des archives TV de la SNRT.</t>
  </si>
  <si>
    <t>Préserver et valoriser le patrimoine audiovisuel de la SNRT en numérisant les anciennes archives télévisuelles stockées sur supports analogiques U-MATIC devenus obsolètes.</t>
  </si>
  <si>
    <t>Acquisition d’équipements informatiques  pour les besoins de SNRT NEWS.</t>
  </si>
  <si>
    <t>Acquisition de licences et de logiciels pour pour les besoins de SNRT NEWS.</t>
  </si>
  <si>
    <t>Acquisition d’équipements informatiques et audiovisuels pour la mise à niveau du matériel de SNRT NEWS.</t>
  </si>
  <si>
    <t>PP_Achat 2026, établi sur la base du PP_Budget approuvé et reçu de la Direction Financière, afin de prendre les dispositions  pour sa validation conformément à la note Pré/001/2021.</t>
  </si>
  <si>
    <t>Trim.1</t>
  </si>
  <si>
    <t>RABAT - TANGER</t>
  </si>
  <si>
    <t>NON</t>
  </si>
  <si>
    <t>TEMARA</t>
  </si>
  <si>
    <t>Trim.2</t>
  </si>
  <si>
    <t>RABAT</t>
  </si>
  <si>
    <t>OUI</t>
  </si>
  <si>
    <t>Trim.3</t>
  </si>
  <si>
    <t>LAAYOUNE</t>
  </si>
  <si>
    <t>La fourniture de toners d'impression pour les besoins de la SNRT</t>
  </si>
  <si>
    <t>Fourniture et mise en service de systèmes de commande sans fils pour optique de caméra pour les besoins des unités mobiles de la SNRT.</t>
  </si>
  <si>
    <t>BC 26000012 CL établi</t>
  </si>
  <si>
    <t>BC 26000024 CL établi</t>
  </si>
  <si>
    <t xml:space="preserve">Budget Prévisionnel en cas d'urgence </t>
  </si>
  <si>
    <t>Budget Prévisionnel en cas d'urgence</t>
  </si>
  <si>
    <t>BC 26000047 CL établi</t>
  </si>
  <si>
    <t>Fourniture et mise en service de cartes graphiques pour applications de calcul intensif et d’intelligence artificielle pour les besoins de la SNRT.</t>
  </si>
  <si>
    <t>Assistance et support "SLA" de la solution NRCS  du système de production News "Newsroom" de la SNRT.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</si>
</sst>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00_ _F_-;\-* #,##0.00_ _F_-;_-* &quot;-&quot;??_ _F_-;_-@_-"/>
  </numFmts>
  <fonts count="15">
    <font>
      <sz val="11"/>
      <color theme="1"/>
      <name val="Calibri"/>
      <family val="2"/>
      <scheme val="minor"/>
    </font>
    <font>
      <sz val="10"/>
      <name val="Arial"/>
      <family val="2"/>
    </font>
    <font>
      <sz val="10"/>
      <name val="Geneva"/>
    </font>
    <font>
      <sz val="8"/>
      <name val="Calibri"/>
      <family val="2"/>
      <scheme val="minor"/>
    </font>
    <font>
      <b/>
      <sz val="14"/>
      <color theme="1"/>
      <name val="Arial"/>
      <family val="2"/>
    </font>
    <font>
      <sz val="11"/>
      <color theme="1"/>
      <name val="Arial"/>
      <family val="2"/>
    </font>
    <font>
      <b/>
      <sz val="14"/>
      <name val="Arial"/>
      <family val="2"/>
    </font>
    <font>
      <sz val="14"/>
      <name val="Arial"/>
      <family val="2"/>
    </font>
    <font>
      <b/>
      <sz val="14"/>
      <color rgb="FFFF0000"/>
      <name val="Arial"/>
      <family val="2"/>
    </font>
    <font>
      <sz val="14"/>
      <color theme="1"/>
      <name val="Arial"/>
      <family val="2"/>
    </font>
    <font>
      <b/>
      <sz val="14"/>
      <color theme="0"/>
      <name val="Arial"/>
      <family val="2"/>
    </font>
    <font>
      <b/>
      <u/>
      <sz val="14"/>
      <name val="Arial"/>
      <family val="2"/>
    </font>
    <font>
      <sz val="16"/>
      <color theme="1"/>
      <name val="Arial"/>
      <family val="2"/>
    </font>
    <font>
      <sz val="14"/>
      <color rgb="FFFF0000"/>
      <name val="Arial"/>
      <family val="2"/>
    </font>
    <font>
      <sz val="11"/>
      <color theme="0"/>
      <name val="Arial"/>
      <family val="2"/>
    </font>
  </fonts>
  <fills count="9">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rgb="FF0070C0"/>
        <bgColor indexed="64"/>
      </patternFill>
    </fill>
    <fill>
      <patternFill patternType="solid">
        <fgColor rgb="FF00B050"/>
        <bgColor indexed="64"/>
      </patternFill>
    </fill>
    <fill>
      <patternFill patternType="solid">
        <fgColor theme="0" tint="-4.9989318521683403E-2"/>
        <bgColor indexed="64"/>
      </patternFill>
    </fill>
    <fill>
      <patternFill patternType="solid">
        <fgColor rgb="FFC00000"/>
        <bgColor indexed="64"/>
      </patternFill>
    </fill>
    <fill>
      <patternFill patternType="solid">
        <fgColor rgb="FF960000"/>
        <bgColor indexed="64"/>
      </patternFill>
    </fill>
  </fills>
  <borders count="12">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7">
    <xf numFmtId="0" fontId="0" fillId="0" borderId="0"/>
    <xf numFmtId="0" fontId="1"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0" fontId="1" fillId="0" borderId="0"/>
  </cellStyleXfs>
  <cellXfs count="121">
    <xf numFmtId="0" fontId="0" fillId="0" borderId="0" xfId="0"/>
    <xf numFmtId="0" fontId="5" fillId="2" borderId="0" xfId="0" applyFont="1" applyFill="1"/>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0" fontId="6" fillId="2" borderId="4" xfId="0" applyFont="1" applyFill="1" applyBorder="1" applyAlignment="1">
      <alignment horizontal="center" vertical="center"/>
    </xf>
    <xf numFmtId="4" fontId="6" fillId="2" borderId="4" xfId="0" applyNumberFormat="1" applyFont="1" applyFill="1" applyBorder="1" applyAlignment="1">
      <alignment horizontal="center" vertical="center" wrapText="1"/>
    </xf>
    <xf numFmtId="0" fontId="7" fillId="2" borderId="2" xfId="0" applyFont="1" applyFill="1" applyBorder="1" applyAlignment="1">
      <alignment horizontal="left" vertical="center" wrapText="1"/>
    </xf>
    <xf numFmtId="4" fontId="7" fillId="2" borderId="4" xfId="0" applyNumberFormat="1" applyFont="1" applyFill="1" applyBorder="1" applyAlignment="1">
      <alignment horizontal="left" vertical="center" wrapText="1"/>
    </xf>
    <xf numFmtId="4" fontId="6" fillId="2" borderId="3" xfId="0" applyNumberFormat="1" applyFont="1" applyFill="1" applyBorder="1" applyAlignment="1">
      <alignment horizontal="center" vertical="center" wrapText="1"/>
    </xf>
    <xf numFmtId="4" fontId="7" fillId="2" borderId="4" xfId="0" applyNumberFormat="1" applyFont="1" applyFill="1" applyBorder="1" applyAlignment="1">
      <alignment horizontal="center" vertical="center" wrapText="1"/>
    </xf>
    <xf numFmtId="4" fontId="6" fillId="2" borderId="4" xfId="0" applyNumberFormat="1" applyFont="1" applyFill="1" applyBorder="1" applyAlignment="1">
      <alignment horizontal="left" vertical="center" wrapText="1"/>
    </xf>
    <xf numFmtId="0" fontId="9" fillId="2" borderId="3" xfId="0" applyFont="1" applyFill="1" applyBorder="1"/>
    <xf numFmtId="0" fontId="7" fillId="2" borderId="4" xfId="0" applyFont="1" applyFill="1" applyBorder="1" applyAlignment="1">
      <alignment horizontal="left" vertical="center" wrapText="1"/>
    </xf>
    <xf numFmtId="0" fontId="9" fillId="2" borderId="4" xfId="0" applyFont="1" applyFill="1" applyBorder="1"/>
    <xf numFmtId="4" fontId="7" fillId="2" borderId="5" xfId="0" applyNumberFormat="1" applyFont="1" applyFill="1" applyBorder="1" applyAlignment="1">
      <alignment horizontal="center" vertical="center" wrapText="1"/>
    </xf>
    <xf numFmtId="4" fontId="6" fillId="2" borderId="5" xfId="0" applyNumberFormat="1" applyFont="1" applyFill="1" applyBorder="1" applyAlignment="1">
      <alignment horizontal="left" vertical="center" wrapText="1"/>
    </xf>
    <xf numFmtId="4" fontId="4" fillId="2" borderId="3" xfId="0" applyNumberFormat="1" applyFont="1" applyFill="1" applyBorder="1" applyAlignment="1">
      <alignment horizontal="center" vertical="center" wrapText="1"/>
    </xf>
    <xf numFmtId="4" fontId="4" fillId="2" borderId="1" xfId="0" applyNumberFormat="1" applyFont="1" applyFill="1" applyBorder="1" applyAlignment="1">
      <alignment horizontal="center" vertical="center" wrapText="1"/>
    </xf>
    <xf numFmtId="4" fontId="4" fillId="2" borderId="2" xfId="0" applyNumberFormat="1" applyFont="1" applyFill="1" applyBorder="1" applyAlignment="1">
      <alignment horizontal="center" vertical="center" wrapText="1"/>
    </xf>
    <xf numFmtId="4" fontId="5" fillId="2" borderId="0" xfId="0" applyNumberFormat="1" applyFont="1" applyFill="1"/>
    <xf numFmtId="0" fontId="5" fillId="2" borderId="0" xfId="0" applyFont="1" applyFill="1" applyAlignment="1">
      <alignment horizontal="left"/>
    </xf>
    <xf numFmtId="2" fontId="5" fillId="2" borderId="0" xfId="0" applyNumberFormat="1" applyFont="1" applyFill="1"/>
    <xf numFmtId="0" fontId="10" fillId="4" borderId="4"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10" fillId="4" borderId="5" xfId="0" applyFont="1" applyFill="1" applyBorder="1" applyAlignment="1">
      <alignment horizontal="center" vertical="center" wrapText="1"/>
    </xf>
    <xf numFmtId="0" fontId="10" fillId="4" borderId="4" xfId="0" applyFont="1" applyFill="1" applyBorder="1" applyAlignment="1">
      <alignment horizontal="left" vertical="center" wrapText="1"/>
    </xf>
    <xf numFmtId="0" fontId="10" fillId="5" borderId="4" xfId="0" applyFont="1" applyFill="1" applyBorder="1" applyAlignment="1">
      <alignment horizontal="center" vertical="center"/>
    </xf>
    <xf numFmtId="4" fontId="10" fillId="5" borderId="4" xfId="0" applyNumberFormat="1" applyFont="1" applyFill="1" applyBorder="1" applyAlignment="1">
      <alignment horizontal="center" vertical="center" wrapText="1"/>
    </xf>
    <xf numFmtId="0" fontId="6" fillId="6" borderId="4" xfId="0" applyFont="1" applyFill="1" applyBorder="1" applyAlignment="1">
      <alignment horizontal="center" vertical="center"/>
    </xf>
    <xf numFmtId="0" fontId="7" fillId="6" borderId="2" xfId="0" applyFont="1" applyFill="1" applyBorder="1" applyAlignment="1">
      <alignment horizontal="left" vertical="center" wrapText="1"/>
    </xf>
    <xf numFmtId="4" fontId="7" fillId="6" borderId="4" xfId="0" applyNumberFormat="1" applyFont="1" applyFill="1" applyBorder="1" applyAlignment="1">
      <alignment horizontal="left" vertical="center" wrapText="1"/>
    </xf>
    <xf numFmtId="4" fontId="7" fillId="6" borderId="4" xfId="0" applyNumberFormat="1" applyFont="1" applyFill="1" applyBorder="1" applyAlignment="1">
      <alignment horizontal="center" vertical="center" wrapText="1"/>
    </xf>
    <xf numFmtId="4" fontId="6" fillId="6" borderId="4" xfId="0" applyNumberFormat="1" applyFont="1" applyFill="1" applyBorder="1" applyAlignment="1">
      <alignment horizontal="center" vertical="center" wrapText="1"/>
    </xf>
    <xf numFmtId="4" fontId="6" fillId="6" borderId="4" xfId="0" applyNumberFormat="1" applyFont="1" applyFill="1" applyBorder="1" applyAlignment="1">
      <alignment horizontal="left" vertical="center" wrapText="1"/>
    </xf>
    <xf numFmtId="0" fontId="9" fillId="6" borderId="3" xfId="0" applyFont="1" applyFill="1" applyBorder="1"/>
    <xf numFmtId="4" fontId="10" fillId="5" borderId="3" xfId="0" applyNumberFormat="1" applyFont="1" applyFill="1" applyBorder="1" applyAlignment="1">
      <alignment horizontal="center" vertical="center" wrapText="1"/>
    </xf>
    <xf numFmtId="0" fontId="7" fillId="6" borderId="4" xfId="0" applyFont="1" applyFill="1" applyBorder="1" applyAlignment="1">
      <alignment horizontal="left" vertical="center" wrapText="1"/>
    </xf>
    <xf numFmtId="49" fontId="6" fillId="2" borderId="4" xfId="0" applyNumberFormat="1" applyFont="1" applyFill="1" applyBorder="1" applyAlignment="1">
      <alignment horizontal="center" vertical="center" wrapText="1"/>
    </xf>
    <xf numFmtId="0" fontId="7" fillId="2" borderId="4" xfId="0" applyFont="1" applyFill="1" applyBorder="1" applyAlignment="1">
      <alignment horizontal="center" vertical="center" wrapText="1"/>
    </xf>
    <xf numFmtId="49" fontId="8" fillId="6" borderId="4" xfId="0" applyNumberFormat="1" applyFont="1" applyFill="1" applyBorder="1" applyAlignment="1">
      <alignment horizontal="center" vertical="center" wrapText="1"/>
    </xf>
    <xf numFmtId="0" fontId="7" fillId="6" borderId="4" xfId="0" applyFont="1" applyFill="1" applyBorder="1" applyAlignment="1">
      <alignment horizontal="center" vertical="center" wrapText="1"/>
    </xf>
    <xf numFmtId="4" fontId="7" fillId="6" borderId="5" xfId="0" applyNumberFormat="1" applyFont="1" applyFill="1" applyBorder="1" applyAlignment="1">
      <alignment horizontal="center" vertical="center" wrapText="1"/>
    </xf>
    <xf numFmtId="49" fontId="6" fillId="6" borderId="4" xfId="0" applyNumberFormat="1" applyFont="1" applyFill="1" applyBorder="1" applyAlignment="1">
      <alignment horizontal="center" vertical="center" wrapText="1"/>
    </xf>
    <xf numFmtId="4" fontId="6" fillId="6" borderId="5" xfId="0" applyNumberFormat="1" applyFont="1" applyFill="1" applyBorder="1" applyAlignment="1">
      <alignment horizontal="center" vertical="center" wrapText="1"/>
    </xf>
    <xf numFmtId="4" fontId="4" fillId="2" borderId="10" xfId="0" applyNumberFormat="1" applyFont="1" applyFill="1" applyBorder="1" applyAlignment="1">
      <alignment vertical="center" wrapText="1"/>
    </xf>
    <xf numFmtId="4" fontId="4" fillId="2" borderId="11" xfId="0" applyNumberFormat="1" applyFont="1" applyFill="1" applyBorder="1" applyAlignment="1">
      <alignment vertical="center" wrapText="1"/>
    </xf>
    <xf numFmtId="49" fontId="6" fillId="6" borderId="5" xfId="0" applyNumberFormat="1" applyFont="1" applyFill="1" applyBorder="1" applyAlignment="1">
      <alignment horizontal="center" vertical="center" wrapText="1"/>
    </xf>
    <xf numFmtId="4" fontId="4" fillId="2" borderId="1" xfId="0" applyNumberFormat="1" applyFont="1" applyFill="1" applyBorder="1" applyAlignment="1">
      <alignment vertical="center" wrapText="1"/>
    </xf>
    <xf numFmtId="4" fontId="4" fillId="2" borderId="2" xfId="0" applyNumberFormat="1" applyFont="1" applyFill="1" applyBorder="1" applyAlignment="1">
      <alignment vertical="center" wrapText="1"/>
    </xf>
    <xf numFmtId="0" fontId="5" fillId="2" borderId="0" xfId="0" applyFont="1" applyFill="1" applyAlignment="1">
      <alignment horizontal="center"/>
    </xf>
    <xf numFmtId="4" fontId="4" fillId="2" borderId="7" xfId="0" applyNumberFormat="1" applyFont="1" applyFill="1" applyBorder="1" applyAlignment="1">
      <alignment horizontal="center" vertical="center" wrapText="1"/>
    </xf>
    <xf numFmtId="0" fontId="7" fillId="2" borderId="6" xfId="0" applyFont="1" applyFill="1" applyBorder="1"/>
    <xf numFmtId="0" fontId="7" fillId="2" borderId="7" xfId="0" applyFont="1" applyFill="1" applyBorder="1"/>
    <xf numFmtId="2" fontId="5" fillId="2" borderId="0" xfId="0" applyNumberFormat="1" applyFont="1" applyFill="1" applyAlignment="1">
      <alignment horizontal="left"/>
    </xf>
    <xf numFmtId="4" fontId="7" fillId="2" borderId="2" xfId="0" applyNumberFormat="1" applyFont="1" applyFill="1" applyBorder="1" applyAlignment="1">
      <alignment horizontal="center" vertical="center" wrapText="1"/>
    </xf>
    <xf numFmtId="0" fontId="7" fillId="6" borderId="3" xfId="0" applyFont="1" applyFill="1" applyBorder="1" applyAlignment="1">
      <alignment horizontal="left" vertical="center" wrapText="1"/>
    </xf>
    <xf numFmtId="0" fontId="9" fillId="6" borderId="3" xfId="0" applyFont="1" applyFill="1" applyBorder="1" applyAlignment="1">
      <alignment horizontal="center" vertical="center"/>
    </xf>
    <xf numFmtId="0" fontId="7" fillId="0" borderId="4" xfId="0" applyFont="1" applyFill="1" applyBorder="1" applyAlignment="1">
      <alignment horizontal="left" vertical="center" wrapText="1"/>
    </xf>
    <xf numFmtId="4" fontId="7" fillId="0" borderId="4" xfId="0" applyNumberFormat="1" applyFont="1" applyFill="1" applyBorder="1" applyAlignment="1">
      <alignment horizontal="center" vertical="center" wrapText="1"/>
    </xf>
    <xf numFmtId="4" fontId="6" fillId="0" borderId="4" xfId="0" applyNumberFormat="1" applyFont="1" applyFill="1" applyBorder="1" applyAlignment="1">
      <alignment horizontal="center" vertical="center" wrapText="1"/>
    </xf>
    <xf numFmtId="4" fontId="6" fillId="0" borderId="4" xfId="0" applyNumberFormat="1" applyFont="1" applyFill="1" applyBorder="1" applyAlignment="1">
      <alignment horizontal="left" vertical="center" wrapText="1"/>
    </xf>
    <xf numFmtId="4" fontId="7" fillId="6" borderId="7" xfId="0" applyNumberFormat="1" applyFont="1" applyFill="1" applyBorder="1"/>
    <xf numFmtId="4" fontId="8" fillId="2" borderId="3" xfId="0" applyNumberFormat="1" applyFont="1" applyFill="1" applyBorder="1" applyAlignment="1">
      <alignment horizontal="center" vertical="center" wrapText="1"/>
    </xf>
    <xf numFmtId="0" fontId="10" fillId="5" borderId="1" xfId="0" applyFont="1" applyFill="1" applyBorder="1" applyAlignment="1">
      <alignment horizontal="left" vertical="center" wrapText="1"/>
    </xf>
    <xf numFmtId="4" fontId="6" fillId="2" borderId="5" xfId="0" applyNumberFormat="1" applyFont="1" applyFill="1" applyBorder="1" applyAlignment="1">
      <alignment horizontal="center" vertical="center" wrapText="1"/>
    </xf>
    <xf numFmtId="0" fontId="14" fillId="7" borderId="0" xfId="0" applyFont="1" applyFill="1"/>
    <xf numFmtId="0" fontId="7" fillId="2" borderId="1" xfId="0" applyFont="1" applyFill="1" applyBorder="1" applyAlignment="1">
      <alignment horizontal="left" vertical="center" wrapText="1"/>
    </xf>
    <xf numFmtId="4" fontId="6" fillId="2" borderId="1" xfId="0" applyNumberFormat="1" applyFont="1" applyFill="1" applyBorder="1" applyAlignment="1">
      <alignment horizontal="center" vertical="center" wrapText="1"/>
    </xf>
    <xf numFmtId="0" fontId="7" fillId="2" borderId="4" xfId="0" applyFont="1" applyFill="1" applyBorder="1"/>
    <xf numFmtId="4" fontId="7" fillId="6" borderId="4" xfId="0" applyNumberFormat="1" applyFont="1" applyFill="1" applyBorder="1"/>
    <xf numFmtId="4" fontId="6" fillId="6" borderId="7" xfId="0" applyNumberFormat="1" applyFont="1" applyFill="1" applyBorder="1" applyAlignment="1">
      <alignment horizontal="center" vertical="center" wrapText="1"/>
    </xf>
    <xf numFmtId="4" fontId="6" fillId="2" borderId="7" xfId="0" applyNumberFormat="1" applyFont="1" applyFill="1" applyBorder="1" applyAlignment="1">
      <alignment horizontal="center" vertical="center" wrapText="1"/>
    </xf>
    <xf numFmtId="0" fontId="7" fillId="2" borderId="3" xfId="0" applyFont="1" applyFill="1" applyBorder="1"/>
    <xf numFmtId="0" fontId="7" fillId="6" borderId="4" xfId="0" applyFont="1" applyFill="1" applyBorder="1" applyAlignment="1">
      <alignment horizontal="center" vertical="center"/>
    </xf>
    <xf numFmtId="4" fontId="7" fillId="2" borderId="7" xfId="0" applyNumberFormat="1" applyFont="1" applyFill="1" applyBorder="1"/>
    <xf numFmtId="4" fontId="6" fillId="6" borderId="3" xfId="0" applyNumberFormat="1" applyFont="1" applyFill="1" applyBorder="1" applyAlignment="1">
      <alignment horizontal="center" vertical="center" wrapText="1"/>
    </xf>
    <xf numFmtId="4" fontId="8" fillId="6" borderId="3" xfId="0" applyNumberFormat="1" applyFont="1" applyFill="1" applyBorder="1" applyAlignment="1">
      <alignment horizontal="center" vertical="center" wrapText="1"/>
    </xf>
    <xf numFmtId="0" fontId="4" fillId="6" borderId="4" xfId="0" applyFont="1" applyFill="1" applyBorder="1" applyAlignment="1">
      <alignment horizontal="left" vertical="center" wrapText="1"/>
    </xf>
    <xf numFmtId="4" fontId="7" fillId="2" borderId="4" xfId="0" applyNumberFormat="1" applyFont="1" applyFill="1" applyBorder="1"/>
    <xf numFmtId="4" fontId="7" fillId="6" borderId="3" xfId="0" applyNumberFormat="1" applyFont="1" applyFill="1" applyBorder="1" applyAlignment="1">
      <alignment horizontal="center" vertical="center" wrapText="1"/>
    </xf>
    <xf numFmtId="4" fontId="13" fillId="6" borderId="3" xfId="0" applyNumberFormat="1" applyFont="1" applyFill="1" applyBorder="1" applyAlignment="1">
      <alignment horizontal="center" vertical="center" wrapText="1"/>
    </xf>
    <xf numFmtId="0" fontId="9" fillId="6" borderId="4" xfId="0" applyFont="1" applyFill="1" applyBorder="1" applyAlignment="1">
      <alignment horizontal="center" vertical="center" wrapText="1"/>
    </xf>
    <xf numFmtId="4" fontId="6" fillId="2" borderId="9" xfId="0" applyNumberFormat="1" applyFont="1" applyFill="1" applyBorder="1" applyAlignment="1">
      <alignment horizontal="center" vertical="center" wrapText="1"/>
    </xf>
    <xf numFmtId="4" fontId="6" fillId="2" borderId="11" xfId="0" applyNumberFormat="1" applyFont="1" applyFill="1" applyBorder="1" applyAlignment="1">
      <alignment horizontal="center" vertical="center" wrapText="1"/>
    </xf>
    <xf numFmtId="0" fontId="7" fillId="0" borderId="4" xfId="0" applyFont="1" applyFill="1" applyBorder="1" applyAlignment="1">
      <alignment horizontal="center" vertical="center"/>
    </xf>
    <xf numFmtId="4" fontId="7" fillId="0" borderId="4" xfId="0" applyNumberFormat="1" applyFont="1" applyFill="1" applyBorder="1" applyAlignment="1">
      <alignment horizontal="left" vertical="center" wrapText="1"/>
    </xf>
    <xf numFmtId="49" fontId="8" fillId="0" borderId="4" xfId="0" applyNumberFormat="1" applyFont="1" applyFill="1" applyBorder="1" applyAlignment="1">
      <alignment horizontal="center" vertical="center" wrapText="1"/>
    </xf>
    <xf numFmtId="0" fontId="7" fillId="0" borderId="4" xfId="0" applyFont="1" applyFill="1" applyBorder="1" applyAlignment="1">
      <alignment horizontal="center" vertical="center" wrapText="1"/>
    </xf>
    <xf numFmtId="4" fontId="7" fillId="0" borderId="5" xfId="0" applyNumberFormat="1" applyFont="1" applyFill="1" applyBorder="1" applyAlignment="1">
      <alignment horizontal="center" vertical="center" wrapText="1"/>
    </xf>
    <xf numFmtId="49" fontId="6" fillId="0" borderId="4" xfId="0" applyNumberFormat="1" applyFont="1" applyFill="1" applyBorder="1" applyAlignment="1">
      <alignment horizontal="center" vertical="center" wrapText="1"/>
    </xf>
    <xf numFmtId="4" fontId="6" fillId="0" borderId="5" xfId="0" applyNumberFormat="1" applyFont="1" applyFill="1" applyBorder="1" applyAlignment="1">
      <alignment horizontal="center" vertical="center" wrapText="1"/>
    </xf>
    <xf numFmtId="0" fontId="7" fillId="0" borderId="3" xfId="0" applyFont="1" applyFill="1" applyBorder="1" applyAlignment="1">
      <alignment horizontal="left" vertical="center" wrapText="1"/>
    </xf>
    <xf numFmtId="49" fontId="6" fillId="6" borderId="1" xfId="0" applyNumberFormat="1" applyFont="1" applyFill="1" applyBorder="1" applyAlignment="1">
      <alignment horizontal="center" vertical="center" wrapText="1"/>
    </xf>
    <xf numFmtId="4" fontId="7" fillId="6" borderId="1" xfId="0" applyNumberFormat="1" applyFont="1" applyFill="1" applyBorder="1" applyAlignment="1">
      <alignment horizontal="center" vertical="center" wrapText="1"/>
    </xf>
    <xf numFmtId="4" fontId="6" fillId="6" borderId="1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10" fillId="5" borderId="1" xfId="0" applyFont="1" applyFill="1" applyBorder="1" applyAlignment="1">
      <alignment horizontal="left" vertical="center" wrapText="1"/>
    </xf>
    <xf numFmtId="0" fontId="10" fillId="5" borderId="4" xfId="0" applyFont="1" applyFill="1" applyBorder="1" applyAlignment="1">
      <alignment horizontal="center" vertical="center" wrapText="1"/>
    </xf>
    <xf numFmtId="0" fontId="12" fillId="2" borderId="8" xfId="0" applyFont="1" applyFill="1" applyBorder="1" applyAlignment="1">
      <alignment horizontal="left" vertical="center"/>
    </xf>
    <xf numFmtId="0" fontId="10" fillId="8" borderId="3" xfId="0" applyFont="1" applyFill="1" applyBorder="1" applyAlignment="1">
      <alignment horizontal="right" vertical="center" wrapText="1"/>
    </xf>
    <xf numFmtId="0" fontId="10" fillId="8" borderId="1" xfId="0" applyFont="1" applyFill="1" applyBorder="1" applyAlignment="1">
      <alignment horizontal="right" vertical="center" wrapText="1"/>
    </xf>
    <xf numFmtId="0" fontId="10" fillId="8" borderId="2" xfId="0" applyFont="1" applyFill="1" applyBorder="1" applyAlignment="1">
      <alignment horizontal="right" vertical="center" wrapText="1"/>
    </xf>
    <xf numFmtId="0" fontId="10" fillId="5" borderId="3"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10" fillId="7" borderId="3" xfId="0" applyFont="1" applyFill="1" applyBorder="1" applyAlignment="1">
      <alignment horizontal="right" vertical="center" wrapText="1"/>
    </xf>
    <xf numFmtId="0" fontId="10" fillId="7" borderId="1" xfId="0" applyFont="1" applyFill="1" applyBorder="1" applyAlignment="1">
      <alignment horizontal="right" vertical="center" wrapText="1"/>
    </xf>
    <xf numFmtId="0" fontId="10" fillId="7" borderId="2" xfId="0" applyFont="1" applyFill="1" applyBorder="1" applyAlignment="1">
      <alignment horizontal="right" vertical="center" wrapText="1"/>
    </xf>
    <xf numFmtId="0" fontId="10" fillId="3" borderId="3" xfId="0" applyFont="1" applyFill="1" applyBorder="1" applyAlignment="1">
      <alignment horizontal="right" vertical="center" wrapText="1"/>
    </xf>
    <xf numFmtId="0" fontId="10" fillId="3" borderId="2" xfId="0" applyFont="1" applyFill="1" applyBorder="1" applyAlignment="1">
      <alignment horizontal="right" vertical="center" wrapText="1"/>
    </xf>
    <xf numFmtId="0" fontId="10" fillId="3" borderId="4" xfId="0" applyFont="1" applyFill="1" applyBorder="1" applyAlignment="1">
      <alignment horizontal="right" vertical="center" wrapText="1"/>
    </xf>
    <xf numFmtId="0" fontId="4" fillId="5" borderId="4"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7" fillId="2" borderId="8" xfId="0" applyFont="1" applyFill="1" applyBorder="1" applyAlignment="1">
      <alignment horizontal="left" vertical="center" wrapText="1"/>
    </xf>
    <xf numFmtId="0" fontId="7" fillId="2" borderId="0" xfId="0" applyFont="1" applyFill="1" applyBorder="1" applyAlignment="1">
      <alignment horizontal="left" vertical="center" wrapText="1"/>
    </xf>
    <xf numFmtId="4" fontId="6" fillId="2" borderId="4" xfId="0" applyNumberFormat="1" applyFont="1" applyFill="1" applyBorder="1" applyAlignment="1">
      <alignment horizontal="center" vertical="center" wrapText="1"/>
    </xf>
    <xf numFmtId="0" fontId="10" fillId="7" borderId="4" xfId="0" applyFont="1" applyFill="1" applyBorder="1" applyAlignment="1">
      <alignment horizontal="right" vertical="center" wrapText="1"/>
    </xf>
    <xf numFmtId="4" fontId="6" fillId="2" borderId="5" xfId="0" applyNumberFormat="1" applyFont="1" applyFill="1" applyBorder="1" applyAlignment="1">
      <alignment horizontal="center" vertical="center" wrapText="1"/>
    </xf>
    <xf numFmtId="4" fontId="6" fillId="2" borderId="9" xfId="0" applyNumberFormat="1" applyFont="1" applyFill="1" applyBorder="1" applyAlignment="1">
      <alignment horizontal="center" vertical="center" wrapText="1"/>
    </xf>
    <xf numFmtId="0" fontId="10" fillId="3" borderId="1" xfId="0" applyFont="1" applyFill="1" applyBorder="1" applyAlignment="1">
      <alignment horizontal="right" vertical="center" wrapText="1"/>
    </xf>
  </cellXfs>
  <cellStyles count="7">
    <cellStyle name="Milliers 2" xfId="2"/>
    <cellStyle name="Milliers 5" xfId="4"/>
    <cellStyle name="Normal" xfId="0" builtinId="0"/>
    <cellStyle name="Normal 2" xfId="1"/>
    <cellStyle name="Normal 2 2" xfId="3"/>
    <cellStyle name="Normal 3" xfId="6"/>
    <cellStyle name="Normal 5" xfId="5"/>
  </cellStyles>
  <dxfs count="0"/>
  <tableStyles count="0" defaultTableStyle="TableStyleMedium2" defaultPivotStyle="PivotStyleMedium9"/>
  <colors>
    <mruColors>
      <color rgb="FF960000"/>
      <color rgb="FFFFFFCC"/>
      <color rgb="FFD5E7FF"/>
      <color rgb="FFF2DCDB"/>
      <color rgb="FFFDE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8"/>
  <sheetViews>
    <sheetView topLeftCell="A32" zoomScale="60" zoomScaleNormal="60" workbookViewId="0">
      <selection activeCell="E50" sqref="D50:E52"/>
    </sheetView>
  </sheetViews>
  <sheetFormatPr baseColWidth="10" defaultColWidth="11.42578125" defaultRowHeight="14.25"/>
  <cols>
    <col min="1" max="1" width="11.5703125" style="1" customWidth="1"/>
    <col min="2" max="2" width="131.28515625" style="1" customWidth="1"/>
    <col min="3" max="3" width="51.28515625" style="1" hidden="1" customWidth="1"/>
    <col min="4" max="8" width="23.85546875" style="1" customWidth="1"/>
    <col min="9" max="9" width="16" style="1" customWidth="1"/>
    <col min="10" max="10" width="21.28515625" style="1" customWidth="1"/>
    <col min="11" max="11" width="21.5703125" style="1" customWidth="1"/>
    <col min="12" max="12" width="14.42578125" style="1" customWidth="1"/>
    <col min="13" max="13" width="25.85546875" style="1" customWidth="1"/>
    <col min="14" max="14" width="134.85546875" style="20" customWidth="1"/>
    <col min="15" max="16384" width="11.42578125" style="1"/>
  </cols>
  <sheetData>
    <row r="1" spans="1:14" ht="45" customHeight="1">
      <c r="A1" s="109" t="s">
        <v>63</v>
      </c>
      <c r="B1" s="110"/>
      <c r="C1" s="95">
        <v>2026</v>
      </c>
      <c r="D1" s="95"/>
      <c r="E1" s="95"/>
      <c r="F1" s="95"/>
      <c r="G1" s="95"/>
      <c r="H1" s="95"/>
      <c r="I1" s="95"/>
      <c r="J1" s="95"/>
      <c r="K1" s="95"/>
      <c r="L1" s="95"/>
      <c r="M1" s="95"/>
      <c r="N1" s="96"/>
    </row>
    <row r="2" spans="1:14" ht="45" customHeight="1">
      <c r="A2" s="111" t="s">
        <v>11</v>
      </c>
      <c r="B2" s="111"/>
      <c r="C2" s="95" t="s">
        <v>84</v>
      </c>
      <c r="D2" s="95"/>
      <c r="E2" s="95"/>
      <c r="F2" s="95"/>
      <c r="G2" s="95"/>
      <c r="H2" s="95"/>
      <c r="I2" s="95"/>
      <c r="J2" s="95"/>
      <c r="K2" s="95"/>
      <c r="L2" s="95"/>
      <c r="M2" s="95"/>
      <c r="N2" s="96"/>
    </row>
    <row r="3" spans="1:14" ht="102.75" customHeight="1">
      <c r="A3" s="22" t="s">
        <v>18</v>
      </c>
      <c r="B3" s="23" t="s">
        <v>0</v>
      </c>
      <c r="C3" s="22" t="s">
        <v>5</v>
      </c>
      <c r="D3" s="22" t="s">
        <v>35</v>
      </c>
      <c r="E3" s="22" t="s">
        <v>132</v>
      </c>
      <c r="F3" s="24" t="s">
        <v>12</v>
      </c>
      <c r="G3" s="24" t="s">
        <v>133</v>
      </c>
      <c r="H3" s="22" t="s">
        <v>85</v>
      </c>
      <c r="I3" s="22" t="s">
        <v>2</v>
      </c>
      <c r="J3" s="22" t="s">
        <v>6</v>
      </c>
      <c r="K3" s="22" t="s">
        <v>1</v>
      </c>
      <c r="L3" s="22" t="s">
        <v>19</v>
      </c>
      <c r="M3" s="22" t="s">
        <v>7</v>
      </c>
      <c r="N3" s="25" t="s">
        <v>10</v>
      </c>
    </row>
    <row r="4" spans="1:14" ht="60" customHeight="1">
      <c r="A4" s="26" t="s">
        <v>22</v>
      </c>
      <c r="B4" s="97" t="s">
        <v>26</v>
      </c>
      <c r="C4" s="97"/>
      <c r="D4" s="97"/>
      <c r="E4" s="63"/>
      <c r="F4" s="27">
        <f>SUM(D5:D9)</f>
        <v>28</v>
      </c>
      <c r="G4" s="35">
        <f>F4*1.2</f>
        <v>33.6</v>
      </c>
      <c r="H4" s="35"/>
      <c r="I4" s="103"/>
      <c r="J4" s="104"/>
      <c r="K4" s="104"/>
      <c r="L4" s="104"/>
      <c r="M4" s="104"/>
      <c r="N4" s="105"/>
    </row>
    <row r="5" spans="1:14" ht="60" customHeight="1">
      <c r="A5" s="4">
        <v>1</v>
      </c>
      <c r="B5" s="6" t="s">
        <v>140</v>
      </c>
      <c r="C5" s="9"/>
      <c r="D5" s="5">
        <v>11</v>
      </c>
      <c r="E5" s="71">
        <f>D5*1.2</f>
        <v>13.2</v>
      </c>
      <c r="F5" s="52"/>
      <c r="G5" s="52"/>
      <c r="H5" s="8"/>
      <c r="I5" s="9" t="s">
        <v>4</v>
      </c>
      <c r="J5" s="9" t="s">
        <v>150</v>
      </c>
      <c r="K5" s="9" t="s">
        <v>151</v>
      </c>
      <c r="L5" s="9" t="s">
        <v>152</v>
      </c>
      <c r="M5" s="5" t="s">
        <v>8</v>
      </c>
      <c r="N5" s="10" t="s">
        <v>141</v>
      </c>
    </row>
    <row r="6" spans="1:14" ht="60" customHeight="1">
      <c r="A6" s="28">
        <v>2</v>
      </c>
      <c r="B6" s="29" t="s">
        <v>44</v>
      </c>
      <c r="C6" s="31"/>
      <c r="D6" s="32">
        <v>5</v>
      </c>
      <c r="E6" s="70">
        <f>D6*1.2</f>
        <v>6</v>
      </c>
      <c r="F6" s="61"/>
      <c r="G6" s="61"/>
      <c r="H6" s="61"/>
      <c r="I6" s="31" t="s">
        <v>4</v>
      </c>
      <c r="J6" s="31" t="s">
        <v>150</v>
      </c>
      <c r="K6" s="31" t="s">
        <v>153</v>
      </c>
      <c r="L6" s="31" t="s">
        <v>152</v>
      </c>
      <c r="M6" s="32" t="s">
        <v>8</v>
      </c>
      <c r="N6" s="33" t="s">
        <v>52</v>
      </c>
    </row>
    <row r="7" spans="1:14" ht="60" customHeight="1">
      <c r="A7" s="4">
        <v>3</v>
      </c>
      <c r="B7" s="6" t="s">
        <v>91</v>
      </c>
      <c r="C7" s="9"/>
      <c r="D7" s="5">
        <v>6</v>
      </c>
      <c r="E7" s="71">
        <f>D7*1.2</f>
        <v>7.1999999999999993</v>
      </c>
      <c r="F7" s="52"/>
      <c r="G7" s="52"/>
      <c r="H7" s="8"/>
      <c r="I7" s="9" t="s">
        <v>4</v>
      </c>
      <c r="J7" s="9" t="s">
        <v>154</v>
      </c>
      <c r="K7" s="9" t="s">
        <v>153</v>
      </c>
      <c r="L7" s="9" t="s">
        <v>152</v>
      </c>
      <c r="M7" s="5" t="s">
        <v>8</v>
      </c>
      <c r="N7" s="10" t="s">
        <v>90</v>
      </c>
    </row>
    <row r="8" spans="1:14" ht="60" customHeight="1">
      <c r="A8" s="28">
        <v>4</v>
      </c>
      <c r="B8" s="29" t="s">
        <v>56</v>
      </c>
      <c r="C8" s="31"/>
      <c r="D8" s="32">
        <v>2</v>
      </c>
      <c r="E8" s="70">
        <f>D8*1.2</f>
        <v>2.4</v>
      </c>
      <c r="F8" s="61"/>
      <c r="G8" s="61"/>
      <c r="H8" s="61"/>
      <c r="I8" s="31" t="s">
        <v>4</v>
      </c>
      <c r="J8" s="31" t="s">
        <v>150</v>
      </c>
      <c r="K8" s="31" t="s">
        <v>153</v>
      </c>
      <c r="L8" s="31" t="s">
        <v>152</v>
      </c>
      <c r="M8" s="32" t="s">
        <v>8</v>
      </c>
      <c r="N8" s="33" t="s">
        <v>53</v>
      </c>
    </row>
    <row r="9" spans="1:14" ht="60" customHeight="1">
      <c r="A9" s="4">
        <v>5</v>
      </c>
      <c r="B9" s="66" t="s">
        <v>95</v>
      </c>
      <c r="C9" s="9"/>
      <c r="D9" s="5">
        <v>4</v>
      </c>
      <c r="E9" s="71">
        <f>D9*1.2</f>
        <v>4.8</v>
      </c>
      <c r="F9" s="52"/>
      <c r="G9" s="52"/>
      <c r="H9" s="8"/>
      <c r="I9" s="9" t="s">
        <v>4</v>
      </c>
      <c r="J9" s="9" t="s">
        <v>150</v>
      </c>
      <c r="K9" s="9" t="s">
        <v>153</v>
      </c>
      <c r="L9" s="9" t="s">
        <v>152</v>
      </c>
      <c r="M9" s="5" t="s">
        <v>8</v>
      </c>
      <c r="N9" s="10" t="s">
        <v>96</v>
      </c>
    </row>
    <row r="10" spans="1:14" ht="60" customHeight="1">
      <c r="A10" s="26" t="s">
        <v>23</v>
      </c>
      <c r="B10" s="97" t="s">
        <v>27</v>
      </c>
      <c r="C10" s="97"/>
      <c r="D10" s="97"/>
      <c r="E10" s="63"/>
      <c r="F10" s="35">
        <f>SUM(D11:D21)</f>
        <v>36.233333333333334</v>
      </c>
      <c r="G10" s="35">
        <f>F10*1.2</f>
        <v>43.48</v>
      </c>
      <c r="H10" s="35"/>
      <c r="I10" s="98"/>
      <c r="J10" s="98"/>
      <c r="K10" s="98"/>
      <c r="L10" s="98"/>
      <c r="M10" s="98"/>
      <c r="N10" s="98"/>
    </row>
    <row r="11" spans="1:14" ht="60" customHeight="1">
      <c r="A11" s="4">
        <v>6</v>
      </c>
      <c r="B11" s="6" t="s">
        <v>116</v>
      </c>
      <c r="C11" s="9"/>
      <c r="D11" s="5">
        <v>6</v>
      </c>
      <c r="E11" s="5">
        <f t="shared" ref="E11:E36" si="0">D11*1.2</f>
        <v>7.1999999999999993</v>
      </c>
      <c r="F11" s="68"/>
      <c r="G11" s="72"/>
      <c r="H11" s="62"/>
      <c r="I11" s="9" t="s">
        <v>4</v>
      </c>
      <c r="J11" s="9" t="s">
        <v>150</v>
      </c>
      <c r="K11" s="9" t="s">
        <v>155</v>
      </c>
      <c r="L11" s="9" t="s">
        <v>152</v>
      </c>
      <c r="M11" s="5" t="s">
        <v>8</v>
      </c>
      <c r="N11" s="10" t="s">
        <v>117</v>
      </c>
    </row>
    <row r="12" spans="1:14" ht="60" customHeight="1">
      <c r="A12" s="28">
        <v>7</v>
      </c>
      <c r="B12" s="29" t="s">
        <v>118</v>
      </c>
      <c r="C12" s="31"/>
      <c r="D12" s="32">
        <f>0.5-'Bons de commande '!D14/1000000</f>
        <v>0.33333333333333331</v>
      </c>
      <c r="E12" s="32">
        <f t="shared" si="0"/>
        <v>0.39999999999999997</v>
      </c>
      <c r="F12" s="69"/>
      <c r="G12" s="61"/>
      <c r="H12" s="61"/>
      <c r="I12" s="31" t="s">
        <v>4</v>
      </c>
      <c r="J12" s="31" t="s">
        <v>150</v>
      </c>
      <c r="K12" s="31" t="s">
        <v>155</v>
      </c>
      <c r="L12" s="31" t="s">
        <v>152</v>
      </c>
      <c r="M12" s="32" t="s">
        <v>9</v>
      </c>
      <c r="N12" s="33" t="s">
        <v>119</v>
      </c>
    </row>
    <row r="13" spans="1:14" ht="60" customHeight="1">
      <c r="A13" s="4">
        <v>8</v>
      </c>
      <c r="B13" s="6" t="s">
        <v>130</v>
      </c>
      <c r="C13" s="9"/>
      <c r="D13" s="5">
        <v>0.4</v>
      </c>
      <c r="E13" s="5">
        <f t="shared" si="0"/>
        <v>0.48</v>
      </c>
      <c r="F13" s="68"/>
      <c r="G13" s="72"/>
      <c r="H13" s="62"/>
      <c r="I13" s="9" t="s">
        <v>4</v>
      </c>
      <c r="J13" s="54" t="s">
        <v>154</v>
      </c>
      <c r="K13" s="9" t="s">
        <v>155</v>
      </c>
      <c r="L13" s="9" t="s">
        <v>156</v>
      </c>
      <c r="M13" s="5" t="s">
        <v>9</v>
      </c>
      <c r="N13" s="10" t="s">
        <v>129</v>
      </c>
    </row>
    <row r="14" spans="1:14" s="65" customFormat="1" ht="60" customHeight="1">
      <c r="A14" s="28">
        <v>9</v>
      </c>
      <c r="B14" s="29" t="s">
        <v>123</v>
      </c>
      <c r="C14" s="31" t="s">
        <v>3</v>
      </c>
      <c r="D14" s="32">
        <v>2</v>
      </c>
      <c r="E14" s="32">
        <f t="shared" si="0"/>
        <v>2.4</v>
      </c>
      <c r="F14" s="69"/>
      <c r="G14" s="61"/>
      <c r="H14" s="61"/>
      <c r="I14" s="31" t="s">
        <v>4</v>
      </c>
      <c r="J14" s="31" t="s">
        <v>154</v>
      </c>
      <c r="K14" s="31" t="s">
        <v>155</v>
      </c>
      <c r="L14" s="31" t="s">
        <v>152</v>
      </c>
      <c r="M14" s="32" t="s">
        <v>8</v>
      </c>
      <c r="N14" s="33" t="s">
        <v>122</v>
      </c>
    </row>
    <row r="15" spans="1:14" ht="60" customHeight="1">
      <c r="A15" s="4">
        <v>10</v>
      </c>
      <c r="B15" s="6" t="s">
        <v>92</v>
      </c>
      <c r="C15" s="9"/>
      <c r="D15" s="67">
        <v>5</v>
      </c>
      <c r="E15" s="5">
        <f t="shared" si="0"/>
        <v>6</v>
      </c>
      <c r="F15" s="68"/>
      <c r="G15" s="72"/>
      <c r="H15" s="8"/>
      <c r="I15" s="9" t="s">
        <v>4</v>
      </c>
      <c r="J15" s="9" t="s">
        <v>157</v>
      </c>
      <c r="K15" s="9" t="s">
        <v>155</v>
      </c>
      <c r="L15" s="9" t="s">
        <v>152</v>
      </c>
      <c r="M15" s="5" t="s">
        <v>8</v>
      </c>
      <c r="N15" s="10" t="s">
        <v>124</v>
      </c>
    </row>
    <row r="16" spans="1:14" ht="60" customHeight="1">
      <c r="A16" s="28">
        <v>11</v>
      </c>
      <c r="B16" s="29" t="s">
        <v>93</v>
      </c>
      <c r="C16" s="31"/>
      <c r="D16" s="32">
        <v>2</v>
      </c>
      <c r="E16" s="32">
        <f t="shared" si="0"/>
        <v>2.4</v>
      </c>
      <c r="F16" s="69"/>
      <c r="G16" s="61"/>
      <c r="H16" s="61"/>
      <c r="I16" s="31" t="s">
        <v>4</v>
      </c>
      <c r="J16" s="31" t="s">
        <v>157</v>
      </c>
      <c r="K16" s="31" t="s">
        <v>155</v>
      </c>
      <c r="L16" s="31" t="s">
        <v>152</v>
      </c>
      <c r="M16" s="32" t="s">
        <v>8</v>
      </c>
      <c r="N16" s="33" t="s">
        <v>110</v>
      </c>
    </row>
    <row r="17" spans="1:14" ht="60" customHeight="1">
      <c r="A17" s="4">
        <v>12</v>
      </c>
      <c r="B17" s="12" t="s">
        <v>99</v>
      </c>
      <c r="C17" s="9"/>
      <c r="D17" s="5">
        <v>5</v>
      </c>
      <c r="E17" s="5">
        <f t="shared" si="0"/>
        <v>6</v>
      </c>
      <c r="F17" s="68"/>
      <c r="G17" s="72"/>
      <c r="H17" s="62"/>
      <c r="I17" s="9" t="s">
        <v>4</v>
      </c>
      <c r="J17" s="9" t="s">
        <v>154</v>
      </c>
      <c r="K17" s="9" t="s">
        <v>155</v>
      </c>
      <c r="L17" s="9" t="s">
        <v>152</v>
      </c>
      <c r="M17" s="5" t="s">
        <v>8</v>
      </c>
      <c r="N17" s="10" t="s">
        <v>89</v>
      </c>
    </row>
    <row r="18" spans="1:14" ht="60" customHeight="1">
      <c r="A18" s="28">
        <v>13</v>
      </c>
      <c r="B18" s="29" t="s">
        <v>97</v>
      </c>
      <c r="C18" s="31"/>
      <c r="D18" s="32">
        <v>8</v>
      </c>
      <c r="E18" s="32">
        <f t="shared" si="0"/>
        <v>9.6</v>
      </c>
      <c r="F18" s="69"/>
      <c r="G18" s="61"/>
      <c r="H18" s="61"/>
      <c r="I18" s="31" t="s">
        <v>4</v>
      </c>
      <c r="J18" s="31" t="s">
        <v>150</v>
      </c>
      <c r="K18" s="31" t="s">
        <v>155</v>
      </c>
      <c r="L18" s="31" t="s">
        <v>152</v>
      </c>
      <c r="M18" s="32" t="s">
        <v>8</v>
      </c>
      <c r="N18" s="33" t="s">
        <v>111</v>
      </c>
    </row>
    <row r="19" spans="1:14" ht="60" customHeight="1">
      <c r="A19" s="4">
        <v>14</v>
      </c>
      <c r="B19" s="12" t="s">
        <v>98</v>
      </c>
      <c r="C19" s="9"/>
      <c r="D19" s="5">
        <v>2</v>
      </c>
      <c r="E19" s="5">
        <f t="shared" si="0"/>
        <v>2.4</v>
      </c>
      <c r="F19" s="68"/>
      <c r="G19" s="72"/>
      <c r="H19" s="62"/>
      <c r="I19" s="9" t="s">
        <v>4</v>
      </c>
      <c r="J19" s="9" t="s">
        <v>154</v>
      </c>
      <c r="K19" s="9" t="s">
        <v>155</v>
      </c>
      <c r="L19" s="9" t="s">
        <v>152</v>
      </c>
      <c r="M19" s="5" t="s">
        <v>8</v>
      </c>
      <c r="N19" s="10" t="s">
        <v>128</v>
      </c>
    </row>
    <row r="20" spans="1:14" ht="60" customHeight="1">
      <c r="A20" s="28">
        <v>15</v>
      </c>
      <c r="B20" s="29" t="s">
        <v>100</v>
      </c>
      <c r="C20" s="31"/>
      <c r="D20" s="32">
        <v>2</v>
      </c>
      <c r="E20" s="32">
        <f t="shared" si="0"/>
        <v>2.4</v>
      </c>
      <c r="F20" s="69"/>
      <c r="G20" s="61"/>
      <c r="H20" s="61"/>
      <c r="I20" s="31" t="s">
        <v>4</v>
      </c>
      <c r="J20" s="31" t="s">
        <v>154</v>
      </c>
      <c r="K20" s="31" t="s">
        <v>155</v>
      </c>
      <c r="L20" s="31" t="s">
        <v>152</v>
      </c>
      <c r="M20" s="32" t="s">
        <v>8</v>
      </c>
      <c r="N20" s="33" t="s">
        <v>127</v>
      </c>
    </row>
    <row r="21" spans="1:14" ht="60" customHeight="1">
      <c r="A21" s="4">
        <v>16</v>
      </c>
      <c r="B21" s="12" t="s">
        <v>101</v>
      </c>
      <c r="C21" s="9"/>
      <c r="D21" s="5">
        <v>3.5</v>
      </c>
      <c r="E21" s="5">
        <f t="shared" si="0"/>
        <v>4.2</v>
      </c>
      <c r="F21" s="68"/>
      <c r="G21" s="72"/>
      <c r="H21" s="62"/>
      <c r="I21" s="9" t="s">
        <v>4</v>
      </c>
      <c r="J21" s="9" t="s">
        <v>154</v>
      </c>
      <c r="K21" s="9" t="s">
        <v>158</v>
      </c>
      <c r="L21" s="9" t="s">
        <v>152</v>
      </c>
      <c r="M21" s="5" t="s">
        <v>8</v>
      </c>
      <c r="N21" s="10" t="s">
        <v>126</v>
      </c>
    </row>
    <row r="22" spans="1:14" ht="60" customHeight="1">
      <c r="A22" s="26" t="s">
        <v>24</v>
      </c>
      <c r="B22" s="97" t="s">
        <v>102</v>
      </c>
      <c r="C22" s="97"/>
      <c r="D22" s="97"/>
      <c r="E22" s="63"/>
      <c r="F22" s="35">
        <f>SUM(D23:D26)</f>
        <v>11.5</v>
      </c>
      <c r="G22" s="35">
        <f>F22*1.2</f>
        <v>13.799999999999999</v>
      </c>
      <c r="H22" s="35"/>
      <c r="I22" s="98"/>
      <c r="J22" s="98"/>
      <c r="K22" s="98"/>
      <c r="L22" s="98"/>
      <c r="M22" s="98"/>
      <c r="N22" s="98"/>
    </row>
    <row r="23" spans="1:14" ht="60" customHeight="1">
      <c r="A23" s="28">
        <v>17</v>
      </c>
      <c r="B23" s="29" t="s">
        <v>34</v>
      </c>
      <c r="C23" s="31"/>
      <c r="D23" s="32">
        <v>2</v>
      </c>
      <c r="E23" s="32">
        <f t="shared" si="0"/>
        <v>2.4</v>
      </c>
      <c r="F23" s="69"/>
      <c r="G23" s="61"/>
      <c r="H23" s="61"/>
      <c r="I23" s="31" t="s">
        <v>4</v>
      </c>
      <c r="J23" s="31" t="s">
        <v>154</v>
      </c>
      <c r="K23" s="31" t="s">
        <v>155</v>
      </c>
      <c r="L23" s="31" t="s">
        <v>152</v>
      </c>
      <c r="M23" s="32" t="s">
        <v>8</v>
      </c>
      <c r="N23" s="33" t="s">
        <v>125</v>
      </c>
    </row>
    <row r="24" spans="1:14" ht="60" customHeight="1">
      <c r="A24" s="4">
        <v>18</v>
      </c>
      <c r="B24" s="6" t="s">
        <v>120</v>
      </c>
      <c r="C24" s="9"/>
      <c r="D24" s="67">
        <v>3</v>
      </c>
      <c r="E24" s="5">
        <f t="shared" si="0"/>
        <v>3.5999999999999996</v>
      </c>
      <c r="F24" s="13"/>
      <c r="G24" s="11"/>
      <c r="H24" s="8"/>
      <c r="I24" s="14" t="s">
        <v>4</v>
      </c>
      <c r="J24" s="9" t="s">
        <v>154</v>
      </c>
      <c r="K24" s="14" t="s">
        <v>155</v>
      </c>
      <c r="L24" s="14" t="s">
        <v>152</v>
      </c>
      <c r="M24" s="64" t="s">
        <v>8</v>
      </c>
      <c r="N24" s="15" t="s">
        <v>121</v>
      </c>
    </row>
    <row r="25" spans="1:14" ht="60" customHeight="1">
      <c r="A25" s="28">
        <v>19</v>
      </c>
      <c r="B25" s="29" t="s">
        <v>103</v>
      </c>
      <c r="C25" s="31"/>
      <c r="D25" s="32">
        <v>4</v>
      </c>
      <c r="E25" s="32">
        <f t="shared" si="0"/>
        <v>4.8</v>
      </c>
      <c r="F25" s="69"/>
      <c r="G25" s="61"/>
      <c r="H25" s="61"/>
      <c r="I25" s="31" t="s">
        <v>4</v>
      </c>
      <c r="J25" s="31" t="s">
        <v>150</v>
      </c>
      <c r="K25" s="31" t="s">
        <v>39</v>
      </c>
      <c r="L25" s="31" t="s">
        <v>152</v>
      </c>
      <c r="M25" s="32" t="s">
        <v>8</v>
      </c>
      <c r="N25" s="33" t="s">
        <v>113</v>
      </c>
    </row>
    <row r="26" spans="1:14" ht="60" customHeight="1">
      <c r="A26" s="4">
        <v>20</v>
      </c>
      <c r="B26" s="12" t="s">
        <v>104</v>
      </c>
      <c r="C26" s="9"/>
      <c r="D26" s="5">
        <v>2.5</v>
      </c>
      <c r="E26" s="5">
        <f t="shared" si="0"/>
        <v>3</v>
      </c>
      <c r="F26" s="13"/>
      <c r="G26" s="11"/>
      <c r="H26" s="62"/>
      <c r="I26" s="14" t="s">
        <v>4</v>
      </c>
      <c r="J26" s="14" t="s">
        <v>157</v>
      </c>
      <c r="K26" s="14" t="s">
        <v>155</v>
      </c>
      <c r="L26" s="14" t="s">
        <v>152</v>
      </c>
      <c r="M26" s="64" t="s">
        <v>8</v>
      </c>
      <c r="N26" s="15" t="s">
        <v>112</v>
      </c>
    </row>
    <row r="27" spans="1:14" ht="60" customHeight="1">
      <c r="A27" s="26" t="s">
        <v>25</v>
      </c>
      <c r="B27" s="97" t="s">
        <v>36</v>
      </c>
      <c r="C27" s="97"/>
      <c r="D27" s="97"/>
      <c r="E27" s="63"/>
      <c r="F27" s="35">
        <f>SUM(D28:D30)</f>
        <v>2.4</v>
      </c>
      <c r="G27" s="35">
        <f>F27*1.2</f>
        <v>2.88</v>
      </c>
      <c r="H27" s="35"/>
      <c r="I27" s="98"/>
      <c r="J27" s="98"/>
      <c r="K27" s="98"/>
      <c r="L27" s="98"/>
      <c r="M27" s="98"/>
      <c r="N27" s="98"/>
    </row>
    <row r="28" spans="1:14" ht="60" customHeight="1">
      <c r="A28" s="28">
        <v>21</v>
      </c>
      <c r="B28" s="29" t="s">
        <v>105</v>
      </c>
      <c r="C28" s="31"/>
      <c r="D28" s="32">
        <v>0.4</v>
      </c>
      <c r="E28" s="70">
        <f t="shared" si="0"/>
        <v>0.48</v>
      </c>
      <c r="F28" s="61"/>
      <c r="G28" s="61"/>
      <c r="H28" s="61"/>
      <c r="I28" s="31" t="s">
        <v>4</v>
      </c>
      <c r="J28" s="31" t="s">
        <v>150</v>
      </c>
      <c r="K28" s="31" t="s">
        <v>155</v>
      </c>
      <c r="L28" s="31" t="s">
        <v>152</v>
      </c>
      <c r="M28" s="32" t="s">
        <v>9</v>
      </c>
      <c r="N28" s="33" t="s">
        <v>114</v>
      </c>
    </row>
    <row r="29" spans="1:14" ht="60" customHeight="1">
      <c r="A29" s="4">
        <v>22</v>
      </c>
      <c r="B29" s="6" t="s">
        <v>86</v>
      </c>
      <c r="C29" s="9"/>
      <c r="D29" s="67">
        <v>1</v>
      </c>
      <c r="E29" s="5">
        <f t="shared" si="0"/>
        <v>1.2</v>
      </c>
      <c r="F29" s="51"/>
      <c r="G29" s="51"/>
      <c r="H29" s="8"/>
      <c r="I29" s="9" t="s">
        <v>4</v>
      </c>
      <c r="J29" s="9" t="s">
        <v>150</v>
      </c>
      <c r="K29" s="9" t="s">
        <v>155</v>
      </c>
      <c r="L29" s="9" t="s">
        <v>152</v>
      </c>
      <c r="M29" s="5" t="s">
        <v>8</v>
      </c>
      <c r="N29" s="10" t="s">
        <v>114</v>
      </c>
    </row>
    <row r="30" spans="1:14" ht="60" customHeight="1">
      <c r="A30" s="28">
        <v>23</v>
      </c>
      <c r="B30" s="29" t="s">
        <v>144</v>
      </c>
      <c r="C30" s="31"/>
      <c r="D30" s="32">
        <v>1</v>
      </c>
      <c r="E30" s="70">
        <f t="shared" si="0"/>
        <v>1.2</v>
      </c>
      <c r="F30" s="69"/>
      <c r="G30" s="69"/>
      <c r="H30" s="61"/>
      <c r="I30" s="31" t="s">
        <v>4</v>
      </c>
      <c r="J30" s="31" t="s">
        <v>154</v>
      </c>
      <c r="K30" s="31" t="s">
        <v>155</v>
      </c>
      <c r="L30" s="31" t="s">
        <v>152</v>
      </c>
      <c r="M30" s="32" t="s">
        <v>9</v>
      </c>
      <c r="N30" s="33" t="s">
        <v>145</v>
      </c>
    </row>
    <row r="31" spans="1:14" ht="60" customHeight="1">
      <c r="A31" s="26" t="s">
        <v>31</v>
      </c>
      <c r="B31" s="97" t="s">
        <v>64</v>
      </c>
      <c r="C31" s="97"/>
      <c r="D31" s="97"/>
      <c r="E31" s="63"/>
      <c r="F31" s="35">
        <f>SUM(D32:D39)</f>
        <v>24.252681606666663</v>
      </c>
      <c r="G31" s="35">
        <f>F31*1.2</f>
        <v>29.103217927999992</v>
      </c>
      <c r="H31" s="35"/>
      <c r="I31" s="98"/>
      <c r="J31" s="98"/>
      <c r="K31" s="98"/>
      <c r="L31" s="98"/>
      <c r="M31" s="98"/>
      <c r="N31" s="98"/>
    </row>
    <row r="32" spans="1:14" ht="60" customHeight="1">
      <c r="A32" s="28">
        <v>24</v>
      </c>
      <c r="B32" s="29" t="s">
        <v>106</v>
      </c>
      <c r="C32" s="31"/>
      <c r="D32" s="32">
        <v>8.5</v>
      </c>
      <c r="E32" s="70">
        <f t="shared" si="0"/>
        <v>10.199999999999999</v>
      </c>
      <c r="F32" s="61"/>
      <c r="G32" s="61"/>
      <c r="H32" s="61"/>
      <c r="I32" s="31" t="s">
        <v>4</v>
      </c>
      <c r="J32" s="31" t="s">
        <v>150</v>
      </c>
      <c r="K32" s="31" t="s">
        <v>155</v>
      </c>
      <c r="L32" s="31" t="s">
        <v>152</v>
      </c>
      <c r="M32" s="32" t="s">
        <v>8</v>
      </c>
      <c r="N32" s="33" t="s">
        <v>94</v>
      </c>
    </row>
    <row r="33" spans="1:14" ht="60" customHeight="1">
      <c r="A33" s="4">
        <v>25</v>
      </c>
      <c r="B33" s="6" t="s">
        <v>142</v>
      </c>
      <c r="C33" s="9"/>
      <c r="D33" s="5">
        <v>1.5</v>
      </c>
      <c r="E33" s="71">
        <f t="shared" si="0"/>
        <v>1.7999999999999998</v>
      </c>
      <c r="F33" s="78"/>
      <c r="G33" s="78"/>
      <c r="H33" s="74"/>
      <c r="I33" s="9" t="s">
        <v>4</v>
      </c>
      <c r="J33" s="9" t="s">
        <v>154</v>
      </c>
      <c r="K33" s="9" t="s">
        <v>155</v>
      </c>
      <c r="L33" s="9" t="s">
        <v>156</v>
      </c>
      <c r="M33" s="5" t="s">
        <v>9</v>
      </c>
      <c r="N33" s="10" t="s">
        <v>143</v>
      </c>
    </row>
    <row r="34" spans="1:14" ht="60" customHeight="1">
      <c r="A34" s="28">
        <v>26</v>
      </c>
      <c r="B34" s="36" t="s">
        <v>107</v>
      </c>
      <c r="C34" s="31"/>
      <c r="D34" s="32">
        <v>1.75</v>
      </c>
      <c r="E34" s="71">
        <f t="shared" si="0"/>
        <v>2.1</v>
      </c>
      <c r="F34" s="75"/>
      <c r="G34" s="75"/>
      <c r="H34" s="76"/>
      <c r="I34" s="31" t="s">
        <v>4</v>
      </c>
      <c r="J34" s="31" t="s">
        <v>154</v>
      </c>
      <c r="K34" s="31" t="s">
        <v>155</v>
      </c>
      <c r="L34" s="31" t="s">
        <v>156</v>
      </c>
      <c r="M34" s="32" t="s">
        <v>9</v>
      </c>
      <c r="N34" s="77" t="s">
        <v>115</v>
      </c>
    </row>
    <row r="35" spans="1:14" ht="60" customHeight="1">
      <c r="A35" s="4">
        <v>27</v>
      </c>
      <c r="B35" s="6" t="s">
        <v>108</v>
      </c>
      <c r="C35" s="9"/>
      <c r="D35" s="32">
        <f>4-'Bons de commande '!D13/1000000</f>
        <v>3.6566024399999999</v>
      </c>
      <c r="E35" s="71">
        <f t="shared" si="0"/>
        <v>4.3879229280000001</v>
      </c>
      <c r="F35" s="74"/>
      <c r="G35" s="74"/>
      <c r="H35" s="74"/>
      <c r="I35" s="9" t="s">
        <v>4</v>
      </c>
      <c r="J35" s="9" t="s">
        <v>150</v>
      </c>
      <c r="K35" s="9" t="s">
        <v>155</v>
      </c>
      <c r="L35" s="9" t="s">
        <v>152</v>
      </c>
      <c r="M35" s="5" t="s">
        <v>8</v>
      </c>
      <c r="N35" s="10" t="s">
        <v>87</v>
      </c>
    </row>
    <row r="36" spans="1:14" ht="60" customHeight="1">
      <c r="A36" s="28">
        <v>28</v>
      </c>
      <c r="B36" s="36" t="s">
        <v>109</v>
      </c>
      <c r="C36" s="31"/>
      <c r="D36" s="32">
        <v>4.5</v>
      </c>
      <c r="E36" s="75">
        <f t="shared" si="0"/>
        <v>5.3999999999999995</v>
      </c>
      <c r="F36" s="75"/>
      <c r="G36" s="75"/>
      <c r="H36" s="76"/>
      <c r="I36" s="31" t="s">
        <v>4</v>
      </c>
      <c r="J36" s="31" t="s">
        <v>150</v>
      </c>
      <c r="K36" s="31" t="s">
        <v>155</v>
      </c>
      <c r="L36" s="31" t="s">
        <v>152</v>
      </c>
      <c r="M36" s="32" t="s">
        <v>8</v>
      </c>
      <c r="N36" s="77" t="s">
        <v>88</v>
      </c>
    </row>
    <row r="37" spans="1:14" ht="60" customHeight="1">
      <c r="A37" s="4">
        <v>29</v>
      </c>
      <c r="B37" s="6" t="s">
        <v>146</v>
      </c>
      <c r="C37" s="9"/>
      <c r="D37" s="5">
        <v>3</v>
      </c>
      <c r="E37" s="71">
        <f>D37*1.2</f>
        <v>3.5999999999999996</v>
      </c>
      <c r="F37" s="74"/>
      <c r="G37" s="74"/>
      <c r="H37" s="74"/>
      <c r="I37" s="9" t="s">
        <v>4</v>
      </c>
      <c r="J37" s="9" t="s">
        <v>154</v>
      </c>
      <c r="K37" s="9" t="s">
        <v>155</v>
      </c>
      <c r="L37" s="9" t="s">
        <v>156</v>
      </c>
      <c r="M37" s="5" t="s">
        <v>8</v>
      </c>
      <c r="N37" s="5" t="s">
        <v>39</v>
      </c>
    </row>
    <row r="38" spans="1:14" ht="60" customHeight="1">
      <c r="A38" s="28">
        <v>30</v>
      </c>
      <c r="B38" s="36" t="s">
        <v>148</v>
      </c>
      <c r="C38" s="31"/>
      <c r="D38" s="32">
        <v>1.1689958333333299</v>
      </c>
      <c r="E38" s="32">
        <f>1402795/1000000</f>
        <v>1.402795</v>
      </c>
      <c r="F38" s="79"/>
      <c r="G38" s="79"/>
      <c r="H38" s="80"/>
      <c r="I38" s="31" t="s">
        <v>4</v>
      </c>
      <c r="J38" s="31" t="s">
        <v>154</v>
      </c>
      <c r="K38" s="31" t="s">
        <v>155</v>
      </c>
      <c r="L38" s="31" t="s">
        <v>156</v>
      </c>
      <c r="M38" s="32" t="s">
        <v>8</v>
      </c>
      <c r="N38" s="81" t="s">
        <v>39</v>
      </c>
    </row>
    <row r="39" spans="1:14" ht="60" customHeight="1">
      <c r="A39" s="4">
        <v>31</v>
      </c>
      <c r="B39" s="6" t="s">
        <v>147</v>
      </c>
      <c r="C39" s="9"/>
      <c r="D39" s="5">
        <v>0.17708333333333298</v>
      </c>
      <c r="E39" s="5">
        <f>212500/1000000</f>
        <v>0.21249999999999999</v>
      </c>
      <c r="F39" s="74"/>
      <c r="G39" s="74"/>
      <c r="H39" s="74"/>
      <c r="I39" s="9" t="s">
        <v>4</v>
      </c>
      <c r="J39" s="9" t="s">
        <v>154</v>
      </c>
      <c r="K39" s="9" t="s">
        <v>155</v>
      </c>
      <c r="L39" s="9" t="s">
        <v>156</v>
      </c>
      <c r="M39" s="5" t="s">
        <v>9</v>
      </c>
      <c r="N39" s="5" t="s">
        <v>39</v>
      </c>
    </row>
    <row r="40" spans="1:14" ht="60" customHeight="1">
      <c r="A40" s="106" t="s">
        <v>32</v>
      </c>
      <c r="B40" s="107"/>
      <c r="C40" s="108"/>
      <c r="D40" s="16">
        <f>SUMIF(M5:M39,"Investissement",D5:D39)</f>
        <v>96.825598273333327</v>
      </c>
      <c r="E40" s="17"/>
      <c r="F40" s="17"/>
      <c r="G40" s="17"/>
      <c r="H40" s="17"/>
      <c r="I40" s="17"/>
      <c r="J40" s="17"/>
      <c r="K40" s="17"/>
      <c r="L40" s="17"/>
      <c r="M40" s="17"/>
      <c r="N40" s="18"/>
    </row>
    <row r="41" spans="1:14" ht="60" customHeight="1">
      <c r="A41" s="106" t="s">
        <v>33</v>
      </c>
      <c r="B41" s="107"/>
      <c r="C41" s="108"/>
      <c r="D41" s="16">
        <f>SUMIF(M5:M39,"Fonctionnement",D5:D39)</f>
        <v>5.5604166666666659</v>
      </c>
      <c r="E41" s="17"/>
      <c r="F41" s="17"/>
      <c r="G41" s="17"/>
      <c r="H41" s="17"/>
      <c r="I41" s="17"/>
      <c r="J41" s="17"/>
      <c r="K41" s="17"/>
      <c r="L41" s="17"/>
      <c r="M41" s="17"/>
      <c r="N41" s="18"/>
    </row>
    <row r="42" spans="1:14" ht="60" customHeight="1">
      <c r="A42" s="100" t="s">
        <v>42</v>
      </c>
      <c r="B42" s="101"/>
      <c r="C42" s="102"/>
      <c r="D42" s="16">
        <f>D40*1.2</f>
        <v>116.19071792799998</v>
      </c>
      <c r="E42" s="17"/>
      <c r="F42" s="17"/>
      <c r="G42" s="17"/>
      <c r="H42" s="17"/>
      <c r="I42" s="17"/>
      <c r="J42" s="17"/>
      <c r="K42" s="17"/>
      <c r="L42" s="17"/>
      <c r="M42" s="17"/>
      <c r="N42" s="18"/>
    </row>
    <row r="43" spans="1:14" ht="60" customHeight="1">
      <c r="A43" s="100" t="s">
        <v>43</v>
      </c>
      <c r="B43" s="101"/>
      <c r="C43" s="102"/>
      <c r="D43" s="16">
        <f>D41*1.2</f>
        <v>6.6724999999999985</v>
      </c>
      <c r="E43" s="17"/>
      <c r="F43" s="17"/>
      <c r="G43" s="17"/>
      <c r="H43" s="17"/>
      <c r="I43" s="17"/>
      <c r="J43" s="17"/>
      <c r="K43" s="17"/>
      <c r="L43" s="17"/>
      <c r="M43" s="17"/>
      <c r="N43" s="18"/>
    </row>
    <row r="44" spans="1:14" ht="57.75" customHeight="1">
      <c r="A44" s="99" t="s">
        <v>149</v>
      </c>
      <c r="B44" s="99"/>
      <c r="C44" s="99"/>
      <c r="D44" s="99"/>
      <c r="E44" s="99"/>
      <c r="F44" s="99"/>
      <c r="G44" s="99"/>
      <c r="H44" s="99"/>
      <c r="I44" s="99"/>
      <c r="J44" s="99"/>
      <c r="K44" s="99"/>
      <c r="L44" s="99"/>
      <c r="M44" s="99"/>
      <c r="N44" s="99"/>
    </row>
    <row r="45" spans="1:14">
      <c r="D45" s="19"/>
      <c r="E45" s="19"/>
      <c r="H45" s="19"/>
    </row>
    <row r="46" spans="1:14">
      <c r="D46" s="19"/>
      <c r="E46" s="19"/>
    </row>
    <row r="47" spans="1:14">
      <c r="D47" s="21"/>
      <c r="E47" s="21"/>
    </row>
    <row r="49" spans="4:14">
      <c r="D49" s="19"/>
      <c r="E49" s="19"/>
      <c r="F49" s="19"/>
    </row>
    <row r="50" spans="4:14">
      <c r="E50" s="19"/>
      <c r="F50" s="19"/>
    </row>
    <row r="51" spans="4:14">
      <c r="E51" s="19"/>
    </row>
    <row r="52" spans="4:14" ht="53.25" customHeight="1">
      <c r="D52" s="19"/>
      <c r="E52" s="19"/>
      <c r="J52" s="19"/>
    </row>
    <row r="58" spans="4:14">
      <c r="N58" s="53"/>
    </row>
  </sheetData>
  <autoFilter ref="A3:N44"/>
  <mergeCells count="19">
    <mergeCell ref="C1:N1"/>
    <mergeCell ref="A40:C40"/>
    <mergeCell ref="A41:C41"/>
    <mergeCell ref="A1:B1"/>
    <mergeCell ref="A2:B2"/>
    <mergeCell ref="I10:N10"/>
    <mergeCell ref="I22:N22"/>
    <mergeCell ref="B4:D4"/>
    <mergeCell ref="B10:D10"/>
    <mergeCell ref="B22:D22"/>
    <mergeCell ref="B27:D27"/>
    <mergeCell ref="I27:N27"/>
    <mergeCell ref="C2:N2"/>
    <mergeCell ref="B31:D31"/>
    <mergeCell ref="I31:N31"/>
    <mergeCell ref="A44:N44"/>
    <mergeCell ref="A42:C42"/>
    <mergeCell ref="A43:C43"/>
    <mergeCell ref="I4:N4"/>
  </mergeCells>
  <printOptions horizontalCentered="1"/>
  <pageMargins left="0" right="0" top="0.78740157480314965" bottom="0.78740157480314965" header="0.59055118110236227" footer="0.59055118110236227"/>
  <pageSetup paperSize="9" scale="28" orientation="landscape" r:id="rId1"/>
  <headerFooter>
    <oddFooter>&amp;C&amp;"times,Normal"&amp;16&amp;P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3"/>
  <sheetViews>
    <sheetView zoomScale="71" zoomScaleNormal="71" workbookViewId="0">
      <selection activeCell="K11" sqref="K11"/>
    </sheetView>
  </sheetViews>
  <sheetFormatPr baseColWidth="10" defaultColWidth="11.42578125" defaultRowHeight="14.25"/>
  <cols>
    <col min="1" max="1" width="11.42578125" style="1"/>
    <col min="2" max="2" width="94.85546875" style="1" customWidth="1"/>
    <col min="3" max="3" width="55.5703125" style="1" customWidth="1"/>
    <col min="4" max="5" width="23.85546875" style="1" customWidth="1"/>
    <col min="6" max="6" width="23.5703125" style="1" customWidth="1"/>
    <col min="7" max="7" width="16.5703125" style="1" hidden="1" customWidth="1"/>
    <col min="8" max="8" width="21.5703125" style="1" customWidth="1"/>
    <col min="9" max="9" width="14.42578125" style="1" hidden="1" customWidth="1"/>
    <col min="10" max="10" width="30.140625" style="1" customWidth="1"/>
    <col min="11" max="11" width="157.28515625" style="20" customWidth="1"/>
    <col min="12" max="16384" width="11.42578125" style="1"/>
  </cols>
  <sheetData>
    <row r="1" spans="1:11" ht="45" customHeight="1">
      <c r="A1" s="109" t="s">
        <v>57</v>
      </c>
      <c r="B1" s="110"/>
      <c r="C1" s="95">
        <v>2026</v>
      </c>
      <c r="D1" s="95"/>
      <c r="E1" s="95"/>
      <c r="F1" s="95"/>
      <c r="G1" s="95"/>
      <c r="H1" s="95"/>
      <c r="I1" s="95"/>
      <c r="J1" s="95"/>
      <c r="K1" s="96"/>
    </row>
    <row r="2" spans="1:11" ht="45" customHeight="1">
      <c r="A2" s="111" t="s">
        <v>11</v>
      </c>
      <c r="B2" s="111"/>
      <c r="C2" s="95" t="s">
        <v>131</v>
      </c>
      <c r="D2" s="95"/>
      <c r="E2" s="95"/>
      <c r="F2" s="95"/>
      <c r="G2" s="95"/>
      <c r="H2" s="95"/>
      <c r="I2" s="95"/>
      <c r="J2" s="95"/>
      <c r="K2" s="96"/>
    </row>
    <row r="3" spans="1:11" ht="102.75" customHeight="1">
      <c r="A3" s="22" t="s">
        <v>18</v>
      </c>
      <c r="B3" s="23" t="s">
        <v>0</v>
      </c>
      <c r="C3" s="22" t="s">
        <v>5</v>
      </c>
      <c r="D3" s="22" t="s">
        <v>35</v>
      </c>
      <c r="E3" s="24" t="s">
        <v>12</v>
      </c>
      <c r="F3" s="22" t="s">
        <v>2</v>
      </c>
      <c r="G3" s="22" t="s">
        <v>6</v>
      </c>
      <c r="H3" s="22" t="s">
        <v>1</v>
      </c>
      <c r="I3" s="22" t="s">
        <v>19</v>
      </c>
      <c r="J3" s="22" t="s">
        <v>7</v>
      </c>
      <c r="K3" s="25" t="s">
        <v>10</v>
      </c>
    </row>
    <row r="4" spans="1:11" ht="60" customHeight="1">
      <c r="A4" s="26" t="s">
        <v>22</v>
      </c>
      <c r="B4" s="97" t="s">
        <v>27</v>
      </c>
      <c r="C4" s="97"/>
      <c r="D4" s="97"/>
      <c r="E4" s="35">
        <f>D5+D6</f>
        <v>1.5502728799999999</v>
      </c>
      <c r="F4" s="112"/>
      <c r="G4" s="112"/>
      <c r="H4" s="112"/>
      <c r="I4" s="112"/>
      <c r="J4" s="112"/>
      <c r="K4" s="112"/>
    </row>
    <row r="5" spans="1:11" ht="60" customHeight="1">
      <c r="A5" s="4">
        <v>1</v>
      </c>
      <c r="B5" s="6" t="s">
        <v>40</v>
      </c>
      <c r="C5" s="9" t="s">
        <v>21</v>
      </c>
      <c r="D5" s="5">
        <v>0.41219</v>
      </c>
      <c r="E5" s="11"/>
      <c r="F5" s="9" t="s">
        <v>41</v>
      </c>
      <c r="G5" s="5" t="s">
        <v>39</v>
      </c>
      <c r="H5" s="9" t="s">
        <v>39</v>
      </c>
      <c r="I5" s="9" t="s">
        <v>39</v>
      </c>
      <c r="J5" s="5" t="s">
        <v>9</v>
      </c>
      <c r="K5" s="10" t="s">
        <v>137</v>
      </c>
    </row>
    <row r="6" spans="1:11" ht="60" customHeight="1">
      <c r="A6" s="28">
        <v>2</v>
      </c>
      <c r="B6" s="29" t="s">
        <v>65</v>
      </c>
      <c r="C6" s="31" t="s">
        <v>20</v>
      </c>
      <c r="D6" s="32">
        <f>1138082.88/1000000</f>
        <v>1.1380828799999998</v>
      </c>
      <c r="E6" s="34"/>
      <c r="F6" s="31" t="s">
        <v>41</v>
      </c>
      <c r="G6" s="32" t="s">
        <v>39</v>
      </c>
      <c r="H6" s="31" t="s">
        <v>39</v>
      </c>
      <c r="I6" s="31" t="s">
        <v>39</v>
      </c>
      <c r="J6" s="32" t="s">
        <v>9</v>
      </c>
      <c r="K6" s="33" t="s">
        <v>136</v>
      </c>
    </row>
    <row r="7" spans="1:11" ht="60" customHeight="1">
      <c r="A7" s="26" t="s">
        <v>23</v>
      </c>
      <c r="B7" s="97" t="s">
        <v>37</v>
      </c>
      <c r="C7" s="97"/>
      <c r="D7" s="97"/>
      <c r="E7" s="35">
        <f>SUM(D8:D10)</f>
        <v>0.94284999999999997</v>
      </c>
      <c r="F7" s="112"/>
      <c r="G7" s="112"/>
      <c r="H7" s="112"/>
      <c r="I7" s="112"/>
      <c r="J7" s="112"/>
      <c r="K7" s="112"/>
    </row>
    <row r="8" spans="1:11" ht="87.75" customHeight="1">
      <c r="A8" s="4">
        <v>3</v>
      </c>
      <c r="B8" s="12" t="s">
        <v>51</v>
      </c>
      <c r="C8" s="7"/>
      <c r="D8" s="5">
        <v>0.43</v>
      </c>
      <c r="E8" s="5"/>
      <c r="F8" s="9" t="s">
        <v>41</v>
      </c>
      <c r="G8" s="5" t="s">
        <v>39</v>
      </c>
      <c r="H8" s="9" t="s">
        <v>39</v>
      </c>
      <c r="I8" s="9" t="s">
        <v>39</v>
      </c>
      <c r="J8" s="5" t="s">
        <v>9</v>
      </c>
      <c r="K8" s="3" t="s">
        <v>138</v>
      </c>
    </row>
    <row r="9" spans="1:11" ht="111" customHeight="1">
      <c r="A9" s="28">
        <v>4</v>
      </c>
      <c r="B9" s="29" t="s">
        <v>79</v>
      </c>
      <c r="C9" s="31"/>
      <c r="D9" s="32">
        <v>0.2</v>
      </c>
      <c r="E9" s="34"/>
      <c r="F9" s="56" t="s">
        <v>41</v>
      </c>
      <c r="G9" s="32"/>
      <c r="H9" s="31"/>
      <c r="I9" s="31"/>
      <c r="J9" s="32" t="s">
        <v>9</v>
      </c>
      <c r="K9" s="33" t="s">
        <v>139</v>
      </c>
    </row>
    <row r="10" spans="1:11" ht="87.75" customHeight="1">
      <c r="A10" s="4">
        <v>5</v>
      </c>
      <c r="B10" s="12" t="s">
        <v>58</v>
      </c>
      <c r="C10" s="7"/>
      <c r="D10" s="5">
        <v>0.31285000000000002</v>
      </c>
      <c r="E10" s="5"/>
      <c r="F10" s="9" t="s">
        <v>41</v>
      </c>
      <c r="G10" s="5" t="s">
        <v>39</v>
      </c>
      <c r="H10" s="9" t="s">
        <v>39</v>
      </c>
      <c r="I10" s="9" t="s">
        <v>39</v>
      </c>
      <c r="J10" s="5" t="s">
        <v>9</v>
      </c>
      <c r="K10" s="3" t="s">
        <v>135</v>
      </c>
    </row>
    <row r="11" spans="1:11" ht="60" customHeight="1">
      <c r="A11" s="106" t="s">
        <v>32</v>
      </c>
      <c r="B11" s="107"/>
      <c r="C11" s="108"/>
      <c r="D11" s="16">
        <v>0</v>
      </c>
      <c r="E11" s="17"/>
      <c r="F11" s="17"/>
      <c r="G11" s="17"/>
      <c r="H11" s="17"/>
      <c r="I11" s="17"/>
      <c r="J11" s="17"/>
      <c r="K11" s="18"/>
    </row>
    <row r="12" spans="1:11" ht="60" customHeight="1">
      <c r="A12" s="106" t="s">
        <v>33</v>
      </c>
      <c r="B12" s="107"/>
      <c r="C12" s="108"/>
      <c r="D12" s="16">
        <f>E7+E4</f>
        <v>2.4931228799999996</v>
      </c>
      <c r="E12" s="17"/>
      <c r="F12" s="17"/>
      <c r="G12" s="17"/>
      <c r="H12" s="17"/>
      <c r="I12" s="17"/>
      <c r="J12" s="17"/>
      <c r="K12" s="18"/>
    </row>
    <row r="16" spans="1:11">
      <c r="D16" s="19"/>
    </row>
    <row r="18" spans="4:4">
      <c r="D18" s="21"/>
    </row>
    <row r="22" spans="4:4" ht="53.25" customHeight="1"/>
    <row r="23" spans="4:4">
      <c r="D23" s="19"/>
    </row>
  </sheetData>
  <mergeCells count="10">
    <mergeCell ref="A11:C11"/>
    <mergeCell ref="A12:C12"/>
    <mergeCell ref="B4:D4"/>
    <mergeCell ref="F4:K4"/>
    <mergeCell ref="A1:B1"/>
    <mergeCell ref="C1:K1"/>
    <mergeCell ref="A2:B2"/>
    <mergeCell ref="C2:K2"/>
    <mergeCell ref="B7:D7"/>
    <mergeCell ref="F7:K7"/>
  </mergeCells>
  <printOptions horizontalCentered="1"/>
  <pageMargins left="0.39370078740157483" right="0.39370078740157483" top="0.98425196850393704" bottom="0.98425196850393704" header="0.59055118110236227" footer="0.59055118110236227"/>
  <pageSetup paperSize="9" scale="33" orientation="landscape" horizontalDpi="400" verticalDpi="200" r:id="rId1"/>
  <headerFooter>
    <oddHeader>&amp;L&amp;"Times New Roman,Gras"&amp;12PLAN PREVISIONNEL BUDGETAIRE &amp;C&amp;"Times New Roman,Gras"&amp;12MARCHES&amp;R&amp;"Times New Roman,Gras"&amp;12 2022</oddHeader>
    <oddFooter>&amp;C&amp;"Times New Roman,Gras"&amp;12 1/1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7"/>
  <sheetViews>
    <sheetView tabSelected="1" zoomScale="60" zoomScaleNormal="60" workbookViewId="0">
      <selection activeCell="C10" sqref="C10"/>
    </sheetView>
  </sheetViews>
  <sheetFormatPr baseColWidth="10" defaultColWidth="11.42578125" defaultRowHeight="14.25"/>
  <cols>
    <col min="1" max="1" width="11.42578125" style="1"/>
    <col min="2" max="2" width="81.85546875" style="1" customWidth="1"/>
    <col min="3" max="3" width="36.85546875" style="1" customWidth="1"/>
    <col min="4" max="4" width="20" style="1" customWidth="1"/>
    <col min="5" max="5" width="17.140625" style="1" customWidth="1"/>
    <col min="6" max="6" width="18.5703125" style="1" hidden="1" customWidth="1"/>
    <col min="7" max="7" width="18.7109375" style="1" customWidth="1"/>
    <col min="8" max="8" width="33.7109375" style="1" customWidth="1"/>
    <col min="9" max="9" width="96.42578125" style="1" customWidth="1"/>
    <col min="10" max="12" width="11.42578125" style="1"/>
    <col min="13" max="13" width="12.7109375" style="1" bestFit="1" customWidth="1"/>
    <col min="14" max="16384" width="11.42578125" style="1"/>
  </cols>
  <sheetData>
    <row r="1" spans="1:13" ht="55.5" customHeight="1">
      <c r="A1" s="111" t="s">
        <v>63</v>
      </c>
      <c r="B1" s="111"/>
      <c r="C1" s="113">
        <v>2026</v>
      </c>
      <c r="D1" s="113"/>
      <c r="E1" s="113"/>
      <c r="F1" s="113"/>
      <c r="G1" s="113"/>
      <c r="H1" s="113"/>
      <c r="I1" s="113"/>
    </row>
    <row r="2" spans="1:13" ht="55.5" customHeight="1">
      <c r="A2" s="111" t="s">
        <v>11</v>
      </c>
      <c r="B2" s="111"/>
      <c r="C2" s="113" t="s">
        <v>131</v>
      </c>
      <c r="D2" s="113"/>
      <c r="E2" s="113"/>
      <c r="F2" s="113"/>
      <c r="G2" s="113"/>
      <c r="H2" s="113"/>
      <c r="I2" s="113"/>
    </row>
    <row r="3" spans="1:13" ht="102.75" customHeight="1">
      <c r="A3" s="22" t="s">
        <v>18</v>
      </c>
      <c r="B3" s="22" t="s">
        <v>0</v>
      </c>
      <c r="C3" s="22" t="s">
        <v>5</v>
      </c>
      <c r="D3" s="22" t="s">
        <v>17</v>
      </c>
      <c r="E3" s="22" t="s">
        <v>2</v>
      </c>
      <c r="F3" s="22" t="s">
        <v>6</v>
      </c>
      <c r="G3" s="22" t="s">
        <v>1</v>
      </c>
      <c r="H3" s="22" t="s">
        <v>7</v>
      </c>
      <c r="I3" s="22" t="s">
        <v>10</v>
      </c>
    </row>
    <row r="4" spans="1:13" ht="50.1" customHeight="1">
      <c r="A4" s="84">
        <v>1</v>
      </c>
      <c r="B4" s="57" t="s">
        <v>54</v>
      </c>
      <c r="C4" s="85"/>
      <c r="D4" s="59">
        <f>300000-D12</f>
        <v>230292.34</v>
      </c>
      <c r="E4" s="58" t="s">
        <v>28</v>
      </c>
      <c r="F4" s="86" t="s">
        <v>30</v>
      </c>
      <c r="G4" s="58" t="s">
        <v>39</v>
      </c>
      <c r="H4" s="59" t="s">
        <v>8</v>
      </c>
      <c r="I4" s="118" t="s">
        <v>163</v>
      </c>
    </row>
    <row r="5" spans="1:13" ht="50.1" customHeight="1">
      <c r="A5" s="73">
        <v>2</v>
      </c>
      <c r="B5" s="36" t="s">
        <v>55</v>
      </c>
      <c r="C5" s="30"/>
      <c r="D5" s="32">
        <v>100000</v>
      </c>
      <c r="E5" s="41" t="s">
        <v>28</v>
      </c>
      <c r="F5" s="39"/>
      <c r="G5" s="31" t="s">
        <v>39</v>
      </c>
      <c r="H5" s="32" t="s">
        <v>8</v>
      </c>
      <c r="I5" s="119"/>
    </row>
    <row r="6" spans="1:13" ht="50.1" customHeight="1">
      <c r="A6" s="87">
        <v>3</v>
      </c>
      <c r="B6" s="57" t="s">
        <v>49</v>
      </c>
      <c r="C6" s="57"/>
      <c r="D6" s="59">
        <v>150000</v>
      </c>
      <c r="E6" s="88" t="s">
        <v>28</v>
      </c>
      <c r="F6" s="89"/>
      <c r="G6" s="88" t="s">
        <v>39</v>
      </c>
      <c r="H6" s="90" t="s">
        <v>9</v>
      </c>
      <c r="I6" s="116" t="s">
        <v>164</v>
      </c>
    </row>
    <row r="7" spans="1:13" ht="50.1" customHeight="1">
      <c r="A7" s="40">
        <v>4</v>
      </c>
      <c r="B7" s="36" t="s">
        <v>48</v>
      </c>
      <c r="C7" s="36"/>
      <c r="D7" s="32">
        <f>150000</f>
        <v>150000</v>
      </c>
      <c r="E7" s="41" t="s">
        <v>28</v>
      </c>
      <c r="F7" s="42"/>
      <c r="G7" s="41" t="s">
        <v>39</v>
      </c>
      <c r="H7" s="43" t="s">
        <v>9</v>
      </c>
      <c r="I7" s="116"/>
      <c r="K7" s="19"/>
    </row>
    <row r="8" spans="1:13" ht="50.1" customHeight="1">
      <c r="A8" s="87">
        <v>5</v>
      </c>
      <c r="B8" s="57" t="s">
        <v>29</v>
      </c>
      <c r="C8" s="57"/>
      <c r="D8" s="59">
        <v>100000</v>
      </c>
      <c r="E8" s="88" t="s">
        <v>28</v>
      </c>
      <c r="F8" s="89"/>
      <c r="G8" s="88" t="s">
        <v>39</v>
      </c>
      <c r="H8" s="90" t="s">
        <v>9</v>
      </c>
      <c r="I8" s="116"/>
    </row>
    <row r="9" spans="1:13" ht="50.1" customHeight="1">
      <c r="A9" s="40">
        <v>6</v>
      </c>
      <c r="B9" s="36" t="s">
        <v>47</v>
      </c>
      <c r="C9" s="36"/>
      <c r="D9" s="43">
        <f>100000+250000-D11</f>
        <v>103615</v>
      </c>
      <c r="E9" s="41" t="s">
        <v>28</v>
      </c>
      <c r="F9" s="46"/>
      <c r="G9" s="41" t="s">
        <v>39</v>
      </c>
      <c r="H9" s="43" t="s">
        <v>9</v>
      </c>
      <c r="I9" s="116"/>
    </row>
    <row r="10" spans="1:13" ht="52.5" customHeight="1">
      <c r="A10" s="87">
        <v>7</v>
      </c>
      <c r="B10" s="57" t="s">
        <v>77</v>
      </c>
      <c r="C10" s="91"/>
      <c r="D10" s="59">
        <v>300000</v>
      </c>
      <c r="E10" s="58" t="s">
        <v>28</v>
      </c>
      <c r="F10" s="89"/>
      <c r="G10" s="58" t="s">
        <v>39</v>
      </c>
      <c r="H10" s="59" t="s">
        <v>8</v>
      </c>
      <c r="I10" s="82"/>
    </row>
    <row r="11" spans="1:13" ht="52.5" customHeight="1">
      <c r="A11" s="40">
        <v>8</v>
      </c>
      <c r="B11" s="36" t="s">
        <v>159</v>
      </c>
      <c r="C11" s="55"/>
      <c r="D11" s="32">
        <v>246385</v>
      </c>
      <c r="E11" s="31" t="s">
        <v>28</v>
      </c>
      <c r="F11" s="42"/>
      <c r="G11" s="31" t="s">
        <v>39</v>
      </c>
      <c r="H11" s="32" t="s">
        <v>9</v>
      </c>
      <c r="I11" s="94" t="s">
        <v>161</v>
      </c>
    </row>
    <row r="12" spans="1:13" ht="52.5" customHeight="1">
      <c r="A12" s="87">
        <v>9</v>
      </c>
      <c r="B12" s="57" t="s">
        <v>160</v>
      </c>
      <c r="C12" s="91"/>
      <c r="D12" s="59">
        <v>69707.66</v>
      </c>
      <c r="E12" s="58" t="s">
        <v>28</v>
      </c>
      <c r="F12" s="89"/>
      <c r="G12" s="58" t="s">
        <v>39</v>
      </c>
      <c r="H12" s="59" t="s">
        <v>8</v>
      </c>
      <c r="I12" s="83" t="s">
        <v>162</v>
      </c>
    </row>
    <row r="13" spans="1:13" ht="52.5" customHeight="1">
      <c r="A13" s="40">
        <v>10</v>
      </c>
      <c r="B13" s="36" t="s">
        <v>166</v>
      </c>
      <c r="C13" s="55"/>
      <c r="D13" s="75">
        <v>343397.56</v>
      </c>
      <c r="E13" s="31" t="s">
        <v>28</v>
      </c>
      <c r="F13" s="92"/>
      <c r="G13" s="93" t="s">
        <v>39</v>
      </c>
      <c r="H13" s="32" t="s">
        <v>8</v>
      </c>
      <c r="I13" s="94" t="s">
        <v>165</v>
      </c>
    </row>
    <row r="14" spans="1:13" ht="52.5" customHeight="1">
      <c r="A14" s="87">
        <v>11</v>
      </c>
      <c r="B14" s="57" t="s">
        <v>167</v>
      </c>
      <c r="C14" s="91"/>
      <c r="D14" s="59">
        <f>200000/1.2</f>
        <v>166666.66666666669</v>
      </c>
      <c r="E14" s="58" t="s">
        <v>28</v>
      </c>
      <c r="F14" s="89"/>
      <c r="G14" s="58"/>
      <c r="H14" s="59" t="s">
        <v>9</v>
      </c>
      <c r="I14" s="83"/>
    </row>
    <row r="15" spans="1:13" ht="45" customHeight="1">
      <c r="A15" s="117" t="s">
        <v>61</v>
      </c>
      <c r="B15" s="117"/>
      <c r="C15" s="106"/>
      <c r="D15" s="16">
        <f>SUMIF(H4:H14,"Investissement",D4:D14)</f>
        <v>1043397.56</v>
      </c>
      <c r="E15" s="47"/>
      <c r="F15" s="47"/>
      <c r="G15" s="47"/>
      <c r="H15" s="47"/>
      <c r="I15" s="48"/>
      <c r="M15" s="19"/>
    </row>
    <row r="16" spans="1:13" ht="45" customHeight="1">
      <c r="A16" s="117" t="s">
        <v>62</v>
      </c>
      <c r="B16" s="117"/>
      <c r="C16" s="106"/>
      <c r="D16" s="50">
        <f>SUMIF(H4:H14,"Fonctionnement",D4:D14)</f>
        <v>916666.66666666674</v>
      </c>
      <c r="E16" s="44"/>
      <c r="F16" s="44"/>
      <c r="G16" s="44"/>
      <c r="H16" s="44"/>
      <c r="I16" s="45"/>
      <c r="M16" s="19"/>
    </row>
    <row r="17" spans="1:9" ht="42.75" customHeight="1">
      <c r="A17" s="114" t="s">
        <v>60</v>
      </c>
      <c r="B17" s="114"/>
      <c r="C17" s="114"/>
      <c r="D17" s="115"/>
      <c r="E17" s="115"/>
      <c r="F17" s="115"/>
      <c r="G17" s="115"/>
      <c r="H17" s="115"/>
      <c r="I17" s="115"/>
    </row>
  </sheetData>
  <mergeCells count="9">
    <mergeCell ref="A1:B1"/>
    <mergeCell ref="C1:I1"/>
    <mergeCell ref="A2:B2"/>
    <mergeCell ref="C2:I2"/>
    <mergeCell ref="A17:I17"/>
    <mergeCell ref="I6:I9"/>
    <mergeCell ref="A15:C15"/>
    <mergeCell ref="A16:C16"/>
    <mergeCell ref="I4:I5"/>
  </mergeCells>
  <printOptions horizontalCentered="1"/>
  <pageMargins left="0.31496062992125984" right="0.31496062992125984" top="0.55118110236220474" bottom="0.55118110236220474" header="0.31496062992125984" footer="0.31496062992125984"/>
  <pageSetup paperSize="9" scale="34" orientation="landscape" horizontalDpi="4294967294" verticalDpi="4294967294"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6"/>
  <sheetViews>
    <sheetView zoomScale="60" zoomScaleNormal="60" workbookViewId="0">
      <selection activeCell="B23" sqref="B23"/>
    </sheetView>
  </sheetViews>
  <sheetFormatPr baseColWidth="10" defaultColWidth="11.42578125" defaultRowHeight="14.25"/>
  <cols>
    <col min="1" max="1" width="83.5703125" style="1" customWidth="1"/>
    <col min="2" max="2" width="46.85546875" style="49" customWidth="1"/>
    <col min="3" max="3" width="20" style="1" customWidth="1"/>
    <col min="4" max="4" width="17.140625" style="1" customWidth="1"/>
    <col min="5" max="5" width="28.42578125" style="1" customWidth="1"/>
    <col min="6" max="6" width="78.42578125" style="1" customWidth="1"/>
    <col min="7" max="7" width="70" style="1" customWidth="1"/>
    <col min="8" max="16384" width="11.42578125" style="1"/>
  </cols>
  <sheetData>
    <row r="1" spans="1:7" ht="45" customHeight="1">
      <c r="A1" s="109" t="s">
        <v>63</v>
      </c>
      <c r="B1" s="120"/>
      <c r="C1" s="120"/>
      <c r="D1" s="120"/>
      <c r="E1" s="110"/>
      <c r="F1" s="2">
        <v>2026</v>
      </c>
    </row>
    <row r="2" spans="1:7" ht="45" customHeight="1">
      <c r="A2" s="109" t="s">
        <v>11</v>
      </c>
      <c r="B2" s="120"/>
      <c r="C2" s="120"/>
      <c r="D2" s="120"/>
      <c r="E2" s="110"/>
      <c r="F2" s="2" t="s">
        <v>131</v>
      </c>
    </row>
    <row r="3" spans="1:7" ht="81" customHeight="1">
      <c r="A3" s="22" t="s">
        <v>0</v>
      </c>
      <c r="B3" s="22" t="s">
        <v>5</v>
      </c>
      <c r="C3" s="22" t="s">
        <v>16</v>
      </c>
      <c r="D3" s="22" t="s">
        <v>2</v>
      </c>
      <c r="E3" s="22" t="s">
        <v>15</v>
      </c>
      <c r="F3" s="22" t="s">
        <v>10</v>
      </c>
    </row>
    <row r="4" spans="1:7" ht="45" customHeight="1">
      <c r="A4" s="36" t="s">
        <v>66</v>
      </c>
      <c r="B4" s="31" t="s">
        <v>13</v>
      </c>
      <c r="C4" s="32">
        <v>148800</v>
      </c>
      <c r="D4" s="31" t="s">
        <v>14</v>
      </c>
      <c r="E4" s="42">
        <v>2026</v>
      </c>
      <c r="F4" s="32" t="s">
        <v>38</v>
      </c>
    </row>
    <row r="5" spans="1:7" ht="45" customHeight="1">
      <c r="A5" s="12" t="s">
        <v>67</v>
      </c>
      <c r="B5" s="9" t="s">
        <v>13</v>
      </c>
      <c r="C5" s="5">
        <v>148800</v>
      </c>
      <c r="D5" s="9" t="s">
        <v>14</v>
      </c>
      <c r="E5" s="37">
        <v>2026</v>
      </c>
      <c r="F5" s="5" t="s">
        <v>38</v>
      </c>
    </row>
    <row r="6" spans="1:7" ht="45" customHeight="1">
      <c r="A6" s="36" t="s">
        <v>68</v>
      </c>
      <c r="B6" s="31" t="s">
        <v>13</v>
      </c>
      <c r="C6" s="32">
        <v>96000</v>
      </c>
      <c r="D6" s="31" t="s">
        <v>14</v>
      </c>
      <c r="E6" s="42">
        <v>2026</v>
      </c>
      <c r="F6" s="32" t="s">
        <v>38</v>
      </c>
    </row>
    <row r="7" spans="1:7" ht="45" customHeight="1">
      <c r="A7" s="12" t="s">
        <v>69</v>
      </c>
      <c r="B7" s="9" t="s">
        <v>13</v>
      </c>
      <c r="C7" s="5">
        <v>96000</v>
      </c>
      <c r="D7" s="9" t="s">
        <v>14</v>
      </c>
      <c r="E7" s="37">
        <v>2026</v>
      </c>
      <c r="F7" s="5" t="s">
        <v>38</v>
      </c>
    </row>
    <row r="8" spans="1:7" ht="45" customHeight="1">
      <c r="A8" s="36" t="s">
        <v>70</v>
      </c>
      <c r="B8" s="31" t="s">
        <v>13</v>
      </c>
      <c r="C8" s="32">
        <v>96000</v>
      </c>
      <c r="D8" s="31" t="s">
        <v>14</v>
      </c>
      <c r="E8" s="42">
        <v>2026</v>
      </c>
      <c r="F8" s="32" t="s">
        <v>38</v>
      </c>
    </row>
    <row r="9" spans="1:7" ht="45" customHeight="1">
      <c r="A9" s="12" t="s">
        <v>71</v>
      </c>
      <c r="B9" s="9" t="s">
        <v>13</v>
      </c>
      <c r="C9" s="5">
        <v>96000</v>
      </c>
      <c r="D9" s="9" t="s">
        <v>14</v>
      </c>
      <c r="E9" s="37">
        <v>2026</v>
      </c>
      <c r="F9" s="5" t="s">
        <v>38</v>
      </c>
    </row>
    <row r="10" spans="1:7" ht="45" customHeight="1">
      <c r="A10" s="36" t="s">
        <v>72</v>
      </c>
      <c r="B10" s="31" t="s">
        <v>13</v>
      </c>
      <c r="C10" s="32">
        <v>96000</v>
      </c>
      <c r="D10" s="31" t="s">
        <v>14</v>
      </c>
      <c r="E10" s="42">
        <v>2026</v>
      </c>
      <c r="F10" s="32" t="s">
        <v>38</v>
      </c>
    </row>
    <row r="11" spans="1:7" ht="45" customHeight="1">
      <c r="A11" s="12" t="s">
        <v>78</v>
      </c>
      <c r="B11" s="9" t="s">
        <v>13</v>
      </c>
      <c r="C11" s="5">
        <v>15000</v>
      </c>
      <c r="D11" s="9" t="s">
        <v>14</v>
      </c>
      <c r="E11" s="37" t="s">
        <v>134</v>
      </c>
      <c r="F11" s="5" t="s">
        <v>38</v>
      </c>
    </row>
    <row r="12" spans="1:7" ht="81" customHeight="1">
      <c r="A12" s="22" t="s">
        <v>0</v>
      </c>
      <c r="B12" s="22" t="s">
        <v>5</v>
      </c>
      <c r="C12" s="22" t="s">
        <v>45</v>
      </c>
      <c r="D12" s="22" t="s">
        <v>2</v>
      </c>
      <c r="E12" s="22" t="s">
        <v>15</v>
      </c>
      <c r="F12" s="22" t="s">
        <v>10</v>
      </c>
    </row>
    <row r="13" spans="1:7" ht="45" customHeight="1">
      <c r="A13" s="12" t="s">
        <v>74</v>
      </c>
      <c r="B13" s="9" t="s">
        <v>73</v>
      </c>
      <c r="C13" s="5">
        <v>339840</v>
      </c>
      <c r="D13" s="9" t="s">
        <v>14</v>
      </c>
      <c r="E13" s="37" t="s">
        <v>46</v>
      </c>
      <c r="F13" s="5" t="s">
        <v>38</v>
      </c>
    </row>
    <row r="14" spans="1:7" ht="60" customHeight="1">
      <c r="A14" s="12" t="s">
        <v>50</v>
      </c>
      <c r="B14" s="38" t="s">
        <v>76</v>
      </c>
      <c r="C14" s="5">
        <v>4000000</v>
      </c>
      <c r="D14" s="9" t="s">
        <v>14</v>
      </c>
      <c r="E14" s="5" t="s">
        <v>75</v>
      </c>
      <c r="F14" s="5" t="s">
        <v>41</v>
      </c>
      <c r="G14" s="3" t="s">
        <v>59</v>
      </c>
    </row>
    <row r="15" spans="1:7" ht="108">
      <c r="A15" s="12" t="s">
        <v>81</v>
      </c>
      <c r="B15" s="9" t="s">
        <v>73</v>
      </c>
      <c r="C15" s="5">
        <v>114720</v>
      </c>
      <c r="D15" s="9" t="s">
        <v>14</v>
      </c>
      <c r="E15" s="5" t="s">
        <v>75</v>
      </c>
      <c r="F15" s="5" t="s">
        <v>41</v>
      </c>
      <c r="G15" s="10" t="s">
        <v>80</v>
      </c>
    </row>
    <row r="16" spans="1:7" ht="54">
      <c r="A16" s="57" t="s">
        <v>82</v>
      </c>
      <c r="B16" s="58" t="s">
        <v>73</v>
      </c>
      <c r="C16" s="59">
        <v>370000</v>
      </c>
      <c r="D16" s="58" t="s">
        <v>14</v>
      </c>
      <c r="E16" s="59" t="s">
        <v>75</v>
      </c>
      <c r="F16" s="5" t="s">
        <v>41</v>
      </c>
      <c r="G16" s="60" t="s">
        <v>83</v>
      </c>
    </row>
  </sheetData>
  <mergeCells count="2">
    <mergeCell ref="A1:E1"/>
    <mergeCell ref="A2:E2"/>
  </mergeCells>
  <phoneticPr fontId="3" type="noConversion"/>
  <printOptions horizontalCentered="1"/>
  <pageMargins left="0.59055118110236227" right="0.59055118110236227" top="0.98425196850393704" bottom="0.98425196850393704" header="0.59055118110236227" footer="0.59055118110236227"/>
  <pageSetup paperSize="9" scale="48" orientation="landscape" horizontalDpi="400" verticalDpi="200" r:id="rId1"/>
  <headerFooter>
    <oddHeader>&amp;L&amp;"Times New Roman,Gras"&amp;12PLAN PREVISIONNEL BUDGETAIRE&amp;C&amp;"Times New Roman,Gras"&amp;12CONTRAT-CONVENTION DE DROIT COMMUN&amp;R&amp;"Times New Roman,Gras"&amp;12 2025</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4</vt:i4>
      </vt:variant>
    </vt:vector>
  </HeadingPairs>
  <TitlesOfParts>
    <vt:vector size="8" baseType="lpstr">
      <vt:lpstr>Marchés</vt:lpstr>
      <vt:lpstr>Marchés Reconductibles</vt:lpstr>
      <vt:lpstr>Bons de commande </vt:lpstr>
      <vt:lpstr>Contrat-Convention de droit</vt:lpstr>
      <vt:lpstr>'Bons de commande '!Zone_d_impression</vt:lpstr>
      <vt:lpstr>'Contrat-Convention de droit'!Zone_d_impression</vt:lpstr>
      <vt:lpstr>Marchés!Zone_d_impression</vt:lpstr>
      <vt:lpstr>'Marchés Reconductibles'!Zone_d_impression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2026-06-23T13:19:46Z</dcterms:modified>
</cp:coreProperties>
</file>