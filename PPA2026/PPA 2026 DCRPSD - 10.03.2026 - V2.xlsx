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08"/>
  <workbookPr autoCompressPictures="0"/>
  <mc:AlternateContent xmlns:mc="http://schemas.openxmlformats.org/markup-compatibility/2006">
    <mc:Choice Requires="x15">
      <x15ac:absPath xmlns:x15ac="http://schemas.microsoft.com/office/spreadsheetml/2010/11/ac" url="/Users/elboukhari/Desktop/"/>
    </mc:Choice>
  </mc:AlternateContent>
  <xr:revisionPtr revIDLastSave="0" documentId="13_ncr:1_{34CEB502-843B-6940-AAA3-19F5EFC2999F}" xr6:coauthVersionLast="47" xr6:coauthVersionMax="47" xr10:uidLastSave="{00000000-0000-0000-0000-000000000000}"/>
  <bookViews>
    <workbookView xWindow="2260" yWindow="500" windowWidth="28800" windowHeight="15940" activeTab="1" xr2:uid="{00000000-000D-0000-FFFF-FFFF00000000}"/>
  </bookViews>
  <sheets>
    <sheet name="Marchés" sheetId="1" r:id="rId1"/>
    <sheet name="Bons de commande" sheetId="4" r:id="rId2"/>
    <sheet name="Contrat-Convention de droit com" sheetId="3" r:id="rId3"/>
    <sheet name="Contrats prod" sheetId="5"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C26" i="1" l="1"/>
  <c r="D39" i="3"/>
  <c r="D44" i="3" l="1"/>
  <c r="D38" i="3" l="1"/>
  <c r="D40" i="3"/>
  <c r="D37" i="3"/>
  <c r="D41" i="3" s="1"/>
  <c r="C30" i="1" l="1"/>
</calcChain>
</file>

<file path=xl/sharedStrings.xml><?xml version="1.0" encoding="utf-8"?>
<sst xmlns="http://schemas.openxmlformats.org/spreadsheetml/2006/main" count="242" uniqueCount="136">
  <si>
    <t xml:space="preserve">Nature de la prestation </t>
  </si>
  <si>
    <t>Lieu d'execution</t>
  </si>
  <si>
    <t>Mode de passation</t>
  </si>
  <si>
    <t>Période prévue 
pour le lancement</t>
  </si>
  <si>
    <t>Budget Prévisionnel (TTC)</t>
  </si>
  <si>
    <t>Nature Budget</t>
  </si>
  <si>
    <t>ANNEE</t>
  </si>
  <si>
    <t>PROGRAMME PREVISIONNEL DES ACHATS</t>
  </si>
  <si>
    <t>OBJET
(le plus détaillé possible)</t>
  </si>
  <si>
    <t>Période d'exécution</t>
  </si>
  <si>
    <t>Justification du besoin</t>
  </si>
  <si>
    <t xml:space="preserve"> Fréquence de diffusion</t>
  </si>
  <si>
    <t>Durée de l'épisode en mn</t>
  </si>
  <si>
    <t>Type de production</t>
  </si>
  <si>
    <t>Nbr de Programmes / Prestation</t>
  </si>
  <si>
    <t>Budget Prévisionnel (TTC) par episode</t>
  </si>
  <si>
    <t>Nb épisode</t>
  </si>
  <si>
    <t>DIRECTION …</t>
  </si>
  <si>
    <t>PME (Oui / Non)</t>
  </si>
  <si>
    <t>Prestation de maintenance corrective, maintenance évolutive, d'assistance utilisateur, d'assistance technique et des mises à jour de Media Pilot, Logiciel de gestion de la commercialisation de l'espace publicitaire des supports TV Radio de la SNRT</t>
  </si>
  <si>
    <t xml:space="preserve"> Dans le cadre du fonctionnement au quotidien de l’entité des Solutions Digitales dont la mission principale est l’accompagnement de la stratégie Digitale de la SNRT et le développement de plateformes digitales. Le présent besoin a pour objet de mettre à la disposition de l'équipe développement d'outils et de solution Multifoncionle leur permettant de gérer la maintenance curative et évolutive des plateformes digitales de la SNRT.</t>
  </si>
  <si>
    <t>Maintenir la conformité, démontrer l'engagement envers la qualité, améliorer la performance, réduire les risques, satisfaire les exigences du marché, optmisier la gestion des processus ,,,</t>
  </si>
  <si>
    <t>L'objectif principal de la maintenance est de garantir que le système de Business Intelligence est toujours disponible pour les utilisateurs. Cela implique la surveillance constante du système pour détecter et résoudre les problèmes qui pourraient entraîner des temps d'arrêt.
Assurer que le système fonctionne avec des performances optimales. Cela signifie surveiller les temps de réponse, les requêtes, la vitesse de génération de rapports, etc., et intervenir si des problèmes de performance sont détectés.
Assurer que la solution de BI est mise à jour avec les dernières versions de logiciels et de bases de données. Cela peut également inclure l'ajout de nouvelles fonctionnalités ou l'amélioration des fonctionnalités existantes pour répondre aux besoins changeants de l'entreprise.</t>
  </si>
  <si>
    <t xml:space="preserve">Le besoin a pour objet d'assurer à la Régie Publicitaire des prestations de maintenance corrective, évolutive et d’assistance utilisateur. De même, le prestataire doit assurer à la Régie Publicitaire le maintien de compétences au sein de sa société pour faire évoluer le LOGICIEL utilisé dans des conditions normales d'exploitation. La maintenance de Media Pilot vise à garantir que le SI reste performant, opérationnel et assurer des réponses rapides face aux problémes éventuels </t>
  </si>
  <si>
    <t>La DMP permettra également de booster l’achat premium en offrant aux annonceurs des segments d’audiences plus qualifiés à partir des données collectées.</t>
  </si>
  <si>
    <t>Démontrer l'impact publictaire des campagnes TV (linéaire et BVOD) vs VOL selon le postulat: « plus d’engagement, c’est plus d’attention, plus d’émergence, plus de mémorisation et donc plus de conversion pour les maques»</t>
  </si>
  <si>
    <t xml:space="preserve">Le prestataire doit garantir la maintenance de la plateforme, pour garantir un bon niveau de performance et une haute disponibilité du service. Suivant les points listés ci-dessous:
1. En cas de besoin, migration des serveurs Lotus Domino vers la nouvelle version en assurant le minimum de coupure des flux de messages entrants et sortants. Le titulaire devra effectuer une montée en version des serveurs et s'assurer du bon fonctionnement de toutes les fonctions actuellement exploitées par la DRPSD
• Optimisation de la configuration actuelle 
• Revues des politiques 
• Intégration des nouvelles fonctionnalités des dernières versions
2. Pilote de migration des clients
• Choix de la ou des versions du client Lotus Notes en fonction du contexte de la DRPSD. Lourd client 
• Choix de la méthodologie de migration 
• Élaboration d'une procédure et d'un plan de migration des clients Lotus Notes
• Assistance à la migration des postes de travail 
3. Accompagnement au changement
• Production d'un mémento 
• Formation sur les nouvelles fonctionnalités 
• Soutien au support de la Régie Publicitaire de la SNRT et des Solutions Digitales
• Transfert des compétences sur la nouvelle plateforme 
4. La maintenance, objet du présent appel d'offre ouvert, vise à la réalisation des prestations de maintenance de l'infrastructure Lotus Notes/Domino. 
</t>
  </si>
  <si>
    <t>DRPSD</t>
  </si>
  <si>
    <t>Exploitation</t>
  </si>
  <si>
    <t xml:space="preserve">Exploitation </t>
  </si>
  <si>
    <t xml:space="preserve">Investissement </t>
  </si>
  <si>
    <t xml:space="preserve">Accompagnement et Sponsoring des plateformes digitales </t>
  </si>
  <si>
    <t>Entretien du matériel informatique de la DRPSD</t>
  </si>
  <si>
    <t xml:space="preserve">Achat de licences ORACLE </t>
  </si>
  <si>
    <t>Achat de consommable</t>
  </si>
  <si>
    <t>Les campagnes publicitaires seront gérées depuis Ad manager ce qui permettra
d’unifier la gestion des campagnes publicitaires digitales sur les supports à savoir:
snrtnews, application botola et site Arryadia depuis une seule et unique plateforme.</t>
  </si>
  <si>
    <t>Etudes des audiences TV ( Marocmétrie)  (one tv year, cibles,…)</t>
  </si>
  <si>
    <t>L’hébergement de la plateforme SNRTNEWS, la plateforme BOTOLA– Web, mobile (Android et IOS) et TV,</t>
  </si>
  <si>
    <t xml:space="preserve">Hébergement relatif aux plateformes de test </t>
  </si>
  <si>
    <t xml:space="preserve">Réferencement de la plate forme SNRTNEWS et Mise en place de la stratégie digitale </t>
  </si>
  <si>
    <t>Egta</t>
  </si>
  <si>
    <t>Prestataires services Local RPSD - SNRTNEWS</t>
  </si>
  <si>
    <t>Prestataires services Local RPSD</t>
  </si>
  <si>
    <t>CIRAD part  Régie</t>
  </si>
  <si>
    <t>CIRAD part annonceurs</t>
  </si>
  <si>
    <t>CIAUMED part Régie</t>
  </si>
  <si>
    <t xml:space="preserve">CIAUMED part annonceurs </t>
  </si>
  <si>
    <t xml:space="preserve">Abonnement Push notification </t>
  </si>
  <si>
    <t>DIRECTION DE LA REGIE PUBLICITAIRE ET DES SOLUTIONS DIGITALES DE LA SNRT/ SNRTnews</t>
  </si>
  <si>
    <t>Licences lotus notes</t>
  </si>
  <si>
    <t>Licences CRM: Customer Relationship Management</t>
  </si>
  <si>
    <t xml:space="preserve">Achat de noms de domaines </t>
  </si>
  <si>
    <t xml:space="preserve">1-1 Maintenance corrective : le prestataire s’engagera à assurer le dépannage et la maintenance de la plateforme de sécurité de la DRPSD énumérée en annexe.  
Ce service sera effectué les jours ouvrables avec un délai d’intervention de 24 heures maximum sauf cas majeure. Ces délais se calculent du Lundi au Vendredi, jours fériés exclus, de 8h30 à 12 h 30 et de 14h30 à 18h30. 
- 1-2 Maintenance évolutive : Le prestataire s’engage à effectuer les mises à jour et les mises à niveau vers les versions les plus récentes de tous les équipements et logiciels de la plate-forme de sécurité énumérée en annexe.
- 1.3 Assistance et Support : Le prestataire devra assurer un service de téléassistance sur les équipements (appel téléphonique ou courrier électronique) ou de télémaintenance (maintenance à distance par connexion en temps réel au réseau de la DRPSD).
</t>
  </si>
  <si>
    <t>Le bon fonctionnmemnt: 
Optimisaiton des performanaces, préventions des pannes, durée de vie prolongée ..</t>
  </si>
  <si>
    <t xml:space="preserve">Droit d'utilisation de MEDIA PILOT </t>
  </si>
  <si>
    <t xml:space="preserve">Au cas ou la DSI ne nous approvisionne pas au cours de l'année :  FONCTIONNEMENT CONTINU </t>
  </si>
  <si>
    <t xml:space="preserve">Le CRM est un système ou une approche permettant de centraliser toutes les informations relatives aux clients (historique des achats, interactions avec l'entreprise, préférences, etc.) afin de mieux comprendre leurs besoins, de personnaliser les interactions et d’améliorer la gestion de la relation.
L'objectif principal d'un CRM est d'optimiser l'expérience client tout au long du cycle de vie du client (de l'acquisition à la fidélisation), d'améliorer la collaboration au sein de l'organisation et de maximiser la valeur à long terme des clients.de relation client </t>
  </si>
  <si>
    <t>Notre infrastructure actuelle utilise des licences Lotus obsolètes, ce qui rend impossible toute mise à jour. Afin de garantir la sécurité de nos systèmes, il est impératif de procéder à l'achat d'une nouvelle version de Lotus Notes</t>
  </si>
  <si>
    <t>-</t>
  </si>
  <si>
    <t>Oui</t>
  </si>
  <si>
    <t>oui</t>
  </si>
  <si>
    <t xml:space="preserve">Sponsoring des plateformes digitales </t>
  </si>
  <si>
    <t>Conception  de jungles pour les plateformes digitales</t>
  </si>
  <si>
    <t>VOD: FORJA</t>
  </si>
  <si>
    <t>IMPÉRIUM</t>
  </si>
  <si>
    <t>Capsules Tech &amp; Game</t>
  </si>
  <si>
    <t>Abonnement: AFP</t>
  </si>
  <si>
    <t>OMPIC</t>
  </si>
  <si>
    <t xml:space="preserve">Enquête DigitrendZ </t>
  </si>
  <si>
    <t>Solutions relatives au projet d'homologation RSSI</t>
  </si>
  <si>
    <t xml:space="preserve">Syndicat des copropritaires Twin center </t>
  </si>
  <si>
    <t>Charges communes ( Twin center Tour)</t>
  </si>
  <si>
    <t>Participation RSPD à l'ADS</t>
  </si>
  <si>
    <t xml:space="preserve">Participation RSPD au Ftour GAM </t>
  </si>
  <si>
    <t xml:space="preserve">Participation RSPD aux Impériales </t>
  </si>
  <si>
    <t xml:space="preserve">Organisation d’un évènement marché publicitaire pour la présentation de l’offre publicitaire du mois de Ramadan 2025 </t>
  </si>
  <si>
    <t>Participation à l'évènement Gitex / Délocalisation Snrt News</t>
  </si>
  <si>
    <t xml:space="preserve">DIRECTION DE LA REGIE PUBLICITAIRE ET DES SOLUTIONS DIGITALES DE LA SNRT/ SNRTnews </t>
  </si>
  <si>
    <t>PROGRAMME PREVISIONNEL DES ACHATS 2025</t>
  </si>
  <si>
    <t>Chargé des écrans publicitaires</t>
  </si>
  <si>
    <t>Rabah Naji</t>
  </si>
  <si>
    <t>Chargé de la sécurité des plateformes digitales SNRT</t>
  </si>
  <si>
    <t>MOHAMED CHARIF DJEBLI</t>
  </si>
  <si>
    <t>ABIR BOUZID</t>
  </si>
  <si>
    <t>Fonction</t>
  </si>
  <si>
    <t>Nom et prénom</t>
  </si>
  <si>
    <t xml:space="preserve">Chargée de conducteur </t>
  </si>
  <si>
    <t xml:space="preserve"> Licences utilisateurs</t>
  </si>
  <si>
    <t xml:space="preserve">Développement de projets digitaux </t>
  </si>
  <si>
    <t>Participation de la DRSPD à l'ADS</t>
  </si>
  <si>
    <t xml:space="preserve">Participation de la DRSPD au Ftour GAM </t>
  </si>
  <si>
    <t xml:space="preserve">Participation de la  DRSPD aux Impériales </t>
  </si>
  <si>
    <t xml:space="preserve">Etude des tendances digitales </t>
  </si>
  <si>
    <t xml:space="preserve">Agence France Presse </t>
  </si>
  <si>
    <t xml:space="preserve">VOD: FORJA </t>
  </si>
  <si>
    <t>Achat de pige publicitaire</t>
  </si>
  <si>
    <t>l'EGTA est une organisation qui réunit des régies publicitaires de télévision, des entreprises de médias et des experts de la publicité audiovisuelle en Europe. Son objectif principal est de promouvoir et de développer la publicité à la télévision en Europe. Elle offre un forum où les professionnels de la publicité télévisée peuvent collaborer, partager des informations, et travailler ensemble pour relever les défis de l'industrie et saisir les opportunités émergentes</t>
  </si>
  <si>
    <t>l’hébergement de la plateforme SNRTNEWS, la plateforme BOTOLA– Web, mobile (Android et IOS) et TV,</t>
  </si>
  <si>
    <t>Outil permettant la gestion des notifications des plateformes digitales</t>
  </si>
  <si>
    <t>Abonnement services SNRTnews: Abonnement aux différents services ( Pharmacie, Météo..)</t>
  </si>
  <si>
    <t xml:space="preserve">TOTAL MARCHES </t>
  </si>
  <si>
    <t xml:space="preserve">TOTAL  CONTRATS </t>
  </si>
  <si>
    <t>TOTAL BC</t>
  </si>
  <si>
    <t>DMP: Mise en place d’une plateforme de gestion de données (DMP) pour la collecte et l’analyse de données sociodémographiques et comportementales, afin d'optimiser les campagnes publicitaires sur les plateformes digitales de la régie.</t>
  </si>
  <si>
    <t>Efficacité publicitaire TV (linéaire + BVOD): Analyse de l'impact de l'engagement et de l'attention des téléspectateurs sur les programmes TV : De la mémorisation à l’attractivité pour les marques.</t>
  </si>
  <si>
    <t>Conception de jungles pour les plateformes digitales</t>
  </si>
  <si>
    <t xml:space="preserve"> </t>
  </si>
  <si>
    <t xml:space="preserve">Total annuel </t>
  </si>
  <si>
    <t>Montant mensuel</t>
  </si>
  <si>
    <t>Conception de Capsules Tech &amp; Game</t>
  </si>
  <si>
    <r>
      <t>Assistance et Maintenance de la Solution BI +</t>
    </r>
    <r>
      <rPr>
        <sz val="12"/>
        <color rgb="FFFF0000"/>
        <rFont val="Calibri"/>
        <family val="2"/>
        <scheme val="minor"/>
      </rPr>
      <t xml:space="preserve"> Location de licences</t>
    </r>
  </si>
  <si>
    <t>"Solution Multifonction visant la gestion de projets, la mise en place de la chaine Devops et l’acquisition des Outils de développement : éditeur de code".</t>
  </si>
  <si>
    <t>PRESTATAIRE</t>
  </si>
  <si>
    <t>NATURE DE PRESTATION</t>
  </si>
  <si>
    <t>Jamal EL KHANOUSSI</t>
  </si>
  <si>
    <t>Chargé de la Rédaction et de la coordination et de la production des contenus de la plateforme SNRTnews</t>
  </si>
  <si>
    <t>Audit de suivi N° 2 selon la norme ISO 9001 V 2015</t>
  </si>
  <si>
    <t>Evaluer le retour sur investissements des campagnes TV+BVOD vs autres médias.
A travers des modélisations (économétriques):
-Isoler parmi les différents leviers activés, la contribution totale des médias aux ventes.
- Déterminer la contribution et le R.O.I. de chacun des médias mis en œuvre.</t>
  </si>
  <si>
    <t>Maintenance de la plateforme sécurité Digital et SNRTNEWS</t>
  </si>
  <si>
    <t>Chargée de planning</t>
  </si>
  <si>
    <t>NADIA TALAL</t>
  </si>
  <si>
    <t>LISTE DES PRESTATAIRES EXTERNES 2026 de la Régie Publicitaire et des Solutions digitales</t>
  </si>
  <si>
    <t xml:space="preserve">Abonnement aux différents services digitaux </t>
  </si>
  <si>
    <t xml:space="preserve">Mai-Juin/2026 </t>
  </si>
  <si>
    <t>Maintenance de la plateforme sécurité ' logiciels' RP</t>
  </si>
  <si>
    <t>Abonnement Outil RS</t>
  </si>
  <si>
    <t xml:space="preserve">Mise en place d'une solution GED pour la RP </t>
  </si>
  <si>
    <t>Refonte de la Solution de publicité digitale pour l'ensemble des plateformes digitales de la SNRT</t>
  </si>
  <si>
    <t xml:space="preserve">Restauration : réception clients, réunion clients </t>
  </si>
  <si>
    <t xml:space="preserve">Hébergement relatif aux nouvelles plateformes digitales </t>
  </si>
  <si>
    <t>TOTAL PPA 2026</t>
  </si>
  <si>
    <t>Maintenance de la messagerie Lotus notes de la DRPSD: La présente prestation a pour objet d’assurer la maintenance, l’administration et le support technique de la plateforme de messagerie basée sur IBM Lotus Notes / HCL Domino, afin de garantir la disponibilité, la sécurité et la performance du système de messagerie utilisé par les utilisateurs de l’organisation.</t>
  </si>
  <si>
    <t>Media service Media Service est une plate-forme Web et un
extranet offrant des services aux agences, aux
annonceurs et aux équipes internes. Il offre des
services Cross Media en temps réel, tels que la
mise à disposition d'informations, de docu-
ments et l'accès à des statistiques.</t>
  </si>
  <si>
    <t xml:space="preserve">JAM Allocator : un module web (JAM) qui permet de s'identifier et selon le profil de con-
nexion de pouvoir saisir des critères d'un brief ( au niveau de MEDIA SERVICES) </t>
  </si>
  <si>
    <t xml:space="preserve">Etude ROI: en marketing consiste à mesurer la rentabilité d’une action ou d’un investissement marketing en comparant les gains générés avec les coûts engagés. Elle permet d’évaluer si une campagne, un outil ou une plateforme apporte une valeur économique réelle à l’entreprise. </t>
  </si>
  <si>
    <t>Achat de licences utilisateurs,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</si>
</sst>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 _€_-;\-* #,##0.00\ _€_-;_-* &quot;-&quot;??\ _€_-;_-@_-"/>
    <numFmt numFmtId="165" formatCode="_-* #,##0.00\ _F_-;\-* #,##0.00\ _F_-;_-* &quot;-&quot;??\ _F_-;_-@_-"/>
    <numFmt numFmtId="166" formatCode="#,##0.00\ [$DH-380C]"/>
    <numFmt numFmtId="167" formatCode="_ * #,##0.00_)\ _€_ ;_ * \(#,##0.00\)\ _€_ ;_ * &quot;-&quot;??_)\ _€_ ;_ @_ "/>
  </numFmts>
  <fonts count="27"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b/>
      <sz val="11"/>
      <color theme="0"/>
      <name val="Calibri"/>
      <family val="2"/>
      <scheme val="minor"/>
    </font>
    <font>
      <b/>
      <sz val="11"/>
      <color theme="1"/>
      <name val="Calibri"/>
      <family val="2"/>
      <scheme val="minor"/>
    </font>
    <font>
      <b/>
      <sz val="12"/>
      <color theme="1"/>
      <name val="Calibri"/>
      <family val="2"/>
      <scheme val="minor"/>
    </font>
    <font>
      <u/>
      <sz val="11"/>
      <color theme="10"/>
      <name val="Calibri"/>
      <family val="2"/>
      <scheme val="minor"/>
    </font>
    <font>
      <u/>
      <sz val="11"/>
      <color theme="11"/>
      <name val="Calibri"/>
      <family val="2"/>
      <scheme val="minor"/>
    </font>
    <font>
      <sz val="11"/>
      <name val="Calibri"/>
      <family val="2"/>
      <scheme val="minor"/>
    </font>
    <font>
      <sz val="11"/>
      <color theme="1"/>
      <name val="Calibri"/>
      <family val="2"/>
      <scheme val="minor"/>
    </font>
    <font>
      <sz val="10"/>
      <color rgb="FF000000"/>
      <name val="Times New Roman"/>
      <family val="1"/>
    </font>
    <font>
      <sz val="10"/>
      <color theme="1"/>
      <name val="Times New Roman"/>
      <family val="1"/>
    </font>
    <font>
      <sz val="10"/>
      <color rgb="FF002060"/>
      <name val="Calibri"/>
      <family val="2"/>
    </font>
    <font>
      <b/>
      <sz val="10"/>
      <color theme="1"/>
      <name val="Calibri"/>
      <family val="2"/>
    </font>
    <font>
      <sz val="12"/>
      <color theme="1"/>
      <name val="Book Antiqua"/>
      <family val="1"/>
    </font>
    <font>
      <sz val="14"/>
      <color theme="1"/>
      <name val="Calibri"/>
      <family val="2"/>
      <scheme val="minor"/>
    </font>
    <font>
      <b/>
      <sz val="12"/>
      <color rgb="FF000000"/>
      <name val="Calibri"/>
      <family val="2"/>
      <scheme val="minor"/>
    </font>
    <font>
      <sz val="12"/>
      <color rgb="FFFF0000"/>
      <name val="Calibri"/>
      <family val="2"/>
      <scheme val="minor"/>
    </font>
    <font>
      <sz val="10"/>
      <color theme="1"/>
      <name val="Calibri"/>
      <family val="2"/>
    </font>
    <font>
      <b/>
      <sz val="10"/>
      <color rgb="FF000000"/>
      <name val="Calibri"/>
      <family val="2"/>
      <scheme val="minor"/>
    </font>
    <font>
      <sz val="10"/>
      <color theme="1"/>
      <name val="Calibri"/>
      <family val="2"/>
      <scheme val="minor"/>
    </font>
    <font>
      <b/>
      <sz val="11"/>
      <name val="Calibri"/>
      <family val="2"/>
      <scheme val="minor"/>
    </font>
    <font>
      <b/>
      <sz val="12"/>
      <name val="Calibri"/>
      <family val="2"/>
      <scheme val="minor"/>
    </font>
    <font>
      <sz val="12"/>
      <color rgb="FF333333"/>
      <name val="Calibri"/>
      <family val="2"/>
      <scheme val="minor"/>
    </font>
    <font>
      <sz val="12"/>
      <name val="Calibri"/>
      <family val="2"/>
      <scheme val="minor"/>
    </font>
    <font>
      <sz val="12"/>
      <color rgb="FF000000"/>
      <name val="Calibri"/>
      <family val="2"/>
      <scheme val="minor"/>
    </font>
  </fonts>
  <fills count="19">
    <fill>
      <patternFill patternType="none"/>
    </fill>
    <fill>
      <patternFill patternType="gray125"/>
    </fill>
    <fill>
      <patternFill patternType="solid">
        <fgColor theme="3" tint="0.39997558519241921"/>
        <bgColor indexed="64"/>
      </patternFill>
    </fill>
    <fill>
      <patternFill patternType="solid">
        <fgColor theme="3" tint="0.59999389629810485"/>
        <bgColor indexed="64"/>
      </patternFill>
    </fill>
    <fill>
      <patternFill patternType="solid">
        <fgColor theme="0" tint="-4.9989318521683403E-2"/>
        <bgColor indexed="64"/>
      </patternFill>
    </fill>
    <fill>
      <patternFill patternType="solid">
        <fgColor theme="0"/>
        <bgColor indexed="64"/>
      </patternFill>
    </fill>
    <fill>
      <patternFill patternType="solid">
        <fgColor rgb="FF00B0F0"/>
        <bgColor indexed="64"/>
      </patternFill>
    </fill>
    <fill>
      <patternFill patternType="solid">
        <fgColor theme="2" tint="-0.249977111117893"/>
        <bgColor indexed="64"/>
      </patternFill>
    </fill>
    <fill>
      <patternFill patternType="solid">
        <fgColor theme="2" tint="-0.499984740745262"/>
        <bgColor indexed="64"/>
      </patternFill>
    </fill>
    <fill>
      <patternFill patternType="solid">
        <fgColor rgb="FFFFFF00"/>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theme="9" tint="0.39997558519241921"/>
        <bgColor indexed="64"/>
      </patternFill>
    </fill>
    <fill>
      <patternFill patternType="solid">
        <fgColor rgb="FF7030A0"/>
        <bgColor indexed="64"/>
      </patternFill>
    </fill>
    <fill>
      <patternFill patternType="solid">
        <fgColor rgb="FFEF87CA"/>
        <bgColor indexed="64"/>
      </patternFill>
    </fill>
    <fill>
      <patternFill patternType="solid">
        <fgColor rgb="FFF3CEEB"/>
        <bgColor indexed="64"/>
      </patternFill>
    </fill>
    <fill>
      <patternFill patternType="solid">
        <fgColor rgb="FFEA8CE5"/>
        <bgColor indexed="64"/>
      </patternFill>
    </fill>
    <fill>
      <patternFill patternType="solid">
        <fgColor rgb="FFE95FE7"/>
        <bgColor indexed="64"/>
      </patternFill>
    </fill>
    <fill>
      <patternFill patternType="solid">
        <fgColor rgb="FFFAEFFB"/>
        <bgColor indexed="64"/>
      </patternFill>
    </fill>
  </fills>
  <borders count="8">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s>
  <cellStyleXfs count="334">
    <xf numFmtId="0" fontId="0" fillId="0" borderId="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164" fontId="10" fillId="0" borderId="0" applyFont="0" applyFill="0" applyBorder="0" applyAlignment="0" applyProtection="0"/>
  </cellStyleXfs>
  <cellXfs count="124">
    <xf numFmtId="0" fontId="0" fillId="0" borderId="0" xfId="0"/>
    <xf numFmtId="0" fontId="4" fillId="2" borderId="1" xfId="0" applyFont="1" applyFill="1" applyBorder="1" applyAlignment="1">
      <alignment horizontal="center" vertical="center" wrapText="1"/>
    </xf>
    <xf numFmtId="0" fontId="0" fillId="0" borderId="1" xfId="0" applyBorder="1" applyAlignment="1">
      <alignment vertical="center" wrapText="1"/>
    </xf>
    <xf numFmtId="0" fontId="0" fillId="4" borderId="1" xfId="0" applyFill="1" applyBorder="1"/>
    <xf numFmtId="0" fontId="5" fillId="3" borderId="1" xfId="0" applyFont="1" applyFill="1" applyBorder="1" applyAlignment="1">
      <alignment horizontal="center"/>
    </xf>
    <xf numFmtId="0" fontId="0" fillId="0" borderId="0" xfId="0" applyAlignment="1">
      <alignment vertical="center"/>
    </xf>
    <xf numFmtId="0" fontId="0" fillId="0" borderId="1" xfId="0" applyBorder="1" applyAlignment="1">
      <alignment horizontal="left" vertical="center" wrapText="1"/>
    </xf>
    <xf numFmtId="0" fontId="0" fillId="0" borderId="1" xfId="0" applyBorder="1" applyAlignment="1">
      <alignment horizontal="center" vertical="center" wrapText="1"/>
    </xf>
    <xf numFmtId="4" fontId="11" fillId="0" borderId="5" xfId="0" applyNumberFormat="1" applyFont="1" applyBorder="1" applyAlignment="1">
      <alignment horizontal="center" vertical="center" wrapText="1"/>
    </xf>
    <xf numFmtId="0" fontId="0" fillId="0" borderId="6" xfId="0" applyBorder="1" applyAlignment="1">
      <alignment horizontal="center" vertical="center" wrapText="1"/>
    </xf>
    <xf numFmtId="0" fontId="11" fillId="0" borderId="1" xfId="0" applyFont="1" applyBorder="1" applyAlignment="1">
      <alignment horizontal="center" vertical="center" wrapText="1"/>
    </xf>
    <xf numFmtId="0" fontId="0" fillId="0" borderId="5" xfId="0" applyBorder="1" applyAlignment="1">
      <alignment horizontal="center" vertical="center" wrapText="1"/>
    </xf>
    <xf numFmtId="0" fontId="12" fillId="0" borderId="1" xfId="0" applyFont="1" applyBorder="1" applyAlignment="1">
      <alignment horizontal="left" vertical="center" wrapText="1"/>
    </xf>
    <xf numFmtId="0" fontId="13" fillId="0" borderId="1" xfId="0" applyFont="1" applyBorder="1" applyAlignment="1">
      <alignment horizontal="left" vertical="center" wrapText="1"/>
    </xf>
    <xf numFmtId="0" fontId="13" fillId="0" borderId="1" xfId="0" applyFont="1" applyBorder="1" applyAlignment="1">
      <alignment horizontal="left" vertical="top" wrapText="1"/>
    </xf>
    <xf numFmtId="0" fontId="0" fillId="0" borderId="0" xfId="0" applyAlignment="1">
      <alignment horizontal="center" vertical="center"/>
    </xf>
    <xf numFmtId="165" fontId="14" fillId="0" borderId="1" xfId="333" applyNumberFormat="1" applyFont="1" applyFill="1" applyBorder="1" applyAlignment="1">
      <alignment horizontal="center" vertical="center" wrapText="1"/>
    </xf>
    <xf numFmtId="0" fontId="0" fillId="0" borderId="4" xfId="0" applyBorder="1" applyAlignment="1">
      <alignment horizontal="center" vertical="center"/>
    </xf>
    <xf numFmtId="165" fontId="14" fillId="5" borderId="1" xfId="333" applyNumberFormat="1" applyFont="1" applyFill="1" applyBorder="1" applyAlignment="1">
      <alignment horizontal="center" vertical="center" wrapText="1"/>
    </xf>
    <xf numFmtId="0" fontId="15" fillId="0" borderId="1" xfId="0" applyFont="1" applyBorder="1" applyAlignment="1">
      <alignment horizontal="left" vertical="center" wrapText="1"/>
    </xf>
    <xf numFmtId="0" fontId="3" fillId="0" borderId="1" xfId="0" applyFont="1" applyBorder="1" applyAlignment="1">
      <alignment horizontal="left" vertical="center" wrapText="1"/>
    </xf>
    <xf numFmtId="164" fontId="3" fillId="0" borderId="1" xfId="333" applyFont="1" applyFill="1" applyBorder="1" applyAlignment="1">
      <alignment horizontal="left" vertical="center" wrapText="1"/>
    </xf>
    <xf numFmtId="0" fontId="0" fillId="0" borderId="1" xfId="0" applyBorder="1" applyAlignment="1">
      <alignment vertical="center"/>
    </xf>
    <xf numFmtId="0" fontId="0" fillId="0" borderId="1" xfId="0" applyBorder="1"/>
    <xf numFmtId="0" fontId="5" fillId="4" borderId="3" xfId="0" applyFont="1" applyFill="1" applyBorder="1" applyAlignment="1">
      <alignment horizontal="center" vertical="center" wrapText="1"/>
    </xf>
    <xf numFmtId="17" fontId="9" fillId="0" borderId="1" xfId="0" applyNumberFormat="1" applyFont="1" applyBorder="1" applyAlignment="1">
      <alignment horizontal="center" vertical="center"/>
    </xf>
    <xf numFmtId="0" fontId="16" fillId="0" borderId="0" xfId="0" applyFont="1"/>
    <xf numFmtId="0" fontId="17" fillId="6" borderId="1" xfId="0" applyFont="1" applyFill="1" applyBorder="1" applyAlignment="1">
      <alignment horizontal="center" vertical="center"/>
    </xf>
    <xf numFmtId="0" fontId="16" fillId="7" borderId="0" xfId="0" applyFont="1" applyFill="1" applyAlignment="1">
      <alignment wrapText="1"/>
    </xf>
    <xf numFmtId="0" fontId="0" fillId="8" borderId="1" xfId="0" applyFill="1" applyBorder="1"/>
    <xf numFmtId="164" fontId="0" fillId="0" borderId="0" xfId="0" applyNumberFormat="1"/>
    <xf numFmtId="0" fontId="0" fillId="0" borderId="0" xfId="0" applyAlignment="1">
      <alignment horizontal="center" vertical="center" wrapText="1"/>
    </xf>
    <xf numFmtId="0" fontId="0" fillId="0" borderId="7" xfId="0" applyBorder="1" applyAlignment="1">
      <alignment horizontal="center" vertical="center"/>
    </xf>
    <xf numFmtId="0" fontId="0" fillId="0" borderId="1" xfId="0" applyBorder="1" applyAlignment="1">
      <alignment horizontal="center" vertical="center"/>
    </xf>
    <xf numFmtId="17" fontId="0" fillId="0" borderId="1" xfId="0" applyNumberFormat="1" applyBorder="1" applyAlignment="1">
      <alignment horizontal="center" vertical="center"/>
    </xf>
    <xf numFmtId="164" fontId="0" fillId="0" borderId="0" xfId="0" applyNumberFormat="1" applyAlignment="1">
      <alignment horizontal="center" vertical="center"/>
    </xf>
    <xf numFmtId="0" fontId="0" fillId="10" borderId="0" xfId="0" applyFill="1" applyAlignment="1">
      <alignment horizontal="center" vertical="center"/>
    </xf>
    <xf numFmtId="0" fontId="0" fillId="12" borderId="0" xfId="0" applyFill="1" applyAlignment="1">
      <alignment horizontal="center" vertical="center"/>
    </xf>
    <xf numFmtId="0" fontId="0" fillId="11" borderId="0" xfId="0" applyFill="1" applyAlignment="1">
      <alignment horizontal="center" vertical="center"/>
    </xf>
    <xf numFmtId="17" fontId="0" fillId="0" borderId="1" xfId="0" applyNumberFormat="1" applyBorder="1" applyAlignment="1">
      <alignment vertical="center"/>
    </xf>
    <xf numFmtId="17" fontId="0" fillId="0" borderId="4" xfId="0" applyNumberFormat="1" applyBorder="1" applyAlignment="1">
      <alignment vertical="center"/>
    </xf>
    <xf numFmtId="164" fontId="5" fillId="9" borderId="0" xfId="0" applyNumberFormat="1" applyFont="1" applyFill="1"/>
    <xf numFmtId="0" fontId="0" fillId="0" borderId="0" xfId="0" applyAlignment="1">
      <alignment horizontal="left" vertical="center"/>
    </xf>
    <xf numFmtId="0" fontId="0" fillId="0" borderId="0" xfId="0" applyAlignment="1">
      <alignment horizontal="left" vertical="center" wrapText="1"/>
    </xf>
    <xf numFmtId="164" fontId="5" fillId="9" borderId="0" xfId="0" applyNumberFormat="1" applyFont="1" applyFill="1" applyAlignment="1">
      <alignment horizontal="center" vertical="center"/>
    </xf>
    <xf numFmtId="0" fontId="19" fillId="5" borderId="1" xfId="0" applyFont="1" applyFill="1" applyBorder="1" applyAlignment="1">
      <alignment horizontal="left" vertical="center" wrapText="1"/>
    </xf>
    <xf numFmtId="166" fontId="19" fillId="5" borderId="1" xfId="0" applyNumberFormat="1" applyFont="1" applyFill="1" applyBorder="1" applyAlignment="1">
      <alignment horizontal="center" vertical="center" wrapText="1"/>
    </xf>
    <xf numFmtId="0" fontId="19" fillId="0" borderId="1" xfId="0" applyFont="1" applyBorder="1" applyAlignment="1">
      <alignment horizontal="justify" vertical="center" wrapText="1"/>
    </xf>
    <xf numFmtId="166" fontId="19" fillId="0" borderId="1" xfId="0" applyNumberFormat="1" applyFont="1" applyBorder="1" applyAlignment="1">
      <alignment horizontal="center" vertical="center" wrapText="1"/>
    </xf>
    <xf numFmtId="0" fontId="19" fillId="5" borderId="1" xfId="0" applyFont="1" applyFill="1" applyBorder="1" applyAlignment="1">
      <alignment horizontal="left" vertical="center"/>
    </xf>
    <xf numFmtId="0" fontId="20" fillId="6" borderId="1" xfId="0" applyFont="1" applyFill="1" applyBorder="1" applyAlignment="1">
      <alignment horizontal="center" vertical="center"/>
    </xf>
    <xf numFmtId="0" fontId="22" fillId="14" borderId="7" xfId="0" applyFont="1" applyFill="1" applyBorder="1" applyAlignment="1">
      <alignment horizontal="center" vertical="center" wrapText="1"/>
    </xf>
    <xf numFmtId="0" fontId="5" fillId="9" borderId="0" xfId="0" applyFont="1" applyFill="1" applyAlignment="1">
      <alignment horizontal="left" vertical="center" wrapText="1"/>
    </xf>
    <xf numFmtId="0" fontId="5" fillId="0" borderId="0" xfId="0" applyFont="1" applyAlignment="1">
      <alignment horizontal="center" vertical="center"/>
    </xf>
    <xf numFmtId="164" fontId="3" fillId="5" borderId="1" xfId="333" applyFont="1" applyFill="1" applyBorder="1" applyAlignment="1">
      <alignment horizontal="left" vertical="center" wrapText="1"/>
    </xf>
    <xf numFmtId="0" fontId="0" fillId="5" borderId="1" xfId="0" applyFill="1" applyBorder="1"/>
    <xf numFmtId="17" fontId="0" fillId="5" borderId="1" xfId="0" applyNumberFormat="1" applyFill="1" applyBorder="1" applyAlignment="1">
      <alignment vertical="center"/>
    </xf>
    <xf numFmtId="0" fontId="3" fillId="5" borderId="1" xfId="0" applyFont="1" applyFill="1" applyBorder="1" applyAlignment="1">
      <alignment horizontal="left" vertical="center" wrapText="1"/>
    </xf>
    <xf numFmtId="0" fontId="2" fillId="0" borderId="1" xfId="0" applyFont="1" applyBorder="1" applyAlignment="1">
      <alignment horizontal="left" vertical="center" wrapText="1"/>
    </xf>
    <xf numFmtId="167" fontId="0" fillId="0" borderId="0" xfId="0" applyNumberFormat="1" applyAlignment="1">
      <alignment horizontal="center" vertical="center"/>
    </xf>
    <xf numFmtId="0" fontId="3" fillId="15" borderId="1" xfId="0" applyFont="1" applyFill="1" applyBorder="1" applyAlignment="1">
      <alignment horizontal="left" vertical="center" wrapText="1"/>
    </xf>
    <xf numFmtId="164" fontId="3" fillId="15" borderId="1" xfId="333" applyFont="1" applyFill="1" applyBorder="1" applyAlignment="1">
      <alignment horizontal="left" vertical="center" wrapText="1"/>
    </xf>
    <xf numFmtId="0" fontId="5" fillId="16" borderId="0" xfId="0" applyFont="1" applyFill="1" applyAlignment="1">
      <alignment horizontal="left" vertical="center"/>
    </xf>
    <xf numFmtId="0" fontId="0" fillId="16" borderId="0" xfId="0" applyFill="1" applyAlignment="1">
      <alignment horizontal="center" vertical="center"/>
    </xf>
    <xf numFmtId="164" fontId="0" fillId="16" borderId="0" xfId="0" applyNumberFormat="1" applyFill="1" applyAlignment="1">
      <alignment horizontal="center" vertical="center"/>
    </xf>
    <xf numFmtId="0" fontId="0" fillId="17" borderId="0" xfId="0" applyFill="1" applyAlignment="1">
      <alignment horizontal="center" vertical="center"/>
    </xf>
    <xf numFmtId="0" fontId="5" fillId="18" borderId="0" xfId="0" applyFont="1" applyFill="1" applyAlignment="1">
      <alignment horizontal="left" vertical="center"/>
    </xf>
    <xf numFmtId="164" fontId="0" fillId="18" borderId="0" xfId="0" applyNumberFormat="1" applyFill="1"/>
    <xf numFmtId="0" fontId="5" fillId="14" borderId="0" xfId="0" applyFont="1" applyFill="1" applyAlignment="1">
      <alignment horizontal="left" vertical="center"/>
    </xf>
    <xf numFmtId="0" fontId="0" fillId="14" borderId="0" xfId="0" applyFill="1" applyAlignment="1">
      <alignment horizontal="center" vertical="center"/>
    </xf>
    <xf numFmtId="164" fontId="3" fillId="14" borderId="0" xfId="0" applyNumberFormat="1" applyFont="1" applyFill="1" applyAlignment="1">
      <alignment horizontal="center" vertical="center"/>
    </xf>
    <xf numFmtId="0" fontId="5" fillId="15" borderId="1" xfId="0" applyFont="1" applyFill="1" applyBorder="1" applyAlignment="1">
      <alignment horizontal="center" vertical="center"/>
    </xf>
    <xf numFmtId="0" fontId="5" fillId="15" borderId="1" xfId="0" applyFont="1" applyFill="1" applyBorder="1" applyAlignment="1">
      <alignment horizontal="center" vertical="center" wrapText="1"/>
    </xf>
    <xf numFmtId="0" fontId="9" fillId="0" borderId="1" xfId="0" applyFont="1" applyBorder="1" applyAlignment="1">
      <alignment horizontal="center" vertical="center" wrapText="1"/>
    </xf>
    <xf numFmtId="164" fontId="0" fillId="0" borderId="1" xfId="333" applyFont="1" applyFill="1" applyBorder="1" applyAlignment="1">
      <alignment horizontal="center" vertical="center" wrapText="1"/>
    </xf>
    <xf numFmtId="0" fontId="9" fillId="0" borderId="1" xfId="0" applyFont="1" applyBorder="1" applyAlignment="1">
      <alignment horizontal="center" vertical="center"/>
    </xf>
    <xf numFmtId="0" fontId="9" fillId="0" borderId="0" xfId="0" applyFont="1" applyAlignment="1">
      <alignment horizontal="center" vertical="center"/>
    </xf>
    <xf numFmtId="0" fontId="0" fillId="0" borderId="1" xfId="0" applyBorder="1" applyAlignment="1">
      <alignment horizontal="center" wrapText="1"/>
    </xf>
    <xf numFmtId="164" fontId="0" fillId="0" borderId="7" xfId="333" applyFont="1" applyFill="1" applyBorder="1" applyAlignment="1">
      <alignment horizontal="center" vertical="center" wrapText="1"/>
    </xf>
    <xf numFmtId="164" fontId="0" fillId="0" borderId="1" xfId="333" applyFont="1" applyBorder="1" applyAlignment="1">
      <alignment horizontal="center" vertical="center"/>
    </xf>
    <xf numFmtId="0" fontId="0" fillId="15" borderId="1" xfId="0" applyFill="1" applyBorder="1"/>
    <xf numFmtId="17" fontId="0" fillId="15" borderId="1" xfId="0" applyNumberFormat="1" applyFill="1" applyBorder="1" applyAlignment="1">
      <alignment vertical="center"/>
    </xf>
    <xf numFmtId="17" fontId="0" fillId="15" borderId="1" xfId="0" applyNumberFormat="1" applyFill="1" applyBorder="1" applyAlignment="1">
      <alignment horizontal="right" vertical="center"/>
    </xf>
    <xf numFmtId="0" fontId="21" fillId="15" borderId="1" xfId="0" applyFont="1" applyFill="1" applyBorder="1" applyAlignment="1">
      <alignment vertical="center"/>
    </xf>
    <xf numFmtId="164" fontId="21" fillId="15" borderId="1" xfId="333" applyFont="1" applyFill="1" applyBorder="1" applyAlignment="1">
      <alignment vertical="center"/>
    </xf>
    <xf numFmtId="0" fontId="6" fillId="15" borderId="3" xfId="0" applyFont="1" applyFill="1" applyBorder="1" applyAlignment="1">
      <alignment horizontal="center" vertical="center"/>
    </xf>
    <xf numFmtId="0" fontId="6" fillId="15" borderId="0" xfId="0" applyFont="1" applyFill="1" applyAlignment="1">
      <alignment horizontal="center" vertical="center"/>
    </xf>
    <xf numFmtId="0" fontId="5" fillId="13" borderId="3" xfId="0" applyFont="1" applyFill="1" applyBorder="1" applyAlignment="1">
      <alignment horizontal="center" vertical="center" wrapText="1"/>
    </xf>
    <xf numFmtId="0" fontId="5" fillId="13" borderId="0" xfId="0" applyFont="1" applyFill="1" applyAlignment="1">
      <alignment horizontal="center" vertical="center" wrapText="1"/>
    </xf>
    <xf numFmtId="0" fontId="6" fillId="3" borderId="3" xfId="0" applyFont="1" applyFill="1" applyBorder="1" applyAlignment="1">
      <alignment horizontal="center"/>
    </xf>
    <xf numFmtId="0" fontId="6" fillId="3" borderId="0" xfId="0" applyFont="1" applyFill="1" applyAlignment="1">
      <alignment horizontal="center"/>
    </xf>
    <xf numFmtId="0" fontId="5" fillId="4" borderId="4" xfId="0" applyFont="1" applyFill="1" applyBorder="1" applyAlignment="1">
      <alignment horizontal="center" vertical="center" wrapText="1"/>
    </xf>
    <xf numFmtId="0" fontId="5" fillId="4" borderId="5" xfId="0" applyFont="1" applyFill="1" applyBorder="1" applyAlignment="1">
      <alignment horizontal="center" vertical="center" wrapText="1"/>
    </xf>
    <xf numFmtId="0" fontId="0" fillId="4" borderId="3" xfId="0" applyFill="1" applyBorder="1" applyAlignment="1">
      <alignment horizontal="center"/>
    </xf>
    <xf numFmtId="0" fontId="0" fillId="4" borderId="0" xfId="0" applyFill="1" applyAlignment="1">
      <alignment horizontal="center"/>
    </xf>
    <xf numFmtId="0" fontId="1" fillId="0" borderId="4" xfId="0" applyFont="1" applyBorder="1" applyAlignment="1">
      <alignment horizontal="left" vertical="center" wrapText="1"/>
    </xf>
    <xf numFmtId="0" fontId="1" fillId="0" borderId="1" xfId="0" applyFont="1" applyBorder="1" applyAlignment="1">
      <alignment horizontal="left" vertical="center" wrapText="1"/>
    </xf>
    <xf numFmtId="164" fontId="1" fillId="0" borderId="1" xfId="333" applyFont="1" applyFill="1" applyBorder="1" applyAlignment="1">
      <alignment horizontal="center" vertical="center" wrapText="1"/>
    </xf>
    <xf numFmtId="0" fontId="1" fillId="0" borderId="1"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 xfId="0" applyFont="1" applyBorder="1" applyAlignment="1">
      <alignment horizontal="center" vertical="center"/>
    </xf>
    <xf numFmtId="164" fontId="1" fillId="5" borderId="1" xfId="333" applyFont="1" applyFill="1" applyBorder="1" applyAlignment="1">
      <alignment horizontal="center" vertical="center" wrapText="1"/>
    </xf>
    <xf numFmtId="0" fontId="1" fillId="5" borderId="4" xfId="0" applyFont="1" applyFill="1" applyBorder="1" applyAlignment="1">
      <alignment horizontal="left" vertical="center" wrapText="1"/>
    </xf>
    <xf numFmtId="0" fontId="1" fillId="15" borderId="4" xfId="0" applyFont="1" applyFill="1" applyBorder="1" applyAlignment="1">
      <alignment horizontal="left" vertical="center" wrapText="1"/>
    </xf>
    <xf numFmtId="164" fontId="1" fillId="15" borderId="1" xfId="333" applyFont="1" applyFill="1" applyBorder="1" applyAlignment="1">
      <alignment horizontal="center" vertical="center" wrapText="1"/>
    </xf>
    <xf numFmtId="0" fontId="1" fillId="15" borderId="1" xfId="0" applyFont="1" applyFill="1" applyBorder="1" applyAlignment="1">
      <alignment horizontal="center" vertical="center" wrapText="1"/>
    </xf>
    <xf numFmtId="0" fontId="1" fillId="15" borderId="1" xfId="0" applyFont="1" applyFill="1" applyBorder="1" applyAlignment="1">
      <alignment horizontal="left" vertical="center" wrapText="1"/>
    </xf>
    <xf numFmtId="0" fontId="1" fillId="15" borderId="1" xfId="0" applyFont="1" applyFill="1" applyBorder="1" applyAlignment="1">
      <alignment horizontal="left" wrapText="1"/>
    </xf>
    <xf numFmtId="164" fontId="1" fillId="15" borderId="1" xfId="333" applyFont="1" applyFill="1" applyBorder="1" applyAlignment="1">
      <alignment horizontal="left" vertical="center" wrapText="1"/>
    </xf>
    <xf numFmtId="0" fontId="23" fillId="14" borderId="7" xfId="0" applyFont="1" applyFill="1" applyBorder="1" applyAlignment="1">
      <alignment horizontal="center" vertical="center" wrapText="1"/>
    </xf>
    <xf numFmtId="0" fontId="23" fillId="14" borderId="2" xfId="0" applyFont="1" applyFill="1" applyBorder="1" applyAlignment="1">
      <alignment horizontal="center" vertical="center" wrapText="1"/>
    </xf>
    <xf numFmtId="0" fontId="1" fillId="0" borderId="7" xfId="0" applyFont="1" applyBorder="1" applyAlignment="1">
      <alignment horizontal="center" vertical="center" wrapText="1"/>
    </xf>
    <xf numFmtId="0" fontId="24" fillId="0" borderId="7" xfId="0" applyFont="1" applyBorder="1" applyAlignment="1">
      <alignment horizontal="center" vertical="center"/>
    </xf>
    <xf numFmtId="17" fontId="25" fillId="0" borderId="7" xfId="0" applyNumberFormat="1" applyFont="1" applyBorder="1" applyAlignment="1">
      <alignment horizontal="center" vertical="center"/>
    </xf>
    <xf numFmtId="0" fontId="1" fillId="0" borderId="7" xfId="0" applyFont="1" applyBorder="1" applyAlignment="1">
      <alignment horizontal="center" vertical="center"/>
    </xf>
    <xf numFmtId="0" fontId="24" fillId="0" borderId="1" xfId="0" applyFont="1" applyBorder="1" applyAlignment="1">
      <alignment horizontal="center" vertical="center"/>
    </xf>
    <xf numFmtId="17" fontId="25" fillId="0" borderId="1" xfId="0" applyNumberFormat="1" applyFont="1" applyBorder="1" applyAlignment="1">
      <alignment horizontal="center" vertical="center"/>
    </xf>
    <xf numFmtId="0" fontId="26" fillId="0" borderId="7" xfId="0" applyFont="1" applyBorder="1" applyAlignment="1">
      <alignment horizontal="center" vertical="center"/>
    </xf>
    <xf numFmtId="17" fontId="1" fillId="0" borderId="1" xfId="0" applyNumberFormat="1" applyFont="1" applyBorder="1" applyAlignment="1">
      <alignment horizontal="center" vertical="center"/>
    </xf>
    <xf numFmtId="0" fontId="1" fillId="15" borderId="1" xfId="0" applyFont="1" applyFill="1" applyBorder="1" applyAlignment="1">
      <alignment horizontal="center" vertical="center"/>
    </xf>
    <xf numFmtId="17" fontId="25" fillId="15" borderId="1" xfId="0" applyNumberFormat="1" applyFont="1" applyFill="1" applyBorder="1" applyAlignment="1">
      <alignment horizontal="center" vertical="center"/>
    </xf>
    <xf numFmtId="0" fontId="1" fillId="15" borderId="4" xfId="0" applyFont="1" applyFill="1" applyBorder="1" applyAlignment="1">
      <alignment horizontal="center" vertical="center"/>
    </xf>
    <xf numFmtId="0" fontId="1" fillId="15" borderId="4" xfId="0" applyFont="1" applyFill="1" applyBorder="1" applyAlignment="1">
      <alignment horizontal="center" vertical="center" wrapText="1"/>
    </xf>
    <xf numFmtId="17" fontId="1" fillId="15" borderId="1" xfId="0" applyNumberFormat="1" applyFont="1" applyFill="1" applyBorder="1" applyAlignment="1">
      <alignment horizontal="center" vertical="center"/>
    </xf>
  </cellXfs>
  <cellStyles count="334">
    <cellStyle name="Lien hypertexte" xfId="1" builtinId="8" hidden="1"/>
    <cellStyle name="Lien hypertexte" xfId="3" builtinId="8" hidden="1"/>
    <cellStyle name="Lien hypertexte" xfId="5" builtinId="8" hidden="1"/>
    <cellStyle name="Lien hypertexte" xfId="7" builtinId="8" hidden="1"/>
    <cellStyle name="Lien hypertexte" xfId="9" builtinId="8" hidden="1"/>
    <cellStyle name="Lien hypertexte" xfId="11" builtinId="8" hidden="1"/>
    <cellStyle name="Lien hypertexte" xfId="13" builtinId="8" hidden="1"/>
    <cellStyle name="Lien hypertexte" xfId="15" builtinId="8" hidden="1"/>
    <cellStyle name="Lien hypertexte" xfId="17" builtinId="8" hidden="1"/>
    <cellStyle name="Lien hypertexte" xfId="19" builtinId="8" hidden="1"/>
    <cellStyle name="Lien hypertexte" xfId="21" builtinId="8" hidden="1"/>
    <cellStyle name="Lien hypertexte" xfId="23" builtinId="8" hidden="1"/>
    <cellStyle name="Lien hypertexte" xfId="25" builtinId="8" hidden="1"/>
    <cellStyle name="Lien hypertexte" xfId="27" builtinId="8" hidden="1"/>
    <cellStyle name="Lien hypertexte" xfId="29" builtinId="8" hidden="1"/>
    <cellStyle name="Lien hypertexte" xfId="31" builtinId="8" hidden="1"/>
    <cellStyle name="Lien hypertexte" xfId="33" builtinId="8" hidden="1"/>
    <cellStyle name="Lien hypertexte" xfId="35" builtinId="8" hidden="1"/>
    <cellStyle name="Lien hypertexte" xfId="37" builtinId="8" hidden="1"/>
    <cellStyle name="Lien hypertexte" xfId="39" builtinId="8" hidden="1"/>
    <cellStyle name="Lien hypertexte" xfId="41" builtinId="8" hidden="1"/>
    <cellStyle name="Lien hypertexte" xfId="43" builtinId="8" hidden="1"/>
    <cellStyle name="Lien hypertexte" xfId="45" builtinId="8" hidden="1"/>
    <cellStyle name="Lien hypertexte" xfId="47" builtinId="8" hidden="1"/>
    <cellStyle name="Lien hypertexte" xfId="49" builtinId="8" hidden="1"/>
    <cellStyle name="Lien hypertexte" xfId="51" builtinId="8" hidden="1"/>
    <cellStyle name="Lien hypertexte" xfId="53" builtinId="8" hidden="1"/>
    <cellStyle name="Lien hypertexte" xfId="55" builtinId="8" hidden="1"/>
    <cellStyle name="Lien hypertexte" xfId="57" builtinId="8" hidden="1"/>
    <cellStyle name="Lien hypertexte" xfId="59" builtinId="8" hidden="1"/>
    <cellStyle name="Lien hypertexte" xfId="61" builtinId="8" hidden="1"/>
    <cellStyle name="Lien hypertexte" xfId="63" builtinId="8" hidden="1"/>
    <cellStyle name="Lien hypertexte" xfId="65" builtinId="8" hidden="1"/>
    <cellStyle name="Lien hypertexte" xfId="67" builtinId="8" hidden="1"/>
    <cellStyle name="Lien hypertexte" xfId="69" builtinId="8" hidden="1"/>
    <cellStyle name="Lien hypertexte" xfId="71" builtinId="8" hidden="1"/>
    <cellStyle name="Lien hypertexte" xfId="73" builtinId="8" hidden="1"/>
    <cellStyle name="Lien hypertexte" xfId="75" builtinId="8" hidden="1"/>
    <cellStyle name="Lien hypertexte" xfId="77" builtinId="8" hidden="1"/>
    <cellStyle name="Lien hypertexte" xfId="79" builtinId="8" hidden="1"/>
    <cellStyle name="Lien hypertexte" xfId="81" builtinId="8" hidden="1"/>
    <cellStyle name="Lien hypertexte" xfId="83" builtinId="8" hidden="1"/>
    <cellStyle name="Lien hypertexte" xfId="85" builtinId="8" hidden="1"/>
    <cellStyle name="Lien hypertexte" xfId="87" builtinId="8" hidden="1"/>
    <cellStyle name="Lien hypertexte" xfId="89" builtinId="8" hidden="1"/>
    <cellStyle name="Lien hypertexte" xfId="91" builtinId="8" hidden="1"/>
    <cellStyle name="Lien hypertexte" xfId="93" builtinId="8" hidden="1"/>
    <cellStyle name="Lien hypertexte" xfId="95" builtinId="8" hidden="1"/>
    <cellStyle name="Lien hypertexte" xfId="97" builtinId="8" hidden="1"/>
    <cellStyle name="Lien hypertexte" xfId="99" builtinId="8" hidden="1"/>
    <cellStyle name="Lien hypertexte" xfId="101" builtinId="8" hidden="1"/>
    <cellStyle name="Lien hypertexte" xfId="103" builtinId="8" hidden="1"/>
    <cellStyle name="Lien hypertexte" xfId="105" builtinId="8" hidden="1"/>
    <cellStyle name="Lien hypertexte" xfId="107" builtinId="8" hidden="1"/>
    <cellStyle name="Lien hypertexte" xfId="109" builtinId="8" hidden="1"/>
    <cellStyle name="Lien hypertexte" xfId="111" builtinId="8" hidden="1"/>
    <cellStyle name="Lien hypertexte" xfId="113" builtinId="8" hidden="1"/>
    <cellStyle name="Lien hypertexte" xfId="115" builtinId="8" hidden="1"/>
    <cellStyle name="Lien hypertexte" xfId="117" builtinId="8" hidden="1"/>
    <cellStyle name="Lien hypertexte" xfId="119" builtinId="8" hidden="1"/>
    <cellStyle name="Lien hypertexte" xfId="121" builtinId="8" hidden="1"/>
    <cellStyle name="Lien hypertexte" xfId="123" builtinId="8" hidden="1"/>
    <cellStyle name="Lien hypertexte" xfId="125" builtinId="8" hidden="1"/>
    <cellStyle name="Lien hypertexte" xfId="127" builtinId="8" hidden="1"/>
    <cellStyle name="Lien hypertexte" xfId="129" builtinId="8" hidden="1"/>
    <cellStyle name="Lien hypertexte" xfId="131" builtinId="8" hidden="1"/>
    <cellStyle name="Lien hypertexte" xfId="133" builtinId="8" hidden="1"/>
    <cellStyle name="Lien hypertexte" xfId="135" builtinId="8" hidden="1"/>
    <cellStyle name="Lien hypertexte" xfId="137" builtinId="8" hidden="1"/>
    <cellStyle name="Lien hypertexte" xfId="139" builtinId="8" hidden="1"/>
    <cellStyle name="Lien hypertexte" xfId="141" builtinId="8" hidden="1"/>
    <cellStyle name="Lien hypertexte" xfId="143" builtinId="8" hidden="1"/>
    <cellStyle name="Lien hypertexte" xfId="145" builtinId="8" hidden="1"/>
    <cellStyle name="Lien hypertexte" xfId="147" builtinId="8" hidden="1"/>
    <cellStyle name="Lien hypertexte" xfId="149" builtinId="8" hidden="1"/>
    <cellStyle name="Lien hypertexte" xfId="151" builtinId="8" hidden="1"/>
    <cellStyle name="Lien hypertexte" xfId="153" builtinId="8" hidden="1"/>
    <cellStyle name="Lien hypertexte" xfId="155" builtinId="8" hidden="1"/>
    <cellStyle name="Lien hypertexte" xfId="157" builtinId="8" hidden="1"/>
    <cellStyle name="Lien hypertexte" xfId="159" builtinId="8" hidden="1"/>
    <cellStyle name="Lien hypertexte" xfId="161" builtinId="8" hidden="1"/>
    <cellStyle name="Lien hypertexte" xfId="163" builtinId="8" hidden="1"/>
    <cellStyle name="Lien hypertexte" xfId="165" builtinId="8" hidden="1"/>
    <cellStyle name="Lien hypertexte" xfId="167" builtinId="8" hidden="1"/>
    <cellStyle name="Lien hypertexte" xfId="169" builtinId="8" hidden="1"/>
    <cellStyle name="Lien hypertexte" xfId="171" builtinId="8" hidden="1"/>
    <cellStyle name="Lien hypertexte" xfId="173" builtinId="8" hidden="1"/>
    <cellStyle name="Lien hypertexte" xfId="175" builtinId="8" hidden="1"/>
    <cellStyle name="Lien hypertexte" xfId="177" builtinId="8" hidden="1"/>
    <cellStyle name="Lien hypertexte" xfId="179" builtinId="8" hidden="1"/>
    <cellStyle name="Lien hypertexte" xfId="181" builtinId="8" hidden="1"/>
    <cellStyle name="Lien hypertexte" xfId="183" builtinId="8" hidden="1"/>
    <cellStyle name="Lien hypertexte" xfId="185" builtinId="8" hidden="1"/>
    <cellStyle name="Lien hypertexte" xfId="187" builtinId="8" hidden="1"/>
    <cellStyle name="Lien hypertexte" xfId="189" builtinId="8" hidden="1"/>
    <cellStyle name="Lien hypertexte" xfId="191" builtinId="8" hidden="1"/>
    <cellStyle name="Lien hypertexte" xfId="193" builtinId="8" hidden="1"/>
    <cellStyle name="Lien hypertexte" xfId="195" builtinId="8" hidden="1"/>
    <cellStyle name="Lien hypertexte" xfId="197" builtinId="8" hidden="1"/>
    <cellStyle name="Lien hypertexte" xfId="199" builtinId="8" hidden="1"/>
    <cellStyle name="Lien hypertexte" xfId="201" builtinId="8" hidden="1"/>
    <cellStyle name="Lien hypertexte" xfId="203" builtinId="8" hidden="1"/>
    <cellStyle name="Lien hypertexte" xfId="205" builtinId="8" hidden="1"/>
    <cellStyle name="Lien hypertexte" xfId="207" builtinId="8" hidden="1"/>
    <cellStyle name="Lien hypertexte" xfId="209" builtinId="8" hidden="1"/>
    <cellStyle name="Lien hypertexte" xfId="211" builtinId="8" hidden="1"/>
    <cellStyle name="Lien hypertexte" xfId="213" builtinId="8" hidden="1"/>
    <cellStyle name="Lien hypertexte" xfId="215" builtinId="8" hidden="1"/>
    <cellStyle name="Lien hypertexte" xfId="217" builtinId="8" hidden="1"/>
    <cellStyle name="Lien hypertexte" xfId="219" builtinId="8" hidden="1"/>
    <cellStyle name="Lien hypertexte" xfId="221" builtinId="8" hidden="1"/>
    <cellStyle name="Lien hypertexte" xfId="223" builtinId="8" hidden="1"/>
    <cellStyle name="Lien hypertexte" xfId="225" builtinId="8" hidden="1"/>
    <cellStyle name="Lien hypertexte" xfId="227" builtinId="8" hidden="1"/>
    <cellStyle name="Lien hypertexte" xfId="229" builtinId="8" hidden="1"/>
    <cellStyle name="Lien hypertexte" xfId="231" builtinId="8" hidden="1"/>
    <cellStyle name="Lien hypertexte" xfId="233" builtinId="8" hidden="1"/>
    <cellStyle name="Lien hypertexte" xfId="235" builtinId="8" hidden="1"/>
    <cellStyle name="Lien hypertexte" xfId="237" builtinId="8" hidden="1"/>
    <cellStyle name="Lien hypertexte" xfId="239" builtinId="8" hidden="1"/>
    <cellStyle name="Lien hypertexte" xfId="241" builtinId="8" hidden="1"/>
    <cellStyle name="Lien hypertexte" xfId="243" builtinId="8" hidden="1"/>
    <cellStyle name="Lien hypertexte" xfId="245" builtinId="8" hidden="1"/>
    <cellStyle name="Lien hypertexte" xfId="247" builtinId="8" hidden="1"/>
    <cellStyle name="Lien hypertexte" xfId="249" builtinId="8" hidden="1"/>
    <cellStyle name="Lien hypertexte" xfId="251" builtinId="8" hidden="1"/>
    <cellStyle name="Lien hypertexte" xfId="253" builtinId="8" hidden="1"/>
    <cellStyle name="Lien hypertexte" xfId="255" builtinId="8" hidden="1"/>
    <cellStyle name="Lien hypertexte" xfId="257" builtinId="8" hidden="1"/>
    <cellStyle name="Lien hypertexte" xfId="259" builtinId="8" hidden="1"/>
    <cellStyle name="Lien hypertexte" xfId="261" builtinId="8" hidden="1"/>
    <cellStyle name="Lien hypertexte" xfId="263" builtinId="8" hidden="1"/>
    <cellStyle name="Lien hypertexte" xfId="265" builtinId="8" hidden="1"/>
    <cellStyle name="Lien hypertexte" xfId="267" builtinId="8" hidden="1"/>
    <cellStyle name="Lien hypertexte" xfId="269" builtinId="8" hidden="1"/>
    <cellStyle name="Lien hypertexte" xfId="271" builtinId="8" hidden="1"/>
    <cellStyle name="Lien hypertexte" xfId="273" builtinId="8" hidden="1"/>
    <cellStyle name="Lien hypertexte" xfId="275" builtinId="8" hidden="1"/>
    <cellStyle name="Lien hypertexte" xfId="277" builtinId="8" hidden="1"/>
    <cellStyle name="Lien hypertexte" xfId="279" builtinId="8" hidden="1"/>
    <cellStyle name="Lien hypertexte" xfId="281" builtinId="8" hidden="1"/>
    <cellStyle name="Lien hypertexte" xfId="283" builtinId="8" hidden="1"/>
    <cellStyle name="Lien hypertexte" xfId="285" builtinId="8" hidden="1"/>
    <cellStyle name="Lien hypertexte" xfId="287" builtinId="8" hidden="1"/>
    <cellStyle name="Lien hypertexte" xfId="289" builtinId="8" hidden="1"/>
    <cellStyle name="Lien hypertexte" xfId="291" builtinId="8" hidden="1"/>
    <cellStyle name="Lien hypertexte" xfId="293" builtinId="8" hidden="1"/>
    <cellStyle name="Lien hypertexte" xfId="295" builtinId="8" hidden="1"/>
    <cellStyle name="Lien hypertexte" xfId="297" builtinId="8" hidden="1"/>
    <cellStyle name="Lien hypertexte" xfId="299" builtinId="8" hidden="1"/>
    <cellStyle name="Lien hypertexte" xfId="301" builtinId="8" hidden="1"/>
    <cellStyle name="Lien hypertexte" xfId="303" builtinId="8" hidden="1"/>
    <cellStyle name="Lien hypertexte" xfId="305" builtinId="8" hidden="1"/>
    <cellStyle name="Lien hypertexte" xfId="307" builtinId="8" hidden="1"/>
    <cellStyle name="Lien hypertexte" xfId="309" builtinId="8" hidden="1"/>
    <cellStyle name="Lien hypertexte" xfId="311" builtinId="8" hidden="1"/>
    <cellStyle name="Lien hypertexte" xfId="313" builtinId="8" hidden="1"/>
    <cellStyle name="Lien hypertexte" xfId="315" builtinId="8" hidden="1"/>
    <cellStyle name="Lien hypertexte" xfId="317" builtinId="8" hidden="1"/>
    <cellStyle name="Lien hypertexte" xfId="319" builtinId="8" hidden="1"/>
    <cellStyle name="Lien hypertexte" xfId="321" builtinId="8" hidden="1"/>
    <cellStyle name="Lien hypertexte" xfId="323" builtinId="8" hidden="1"/>
    <cellStyle name="Lien hypertexte" xfId="325" builtinId="8" hidden="1"/>
    <cellStyle name="Lien hypertexte" xfId="327" builtinId="8" hidden="1"/>
    <cellStyle name="Lien hypertexte" xfId="329" builtinId="8" hidden="1"/>
    <cellStyle name="Lien hypertexte" xfId="331" builtinId="8" hidden="1"/>
    <cellStyle name="Lien hypertexte visité" xfId="2" builtinId="9" hidden="1"/>
    <cellStyle name="Lien hypertexte visité" xfId="4" builtinId="9" hidden="1"/>
    <cellStyle name="Lien hypertexte visité" xfId="6" builtinId="9" hidden="1"/>
    <cellStyle name="Lien hypertexte visité" xfId="8" builtinId="9" hidden="1"/>
    <cellStyle name="Lien hypertexte visité" xfId="10" builtinId="9" hidden="1"/>
    <cellStyle name="Lien hypertexte visité" xfId="12" builtinId="9" hidden="1"/>
    <cellStyle name="Lien hypertexte visité" xfId="14" builtinId="9" hidden="1"/>
    <cellStyle name="Lien hypertexte visité" xfId="16" builtinId="9" hidden="1"/>
    <cellStyle name="Lien hypertexte visité" xfId="18" builtinId="9" hidden="1"/>
    <cellStyle name="Lien hypertexte visité" xfId="20" builtinId="9" hidden="1"/>
    <cellStyle name="Lien hypertexte visité" xfId="22" builtinId="9" hidden="1"/>
    <cellStyle name="Lien hypertexte visité" xfId="24" builtinId="9" hidden="1"/>
    <cellStyle name="Lien hypertexte visité" xfId="26" builtinId="9" hidden="1"/>
    <cellStyle name="Lien hypertexte visité" xfId="28" builtinId="9" hidden="1"/>
    <cellStyle name="Lien hypertexte visité" xfId="30" builtinId="9" hidden="1"/>
    <cellStyle name="Lien hypertexte visité" xfId="32" builtinId="9" hidden="1"/>
    <cellStyle name="Lien hypertexte visité" xfId="34" builtinId="9" hidden="1"/>
    <cellStyle name="Lien hypertexte visité" xfId="36" builtinId="9" hidden="1"/>
    <cellStyle name="Lien hypertexte visité" xfId="38" builtinId="9" hidden="1"/>
    <cellStyle name="Lien hypertexte visité" xfId="40" builtinId="9" hidden="1"/>
    <cellStyle name="Lien hypertexte visité" xfId="42" builtinId="9" hidden="1"/>
    <cellStyle name="Lien hypertexte visité" xfId="44" builtinId="9" hidden="1"/>
    <cellStyle name="Lien hypertexte visité" xfId="46" builtinId="9" hidden="1"/>
    <cellStyle name="Lien hypertexte visité" xfId="48" builtinId="9" hidden="1"/>
    <cellStyle name="Lien hypertexte visité" xfId="50" builtinId="9" hidden="1"/>
    <cellStyle name="Lien hypertexte visité" xfId="52" builtinId="9" hidden="1"/>
    <cellStyle name="Lien hypertexte visité" xfId="54" builtinId="9" hidden="1"/>
    <cellStyle name="Lien hypertexte visité" xfId="56" builtinId="9" hidden="1"/>
    <cellStyle name="Lien hypertexte visité" xfId="58" builtinId="9" hidden="1"/>
    <cellStyle name="Lien hypertexte visité" xfId="60" builtinId="9" hidden="1"/>
    <cellStyle name="Lien hypertexte visité" xfId="62" builtinId="9" hidden="1"/>
    <cellStyle name="Lien hypertexte visité" xfId="64" builtinId="9" hidden="1"/>
    <cellStyle name="Lien hypertexte visité" xfId="66" builtinId="9" hidden="1"/>
    <cellStyle name="Lien hypertexte visité" xfId="68" builtinId="9" hidden="1"/>
    <cellStyle name="Lien hypertexte visité" xfId="70" builtinId="9" hidden="1"/>
    <cellStyle name="Lien hypertexte visité" xfId="72" builtinId="9" hidden="1"/>
    <cellStyle name="Lien hypertexte visité" xfId="74" builtinId="9" hidden="1"/>
    <cellStyle name="Lien hypertexte visité" xfId="76" builtinId="9" hidden="1"/>
    <cellStyle name="Lien hypertexte visité" xfId="78" builtinId="9" hidden="1"/>
    <cellStyle name="Lien hypertexte visité" xfId="80" builtinId="9" hidden="1"/>
    <cellStyle name="Lien hypertexte visité" xfId="82" builtinId="9" hidden="1"/>
    <cellStyle name="Lien hypertexte visité" xfId="84" builtinId="9" hidden="1"/>
    <cellStyle name="Lien hypertexte visité" xfId="86" builtinId="9" hidden="1"/>
    <cellStyle name="Lien hypertexte visité" xfId="88" builtinId="9" hidden="1"/>
    <cellStyle name="Lien hypertexte visité" xfId="90" builtinId="9" hidden="1"/>
    <cellStyle name="Lien hypertexte visité" xfId="92" builtinId="9" hidden="1"/>
    <cellStyle name="Lien hypertexte visité" xfId="94" builtinId="9" hidden="1"/>
    <cellStyle name="Lien hypertexte visité" xfId="96" builtinId="9" hidden="1"/>
    <cellStyle name="Lien hypertexte visité" xfId="98" builtinId="9" hidden="1"/>
    <cellStyle name="Lien hypertexte visité" xfId="100" builtinId="9" hidden="1"/>
    <cellStyle name="Lien hypertexte visité" xfId="102" builtinId="9" hidden="1"/>
    <cellStyle name="Lien hypertexte visité" xfId="104" builtinId="9" hidden="1"/>
    <cellStyle name="Lien hypertexte visité" xfId="106" builtinId="9" hidden="1"/>
    <cellStyle name="Lien hypertexte visité" xfId="108" builtinId="9" hidden="1"/>
    <cellStyle name="Lien hypertexte visité" xfId="110" builtinId="9" hidden="1"/>
    <cellStyle name="Lien hypertexte visité" xfId="112" builtinId="9" hidden="1"/>
    <cellStyle name="Lien hypertexte visité" xfId="114" builtinId="9" hidden="1"/>
    <cellStyle name="Lien hypertexte visité" xfId="116" builtinId="9" hidden="1"/>
    <cellStyle name="Lien hypertexte visité" xfId="118" builtinId="9" hidden="1"/>
    <cellStyle name="Lien hypertexte visité" xfId="120" builtinId="9" hidden="1"/>
    <cellStyle name="Lien hypertexte visité" xfId="122" builtinId="9" hidden="1"/>
    <cellStyle name="Lien hypertexte visité" xfId="124" builtinId="9" hidden="1"/>
    <cellStyle name="Lien hypertexte visité" xfId="126" builtinId="9" hidden="1"/>
    <cellStyle name="Lien hypertexte visité" xfId="128" builtinId="9" hidden="1"/>
    <cellStyle name="Lien hypertexte visité" xfId="130" builtinId="9" hidden="1"/>
    <cellStyle name="Lien hypertexte visité" xfId="132" builtinId="9" hidden="1"/>
    <cellStyle name="Lien hypertexte visité" xfId="134" builtinId="9" hidden="1"/>
    <cellStyle name="Lien hypertexte visité" xfId="136" builtinId="9" hidden="1"/>
    <cellStyle name="Lien hypertexte visité" xfId="138" builtinId="9" hidden="1"/>
    <cellStyle name="Lien hypertexte visité" xfId="140" builtinId="9" hidden="1"/>
    <cellStyle name="Lien hypertexte visité" xfId="142" builtinId="9" hidden="1"/>
    <cellStyle name="Lien hypertexte visité" xfId="144" builtinId="9" hidden="1"/>
    <cellStyle name="Lien hypertexte visité" xfId="146" builtinId="9" hidden="1"/>
    <cellStyle name="Lien hypertexte visité" xfId="148" builtinId="9" hidden="1"/>
    <cellStyle name="Lien hypertexte visité" xfId="150" builtinId="9" hidden="1"/>
    <cellStyle name="Lien hypertexte visité" xfId="152" builtinId="9" hidden="1"/>
    <cellStyle name="Lien hypertexte visité" xfId="154" builtinId="9" hidden="1"/>
    <cellStyle name="Lien hypertexte visité" xfId="156" builtinId="9" hidden="1"/>
    <cellStyle name="Lien hypertexte visité" xfId="158" builtinId="9" hidden="1"/>
    <cellStyle name="Lien hypertexte visité" xfId="160" builtinId="9" hidden="1"/>
    <cellStyle name="Lien hypertexte visité" xfId="162" builtinId="9" hidden="1"/>
    <cellStyle name="Lien hypertexte visité" xfId="164" builtinId="9" hidden="1"/>
    <cellStyle name="Lien hypertexte visité" xfId="166" builtinId="9" hidden="1"/>
    <cellStyle name="Lien hypertexte visité" xfId="168" builtinId="9" hidden="1"/>
    <cellStyle name="Lien hypertexte visité" xfId="170" builtinId="9" hidden="1"/>
    <cellStyle name="Lien hypertexte visité" xfId="172" builtinId="9" hidden="1"/>
    <cellStyle name="Lien hypertexte visité" xfId="174" builtinId="9" hidden="1"/>
    <cellStyle name="Lien hypertexte visité" xfId="176" builtinId="9" hidden="1"/>
    <cellStyle name="Lien hypertexte visité" xfId="178" builtinId="9" hidden="1"/>
    <cellStyle name="Lien hypertexte visité" xfId="180" builtinId="9" hidden="1"/>
    <cellStyle name="Lien hypertexte visité" xfId="182" builtinId="9" hidden="1"/>
    <cellStyle name="Lien hypertexte visité" xfId="184" builtinId="9" hidden="1"/>
    <cellStyle name="Lien hypertexte visité" xfId="186" builtinId="9" hidden="1"/>
    <cellStyle name="Lien hypertexte visité" xfId="188" builtinId="9" hidden="1"/>
    <cellStyle name="Lien hypertexte visité" xfId="190" builtinId="9" hidden="1"/>
    <cellStyle name="Lien hypertexte visité" xfId="192" builtinId="9" hidden="1"/>
    <cellStyle name="Lien hypertexte visité" xfId="194" builtinId="9" hidden="1"/>
    <cellStyle name="Lien hypertexte visité" xfId="196" builtinId="9" hidden="1"/>
    <cellStyle name="Lien hypertexte visité" xfId="198" builtinId="9" hidden="1"/>
    <cellStyle name="Lien hypertexte visité" xfId="200" builtinId="9" hidden="1"/>
    <cellStyle name="Lien hypertexte visité" xfId="202" builtinId="9" hidden="1"/>
    <cellStyle name="Lien hypertexte visité" xfId="204" builtinId="9" hidden="1"/>
    <cellStyle name="Lien hypertexte visité" xfId="206" builtinId="9" hidden="1"/>
    <cellStyle name="Lien hypertexte visité" xfId="208" builtinId="9" hidden="1"/>
    <cellStyle name="Lien hypertexte visité" xfId="210" builtinId="9" hidden="1"/>
    <cellStyle name="Lien hypertexte visité" xfId="212" builtinId="9" hidden="1"/>
    <cellStyle name="Lien hypertexte visité" xfId="214" builtinId="9" hidden="1"/>
    <cellStyle name="Lien hypertexte visité" xfId="216" builtinId="9" hidden="1"/>
    <cellStyle name="Lien hypertexte visité" xfId="218" builtinId="9" hidden="1"/>
    <cellStyle name="Lien hypertexte visité" xfId="220" builtinId="9" hidden="1"/>
    <cellStyle name="Lien hypertexte visité" xfId="222" builtinId="9" hidden="1"/>
    <cellStyle name="Lien hypertexte visité" xfId="224" builtinId="9" hidden="1"/>
    <cellStyle name="Lien hypertexte visité" xfId="226" builtinId="9" hidden="1"/>
    <cellStyle name="Lien hypertexte visité" xfId="228" builtinId="9" hidden="1"/>
    <cellStyle name="Lien hypertexte visité" xfId="230" builtinId="9" hidden="1"/>
    <cellStyle name="Lien hypertexte visité" xfId="232" builtinId="9" hidden="1"/>
    <cellStyle name="Lien hypertexte visité" xfId="234" builtinId="9" hidden="1"/>
    <cellStyle name="Lien hypertexte visité" xfId="236" builtinId="9" hidden="1"/>
    <cellStyle name="Lien hypertexte visité" xfId="238" builtinId="9" hidden="1"/>
    <cellStyle name="Lien hypertexte visité" xfId="240" builtinId="9" hidden="1"/>
    <cellStyle name="Lien hypertexte visité" xfId="242" builtinId="9" hidden="1"/>
    <cellStyle name="Lien hypertexte visité" xfId="244" builtinId="9" hidden="1"/>
    <cellStyle name="Lien hypertexte visité" xfId="246" builtinId="9" hidden="1"/>
    <cellStyle name="Lien hypertexte visité" xfId="248" builtinId="9" hidden="1"/>
    <cellStyle name="Lien hypertexte visité" xfId="250" builtinId="9" hidden="1"/>
    <cellStyle name="Lien hypertexte visité" xfId="252" builtinId="9" hidden="1"/>
    <cellStyle name="Lien hypertexte visité" xfId="254" builtinId="9" hidden="1"/>
    <cellStyle name="Lien hypertexte visité" xfId="256" builtinId="9" hidden="1"/>
    <cellStyle name="Lien hypertexte visité" xfId="258" builtinId="9" hidden="1"/>
    <cellStyle name="Lien hypertexte visité" xfId="260" builtinId="9" hidden="1"/>
    <cellStyle name="Lien hypertexte visité" xfId="262" builtinId="9" hidden="1"/>
    <cellStyle name="Lien hypertexte visité" xfId="264" builtinId="9" hidden="1"/>
    <cellStyle name="Lien hypertexte visité" xfId="266" builtinId="9" hidden="1"/>
    <cellStyle name="Lien hypertexte visité" xfId="268" builtinId="9" hidden="1"/>
    <cellStyle name="Lien hypertexte visité" xfId="270" builtinId="9" hidden="1"/>
    <cellStyle name="Lien hypertexte visité" xfId="272" builtinId="9" hidden="1"/>
    <cellStyle name="Lien hypertexte visité" xfId="274" builtinId="9" hidden="1"/>
    <cellStyle name="Lien hypertexte visité" xfId="276" builtinId="9" hidden="1"/>
    <cellStyle name="Lien hypertexte visité" xfId="278" builtinId="9" hidden="1"/>
    <cellStyle name="Lien hypertexte visité" xfId="280" builtinId="9" hidden="1"/>
    <cellStyle name="Lien hypertexte visité" xfId="282" builtinId="9" hidden="1"/>
    <cellStyle name="Lien hypertexte visité" xfId="284" builtinId="9" hidden="1"/>
    <cellStyle name="Lien hypertexte visité" xfId="286" builtinId="9" hidden="1"/>
    <cellStyle name="Lien hypertexte visité" xfId="288" builtinId="9" hidden="1"/>
    <cellStyle name="Lien hypertexte visité" xfId="290" builtinId="9" hidden="1"/>
    <cellStyle name="Lien hypertexte visité" xfId="292" builtinId="9" hidden="1"/>
    <cellStyle name="Lien hypertexte visité" xfId="294" builtinId="9" hidden="1"/>
    <cellStyle name="Lien hypertexte visité" xfId="296" builtinId="9" hidden="1"/>
    <cellStyle name="Lien hypertexte visité" xfId="298" builtinId="9" hidden="1"/>
    <cellStyle name="Lien hypertexte visité" xfId="300" builtinId="9" hidden="1"/>
    <cellStyle name="Lien hypertexte visité" xfId="302" builtinId="9" hidden="1"/>
    <cellStyle name="Lien hypertexte visité" xfId="304" builtinId="9" hidden="1"/>
    <cellStyle name="Lien hypertexte visité" xfId="306" builtinId="9" hidden="1"/>
    <cellStyle name="Lien hypertexte visité" xfId="308" builtinId="9" hidden="1"/>
    <cellStyle name="Lien hypertexte visité" xfId="310" builtinId="9" hidden="1"/>
    <cellStyle name="Lien hypertexte visité" xfId="312" builtinId="9" hidden="1"/>
    <cellStyle name="Lien hypertexte visité" xfId="314" builtinId="9" hidden="1"/>
    <cellStyle name="Lien hypertexte visité" xfId="316" builtinId="9" hidden="1"/>
    <cellStyle name="Lien hypertexte visité" xfId="318" builtinId="9" hidden="1"/>
    <cellStyle name="Lien hypertexte visité" xfId="320" builtinId="9" hidden="1"/>
    <cellStyle name="Lien hypertexte visité" xfId="322" builtinId="9" hidden="1"/>
    <cellStyle name="Lien hypertexte visité" xfId="324" builtinId="9" hidden="1"/>
    <cellStyle name="Lien hypertexte visité" xfId="326" builtinId="9" hidden="1"/>
    <cellStyle name="Lien hypertexte visité" xfId="328" builtinId="9" hidden="1"/>
    <cellStyle name="Lien hypertexte visité" xfId="330" builtinId="9" hidden="1"/>
    <cellStyle name="Lien hypertexte visité" xfId="332" builtinId="9" hidden="1"/>
    <cellStyle name="Milliers" xfId="333" builtinId="3"/>
    <cellStyle name="Normal" xfId="0" builtinId="0"/>
  </cellStyles>
  <dxfs count="0"/>
  <tableStyles count="0" defaultTableStyle="TableStyleMedium2" defaultPivotStyle="PivotStyleLight16"/>
  <colors>
    <mruColors>
      <color rgb="FFF3CEEB"/>
      <color rgb="FFEF87CA"/>
      <color rgb="FFFAEFFB"/>
      <color rgb="FFE95FE7"/>
      <color rgb="FFEA8CE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1"/>
  <sheetViews>
    <sheetView showGridLines="0" topLeftCell="A11" zoomScale="110" zoomScaleNormal="82" zoomScalePageLayoutView="150" workbookViewId="0">
      <selection activeCell="A10" sqref="A10"/>
    </sheetView>
  </sheetViews>
  <sheetFormatPr baseColWidth="10" defaultColWidth="10.83203125" defaultRowHeight="15" x14ac:dyDescent="0.2"/>
  <cols>
    <col min="1" max="1" width="75.1640625" style="43" customWidth="1"/>
    <col min="2" max="2" width="25" style="15" hidden="1" customWidth="1"/>
    <col min="3" max="3" width="24" style="15" customWidth="1"/>
    <col min="4" max="4" width="47.83203125" style="15" hidden="1" customWidth="1"/>
    <col min="5" max="5" width="17.33203125" style="15" customWidth="1"/>
    <col min="6" max="6" width="21.5" style="15" customWidth="1"/>
    <col min="7" max="7" width="16" style="15" customWidth="1"/>
    <col min="8" max="8" width="18.83203125" style="15" customWidth="1"/>
    <col min="9" max="9" width="0.5" style="31" hidden="1" customWidth="1"/>
    <col min="10" max="10" width="51.83203125" style="42" customWidth="1"/>
    <col min="11" max="16384" width="10.83203125" style="15"/>
  </cols>
  <sheetData>
    <row r="1" spans="1:10" x14ac:dyDescent="0.2">
      <c r="H1" s="71" t="s">
        <v>6</v>
      </c>
      <c r="I1" s="24">
        <v>2025</v>
      </c>
      <c r="J1" s="72">
        <v>2026</v>
      </c>
    </row>
    <row r="3" spans="1:10" ht="24" customHeight="1" x14ac:dyDescent="0.2">
      <c r="A3" s="85" t="s">
        <v>78</v>
      </c>
      <c r="B3" s="86"/>
      <c r="C3" s="86"/>
      <c r="D3" s="86"/>
      <c r="E3" s="86"/>
      <c r="F3" s="86"/>
      <c r="G3" s="86"/>
      <c r="H3" s="86"/>
      <c r="I3" s="86"/>
      <c r="J3" s="86"/>
    </row>
    <row r="4" spans="1:10" ht="26.25" customHeight="1" x14ac:dyDescent="0.2">
      <c r="A4" s="87" t="s">
        <v>77</v>
      </c>
      <c r="B4" s="88"/>
      <c r="C4" s="88"/>
      <c r="D4" s="88"/>
      <c r="E4" s="88"/>
      <c r="F4" s="88"/>
      <c r="G4" s="88"/>
      <c r="H4" s="88"/>
      <c r="I4" s="88"/>
      <c r="J4" s="88"/>
    </row>
    <row r="6" spans="1:10" ht="36" customHeight="1" x14ac:dyDescent="0.2">
      <c r="A6" s="109" t="s">
        <v>8</v>
      </c>
      <c r="B6" s="109" t="s">
        <v>0</v>
      </c>
      <c r="C6" s="109" t="s">
        <v>4</v>
      </c>
      <c r="D6" s="109" t="s">
        <v>2</v>
      </c>
      <c r="E6" s="110" t="s">
        <v>9</v>
      </c>
      <c r="F6" s="109" t="s">
        <v>3</v>
      </c>
      <c r="G6" s="109" t="s">
        <v>1</v>
      </c>
      <c r="H6" s="109" t="s">
        <v>18</v>
      </c>
      <c r="I6" s="109" t="s">
        <v>5</v>
      </c>
      <c r="J6" s="110" t="s">
        <v>10</v>
      </c>
    </row>
    <row r="7" spans="1:10" ht="60.75" customHeight="1" x14ac:dyDescent="0.2">
      <c r="A7" s="96" t="s">
        <v>116</v>
      </c>
      <c r="B7" s="111"/>
      <c r="C7" s="97">
        <v>12000</v>
      </c>
      <c r="D7" s="112"/>
      <c r="E7" s="113">
        <v>46357</v>
      </c>
      <c r="F7" s="113" t="s">
        <v>58</v>
      </c>
      <c r="G7" s="98" t="s">
        <v>27</v>
      </c>
      <c r="H7" s="114" t="s">
        <v>59</v>
      </c>
      <c r="I7" s="98" t="s">
        <v>28</v>
      </c>
      <c r="J7" s="96" t="s">
        <v>21</v>
      </c>
    </row>
    <row r="8" spans="1:10" ht="190.5" customHeight="1" x14ac:dyDescent="0.2">
      <c r="A8" s="95" t="s">
        <v>110</v>
      </c>
      <c r="B8" s="98"/>
      <c r="C8" s="97">
        <v>250000</v>
      </c>
      <c r="D8" s="115"/>
      <c r="E8" s="116">
        <v>46082</v>
      </c>
      <c r="F8" s="116">
        <v>46054</v>
      </c>
      <c r="G8" s="98" t="s">
        <v>27</v>
      </c>
      <c r="H8" s="117" t="s">
        <v>59</v>
      </c>
      <c r="I8" s="98" t="s">
        <v>29</v>
      </c>
      <c r="J8" s="96" t="s">
        <v>22</v>
      </c>
    </row>
    <row r="9" spans="1:10" ht="107.25" customHeight="1" x14ac:dyDescent="0.2">
      <c r="A9" s="95" t="s">
        <v>19</v>
      </c>
      <c r="B9" s="100"/>
      <c r="C9" s="97">
        <v>753940</v>
      </c>
      <c r="D9" s="100"/>
      <c r="E9" s="116">
        <v>46023</v>
      </c>
      <c r="F9" s="116">
        <v>46023</v>
      </c>
      <c r="G9" s="98" t="s">
        <v>27</v>
      </c>
      <c r="H9" s="117" t="s">
        <v>58</v>
      </c>
      <c r="I9" s="98" t="s">
        <v>29</v>
      </c>
      <c r="J9" s="96" t="s">
        <v>23</v>
      </c>
    </row>
    <row r="10" spans="1:10" ht="113.25" customHeight="1" x14ac:dyDescent="0.2">
      <c r="A10" s="95" t="s">
        <v>111</v>
      </c>
      <c r="B10" s="100"/>
      <c r="C10" s="97">
        <v>250000</v>
      </c>
      <c r="D10" s="100"/>
      <c r="E10" s="116"/>
      <c r="F10" s="116">
        <v>46113</v>
      </c>
      <c r="G10" s="98" t="s">
        <v>27</v>
      </c>
      <c r="H10" s="100" t="s">
        <v>60</v>
      </c>
      <c r="I10" s="98" t="s">
        <v>30</v>
      </c>
      <c r="J10" s="96" t="s">
        <v>20</v>
      </c>
    </row>
    <row r="11" spans="1:10" ht="82.5" customHeight="1" x14ac:dyDescent="0.2">
      <c r="A11" s="95" t="s">
        <v>103</v>
      </c>
      <c r="B11" s="100"/>
      <c r="C11" s="97">
        <v>600000</v>
      </c>
      <c r="D11" s="100"/>
      <c r="E11" s="116"/>
      <c r="F11" s="116">
        <v>46143</v>
      </c>
      <c r="G11" s="98" t="s">
        <v>27</v>
      </c>
      <c r="H11" s="114" t="s">
        <v>59</v>
      </c>
      <c r="I11" s="98" t="s">
        <v>30</v>
      </c>
      <c r="J11" s="96" t="s">
        <v>24</v>
      </c>
    </row>
    <row r="12" spans="1:10" ht="62.25" customHeight="1" x14ac:dyDescent="0.2">
      <c r="A12" s="95" t="s">
        <v>104</v>
      </c>
      <c r="B12" s="100"/>
      <c r="C12" s="97">
        <v>600000</v>
      </c>
      <c r="D12" s="100"/>
      <c r="E12" s="116"/>
      <c r="F12" s="116">
        <v>46143</v>
      </c>
      <c r="G12" s="98" t="s">
        <v>27</v>
      </c>
      <c r="H12" s="114" t="s">
        <v>59</v>
      </c>
      <c r="I12" s="98" t="s">
        <v>30</v>
      </c>
      <c r="J12" s="96" t="s">
        <v>25</v>
      </c>
    </row>
    <row r="13" spans="1:10" ht="62.25" customHeight="1" x14ac:dyDescent="0.2">
      <c r="A13" s="95" t="s">
        <v>134</v>
      </c>
      <c r="B13" s="100"/>
      <c r="C13" s="97">
        <v>600000</v>
      </c>
      <c r="D13" s="100"/>
      <c r="E13" s="116"/>
      <c r="F13" s="116">
        <v>46143</v>
      </c>
      <c r="G13" s="98" t="s">
        <v>27</v>
      </c>
      <c r="H13" s="114" t="s">
        <v>59</v>
      </c>
      <c r="I13" s="99"/>
      <c r="J13" s="96" t="s">
        <v>117</v>
      </c>
    </row>
    <row r="14" spans="1:10" ht="409.6" x14ac:dyDescent="0.2">
      <c r="A14" s="95" t="s">
        <v>131</v>
      </c>
      <c r="B14" s="100"/>
      <c r="C14" s="97">
        <v>51000</v>
      </c>
      <c r="D14" s="100"/>
      <c r="E14" s="118">
        <v>45962</v>
      </c>
      <c r="F14" s="118">
        <v>46296</v>
      </c>
      <c r="G14" s="98" t="s">
        <v>27</v>
      </c>
      <c r="H14" s="100" t="s">
        <v>60</v>
      </c>
      <c r="I14" s="99" t="s">
        <v>28</v>
      </c>
      <c r="J14" s="96" t="s">
        <v>26</v>
      </c>
    </row>
    <row r="15" spans="1:10" ht="114" customHeight="1" x14ac:dyDescent="0.2">
      <c r="A15" s="95" t="s">
        <v>132</v>
      </c>
      <c r="B15" s="100"/>
      <c r="C15" s="97">
        <v>200000</v>
      </c>
      <c r="D15" s="100"/>
      <c r="E15" s="118">
        <v>46113</v>
      </c>
      <c r="F15" s="118"/>
      <c r="G15" s="98"/>
      <c r="H15" s="100"/>
      <c r="I15" s="99"/>
      <c r="J15" s="96"/>
    </row>
    <row r="16" spans="1:10" ht="155" customHeight="1" x14ac:dyDescent="0.2">
      <c r="A16" s="95" t="s">
        <v>133</v>
      </c>
      <c r="B16" s="100"/>
      <c r="C16" s="97">
        <v>150000</v>
      </c>
      <c r="D16" s="100"/>
      <c r="E16" s="118">
        <v>46113</v>
      </c>
      <c r="F16" s="118"/>
      <c r="G16" s="98"/>
      <c r="H16" s="100"/>
      <c r="I16" s="99"/>
      <c r="J16" s="96"/>
    </row>
    <row r="17" spans="1:10" ht="114" customHeight="1" x14ac:dyDescent="0.2">
      <c r="A17" s="96" t="s">
        <v>127</v>
      </c>
      <c r="B17" s="100"/>
      <c r="C17" s="101">
        <v>400000</v>
      </c>
      <c r="D17" s="100"/>
      <c r="E17" s="116">
        <v>45717</v>
      </c>
      <c r="F17" s="100"/>
      <c r="G17" s="98" t="s">
        <v>27</v>
      </c>
      <c r="H17" s="100" t="s">
        <v>60</v>
      </c>
      <c r="I17" s="99"/>
      <c r="J17" s="96" t="s">
        <v>35</v>
      </c>
    </row>
    <row r="18" spans="1:10" ht="34" x14ac:dyDescent="0.2">
      <c r="A18" s="102" t="s">
        <v>39</v>
      </c>
      <c r="B18" s="100"/>
      <c r="C18" s="97">
        <v>350000</v>
      </c>
      <c r="D18" s="100"/>
      <c r="E18" s="116">
        <v>46296</v>
      </c>
      <c r="F18" s="118">
        <v>46174</v>
      </c>
      <c r="G18" s="98" t="s">
        <v>27</v>
      </c>
      <c r="H18" s="100" t="s">
        <v>60</v>
      </c>
      <c r="I18" s="99"/>
      <c r="J18" s="96" t="s">
        <v>39</v>
      </c>
    </row>
    <row r="19" spans="1:10" ht="17" x14ac:dyDescent="0.2">
      <c r="A19" s="103" t="s">
        <v>31</v>
      </c>
      <c r="B19" s="119"/>
      <c r="C19" s="104">
        <v>500000</v>
      </c>
      <c r="D19" s="119"/>
      <c r="E19" s="120">
        <v>46054</v>
      </c>
      <c r="F19" s="120">
        <v>46054</v>
      </c>
      <c r="G19" s="105" t="s">
        <v>27</v>
      </c>
      <c r="H19" s="119" t="s">
        <v>58</v>
      </c>
      <c r="I19" s="121"/>
      <c r="J19" s="106" t="s">
        <v>61</v>
      </c>
    </row>
    <row r="20" spans="1:10" ht="17" x14ac:dyDescent="0.2">
      <c r="A20" s="107" t="s">
        <v>109</v>
      </c>
      <c r="B20" s="119"/>
      <c r="C20" s="104">
        <v>200000</v>
      </c>
      <c r="D20" s="119"/>
      <c r="E20" s="120">
        <v>46082</v>
      </c>
      <c r="F20" s="120">
        <v>46054</v>
      </c>
      <c r="G20" s="105" t="s">
        <v>27</v>
      </c>
      <c r="H20" s="119" t="s">
        <v>58</v>
      </c>
      <c r="I20" s="122"/>
      <c r="J20" s="107" t="s">
        <v>65</v>
      </c>
    </row>
    <row r="21" spans="1:10" ht="17" x14ac:dyDescent="0.2">
      <c r="A21" s="106" t="s">
        <v>69</v>
      </c>
      <c r="B21" s="119"/>
      <c r="C21" s="104">
        <v>300000</v>
      </c>
      <c r="D21" s="123">
        <v>45748</v>
      </c>
      <c r="E21" s="120">
        <v>46174</v>
      </c>
      <c r="F21" s="120">
        <v>46054</v>
      </c>
      <c r="G21" s="105" t="s">
        <v>27</v>
      </c>
      <c r="H21" s="119" t="s">
        <v>58</v>
      </c>
      <c r="I21" s="122"/>
      <c r="J21" s="106" t="s">
        <v>69</v>
      </c>
    </row>
    <row r="22" spans="1:10" ht="17" x14ac:dyDescent="0.2">
      <c r="A22" s="106" t="s">
        <v>88</v>
      </c>
      <c r="B22" s="119"/>
      <c r="C22" s="108">
        <v>450000</v>
      </c>
      <c r="D22" s="119"/>
      <c r="E22" s="120">
        <v>46174</v>
      </c>
      <c r="F22" s="120">
        <v>46054</v>
      </c>
      <c r="G22" s="105" t="s">
        <v>27</v>
      </c>
      <c r="H22" s="119"/>
      <c r="I22" s="122"/>
      <c r="J22" s="106" t="s">
        <v>88</v>
      </c>
    </row>
    <row r="23" spans="1:10" x14ac:dyDescent="0.2">
      <c r="C23" s="35"/>
    </row>
    <row r="26" spans="1:10" x14ac:dyDescent="0.2">
      <c r="A26" s="62" t="s">
        <v>100</v>
      </c>
      <c r="B26" s="63"/>
      <c r="C26" s="64">
        <f>SUM(C7:C22)</f>
        <v>5666940</v>
      </c>
      <c r="D26" s="36"/>
    </row>
    <row r="27" spans="1:10" x14ac:dyDescent="0.2">
      <c r="A27" s="66" t="s">
        <v>101</v>
      </c>
      <c r="B27" s="65"/>
      <c r="C27" s="67">
        <v>29015870</v>
      </c>
      <c r="D27" s="37"/>
    </row>
    <row r="28" spans="1:10" ht="16" x14ac:dyDescent="0.2">
      <c r="A28" s="68" t="s">
        <v>102</v>
      </c>
      <c r="B28" s="69"/>
      <c r="C28" s="70">
        <v>1001000</v>
      </c>
      <c r="D28" s="38"/>
    </row>
    <row r="30" spans="1:10" ht="16" x14ac:dyDescent="0.2">
      <c r="A30" s="52" t="s">
        <v>130</v>
      </c>
      <c r="B30" s="53"/>
      <c r="C30" s="44">
        <f>SUM(C26:C28)</f>
        <v>35683810</v>
      </c>
    </row>
    <row r="33" spans="3:3" x14ac:dyDescent="0.2">
      <c r="C33" s="43"/>
    </row>
    <row r="35" spans="3:3" x14ac:dyDescent="0.2">
      <c r="C35" s="35"/>
    </row>
    <row r="36" spans="3:3" x14ac:dyDescent="0.2">
      <c r="C36" s="59"/>
    </row>
    <row r="41" spans="3:3" x14ac:dyDescent="0.2">
      <c r="C41" s="35"/>
    </row>
  </sheetData>
  <mergeCells count="2">
    <mergeCell ref="A3:J3"/>
    <mergeCell ref="A4:J4"/>
  </mergeCells>
  <dataValidations disablePrompts="1" count="1">
    <dataValidation type="list" allowBlank="1" showInputMessage="1" showErrorMessage="1" sqref="B7:B8" xr:uid="{00000000-0002-0000-0000-000000000000}">
      <formula1>"Travaux,Fournitures,Services,Etudes"</formula1>
    </dataValidation>
  </dataValidations>
  <pageMargins left="0.7" right="0.7" top="0.75" bottom="0.75" header="0.3" footer="0.3"/>
  <pageSetup paperSize="9" orientation="portrait" horizontalDpi="4294967292" verticalDpi="4294967292" r:id="rId1"/>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1"/>
  <sheetViews>
    <sheetView showGridLines="0" tabSelected="1" zoomScale="83" zoomScaleNormal="77" zoomScalePageLayoutView="200" workbookViewId="0">
      <selection activeCell="J12" sqref="J12"/>
    </sheetView>
  </sheetViews>
  <sheetFormatPr baseColWidth="10" defaultColWidth="10.83203125" defaultRowHeight="15" x14ac:dyDescent="0.2"/>
  <cols>
    <col min="1" max="1" width="79.1640625" style="15" customWidth="1"/>
    <col min="2" max="2" width="12.5" style="15" hidden="1" customWidth="1"/>
    <col min="3" max="3" width="22.5" style="15" customWidth="1"/>
    <col min="4" max="4" width="13.5" style="15" customWidth="1"/>
    <col min="5" max="5" width="13.83203125" style="15" customWidth="1"/>
    <col min="6" max="6" width="39" style="15" customWidth="1"/>
    <col min="7" max="7" width="35.83203125" style="15" hidden="1" customWidth="1"/>
    <col min="8" max="8" width="131" style="15" bestFit="1" customWidth="1"/>
    <col min="9" max="16384" width="10.83203125" style="15"/>
  </cols>
  <sheetData>
    <row r="1" spans="1:8" x14ac:dyDescent="0.2">
      <c r="F1" s="71" t="s">
        <v>6</v>
      </c>
      <c r="G1" s="24">
        <v>2025</v>
      </c>
      <c r="H1" s="72">
        <v>2026</v>
      </c>
    </row>
    <row r="3" spans="1:8" ht="39" customHeight="1" x14ac:dyDescent="0.2">
      <c r="A3" s="85" t="s">
        <v>7</v>
      </c>
      <c r="B3" s="86"/>
      <c r="C3" s="86"/>
      <c r="D3" s="86"/>
      <c r="E3" s="86"/>
      <c r="F3" s="86"/>
      <c r="G3" s="86"/>
      <c r="H3" s="86"/>
    </row>
    <row r="4" spans="1:8" ht="39" customHeight="1" x14ac:dyDescent="0.2">
      <c r="A4" s="87" t="s">
        <v>48</v>
      </c>
      <c r="B4" s="88"/>
      <c r="C4" s="88"/>
      <c r="D4" s="88"/>
      <c r="E4" s="88"/>
      <c r="F4" s="88"/>
      <c r="G4" s="88"/>
      <c r="H4" s="88"/>
    </row>
    <row r="6" spans="1:8" ht="61.5" customHeight="1" x14ac:dyDescent="0.2">
      <c r="A6" s="51" t="s">
        <v>8</v>
      </c>
      <c r="B6" s="51" t="s">
        <v>0</v>
      </c>
      <c r="C6" s="51" t="s">
        <v>4</v>
      </c>
      <c r="D6" s="51" t="s">
        <v>9</v>
      </c>
      <c r="E6" s="51" t="s">
        <v>3</v>
      </c>
      <c r="F6" s="51" t="s">
        <v>1</v>
      </c>
      <c r="G6" s="51" t="s">
        <v>5</v>
      </c>
      <c r="H6" s="51" t="s">
        <v>10</v>
      </c>
    </row>
    <row r="7" spans="1:8" s="76" customFormat="1" ht="128" x14ac:dyDescent="0.2">
      <c r="A7" s="7" t="s">
        <v>124</v>
      </c>
      <c r="B7" s="73"/>
      <c r="C7" s="74">
        <v>100000</v>
      </c>
      <c r="D7" s="34">
        <v>46266</v>
      </c>
      <c r="E7" s="75"/>
      <c r="F7" s="7" t="s">
        <v>27</v>
      </c>
      <c r="G7" s="33"/>
      <c r="H7" s="7" t="s">
        <v>52</v>
      </c>
    </row>
    <row r="8" spans="1:8" s="76" customFormat="1" ht="16" x14ac:dyDescent="0.2">
      <c r="A8" s="7" t="s">
        <v>87</v>
      </c>
      <c r="B8" s="73"/>
      <c r="C8" s="74">
        <v>35000</v>
      </c>
      <c r="D8" s="34">
        <v>46054</v>
      </c>
      <c r="E8" s="75"/>
      <c r="F8" s="7" t="s">
        <v>27</v>
      </c>
      <c r="G8" s="33"/>
      <c r="H8" s="7" t="s">
        <v>135</v>
      </c>
    </row>
    <row r="9" spans="1:8" ht="32" x14ac:dyDescent="0.2">
      <c r="A9" s="7" t="s">
        <v>32</v>
      </c>
      <c r="B9" s="33"/>
      <c r="C9" s="74">
        <v>35000</v>
      </c>
      <c r="D9" s="34">
        <v>46266</v>
      </c>
      <c r="E9" s="33"/>
      <c r="F9" s="7" t="s">
        <v>27</v>
      </c>
      <c r="G9" s="33"/>
      <c r="H9" s="7" t="s">
        <v>53</v>
      </c>
    </row>
    <row r="10" spans="1:8" ht="16" x14ac:dyDescent="0.2">
      <c r="A10" s="7" t="s">
        <v>33</v>
      </c>
      <c r="B10" s="33"/>
      <c r="C10" s="74">
        <v>20000</v>
      </c>
      <c r="D10" s="34">
        <v>46082</v>
      </c>
      <c r="E10" s="33"/>
      <c r="F10" s="7" t="s">
        <v>27</v>
      </c>
      <c r="G10" s="33"/>
      <c r="H10" s="7" t="s">
        <v>54</v>
      </c>
    </row>
    <row r="11" spans="1:8" ht="16" x14ac:dyDescent="0.2">
      <c r="A11" s="7" t="s">
        <v>34</v>
      </c>
      <c r="B11" s="33"/>
      <c r="C11" s="74">
        <v>150000</v>
      </c>
      <c r="D11" s="34">
        <v>45717</v>
      </c>
      <c r="E11" s="33"/>
      <c r="F11" s="7" t="s">
        <v>27</v>
      </c>
      <c r="G11" s="33"/>
      <c r="H11" s="7" t="s">
        <v>55</v>
      </c>
    </row>
    <row r="12" spans="1:8" ht="80" x14ac:dyDescent="0.2">
      <c r="A12" s="7" t="s">
        <v>50</v>
      </c>
      <c r="B12" s="33"/>
      <c r="C12" s="74">
        <v>150000</v>
      </c>
      <c r="D12" s="34">
        <v>46174</v>
      </c>
      <c r="E12" s="33"/>
      <c r="F12" s="7" t="s">
        <v>27</v>
      </c>
      <c r="G12" s="33"/>
      <c r="H12" s="7" t="s">
        <v>56</v>
      </c>
    </row>
    <row r="13" spans="1:8" ht="32" x14ac:dyDescent="0.2">
      <c r="A13" s="7" t="s">
        <v>49</v>
      </c>
      <c r="B13" s="33"/>
      <c r="C13" s="74">
        <v>61000</v>
      </c>
      <c r="D13" s="34">
        <v>46266</v>
      </c>
      <c r="E13" s="33"/>
      <c r="F13" s="7" t="s">
        <v>27</v>
      </c>
      <c r="G13" s="33"/>
      <c r="H13" s="7" t="s">
        <v>57</v>
      </c>
    </row>
    <row r="14" spans="1:8" ht="16" x14ac:dyDescent="0.2">
      <c r="A14" s="77" t="s">
        <v>105</v>
      </c>
      <c r="B14" s="33"/>
      <c r="C14" s="74">
        <v>40000</v>
      </c>
      <c r="D14" s="25">
        <v>46082</v>
      </c>
      <c r="E14" s="33"/>
      <c r="F14" s="7" t="s">
        <v>27</v>
      </c>
      <c r="G14" s="7" t="s">
        <v>27</v>
      </c>
      <c r="H14" s="77" t="s">
        <v>62</v>
      </c>
    </row>
    <row r="15" spans="1:8" ht="16" x14ac:dyDescent="0.2">
      <c r="A15" s="7" t="s">
        <v>68</v>
      </c>
      <c r="B15" s="33"/>
      <c r="C15" s="74">
        <v>50000</v>
      </c>
      <c r="D15" s="25">
        <v>46054</v>
      </c>
      <c r="E15" s="33"/>
      <c r="F15" s="7" t="s">
        <v>27</v>
      </c>
      <c r="G15" s="23" t="s">
        <v>92</v>
      </c>
      <c r="H15" s="33"/>
    </row>
    <row r="16" spans="1:8" ht="16" x14ac:dyDescent="0.2">
      <c r="A16" s="7" t="s">
        <v>118</v>
      </c>
      <c r="B16" s="33"/>
      <c r="C16" s="74">
        <v>150000</v>
      </c>
      <c r="D16" s="25">
        <v>46082</v>
      </c>
      <c r="E16" s="33"/>
      <c r="F16" s="7" t="s">
        <v>27</v>
      </c>
      <c r="G16" s="33"/>
      <c r="H16" s="33"/>
    </row>
    <row r="17" spans="1:8" ht="16" x14ac:dyDescent="0.2">
      <c r="A17" s="32" t="s">
        <v>126</v>
      </c>
      <c r="C17" s="78">
        <v>150000</v>
      </c>
      <c r="D17" s="25">
        <v>46082</v>
      </c>
      <c r="E17" s="32"/>
      <c r="F17" s="7" t="s">
        <v>27</v>
      </c>
      <c r="G17" s="32"/>
      <c r="H17" s="32" t="s">
        <v>106</v>
      </c>
    </row>
    <row r="18" spans="1:8" ht="16" x14ac:dyDescent="0.2">
      <c r="A18" s="33" t="s">
        <v>128</v>
      </c>
      <c r="B18" s="33"/>
      <c r="C18" s="79">
        <v>60000</v>
      </c>
      <c r="D18" s="34">
        <v>46054</v>
      </c>
      <c r="E18" s="33"/>
      <c r="F18" s="7" t="s">
        <v>27</v>
      </c>
      <c r="G18" s="33"/>
      <c r="H18" s="33"/>
    </row>
    <row r="19" spans="1:8" x14ac:dyDescent="0.2">
      <c r="C19" s="35"/>
    </row>
    <row r="20" spans="1:8" x14ac:dyDescent="0.2">
      <c r="C20" s="35"/>
    </row>
    <row r="21" spans="1:8" x14ac:dyDescent="0.2">
      <c r="C21" s="35"/>
    </row>
  </sheetData>
  <mergeCells count="2">
    <mergeCell ref="A3:H3"/>
    <mergeCell ref="A4:H4"/>
  </mergeCells>
  <dataValidations count="1">
    <dataValidation type="list" allowBlank="1" showInputMessage="1" showErrorMessage="1" sqref="B7:B8" xr:uid="{00000000-0002-0000-0100-000000000000}">
      <formula1>"Travaux,Fournitures,Services,Etudes"</formula1>
    </dataValidation>
  </dataValidations>
  <pageMargins left="0.7" right="0.7" top="0.75" bottom="0.75" header="0.3" footer="0.3"/>
  <pageSetup paperSize="9" orientation="portrait" horizontalDpi="4294967292" verticalDpi="4294967292" r:id="rId1"/>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54"/>
  <sheetViews>
    <sheetView showGridLines="0" zoomScale="92" zoomScaleNormal="80" zoomScalePageLayoutView="200" workbookViewId="0">
      <selection activeCell="E39" sqref="E39"/>
    </sheetView>
  </sheetViews>
  <sheetFormatPr baseColWidth="10" defaultRowHeight="15" x14ac:dyDescent="0.2"/>
  <cols>
    <col min="1" max="1" width="55.5" customWidth="1"/>
    <col min="2" max="2" width="31.1640625" customWidth="1"/>
    <col min="3" max="3" width="20.5" customWidth="1"/>
    <col min="4" max="4" width="19.5" customWidth="1"/>
    <col min="5" max="5" width="36" bestFit="1" customWidth="1"/>
    <col min="6" max="6" width="16.1640625" hidden="1" customWidth="1"/>
    <col min="7" max="7" width="66.33203125" customWidth="1"/>
  </cols>
  <sheetData>
    <row r="1" spans="1:7" x14ac:dyDescent="0.2">
      <c r="E1" s="71" t="s">
        <v>6</v>
      </c>
      <c r="F1" s="24">
        <v>2025</v>
      </c>
      <c r="G1" s="72">
        <v>2026</v>
      </c>
    </row>
    <row r="3" spans="1:7" ht="29" customHeight="1" x14ac:dyDescent="0.2">
      <c r="A3" s="85" t="s">
        <v>7</v>
      </c>
      <c r="B3" s="86"/>
      <c r="C3" s="86"/>
      <c r="D3" s="86"/>
      <c r="E3" s="86"/>
      <c r="F3" s="86"/>
      <c r="G3" s="86"/>
    </row>
    <row r="4" spans="1:7" ht="43" customHeight="1" x14ac:dyDescent="0.2">
      <c r="A4" s="87" t="s">
        <v>48</v>
      </c>
      <c r="B4" s="88"/>
      <c r="C4" s="88"/>
      <c r="D4" s="88"/>
      <c r="E4" s="88"/>
      <c r="F4" s="88"/>
      <c r="G4" s="88"/>
    </row>
    <row r="6" spans="1:7" ht="32" x14ac:dyDescent="0.2">
      <c r="A6" s="51" t="s">
        <v>8</v>
      </c>
      <c r="B6" s="51" t="s">
        <v>4</v>
      </c>
      <c r="C6" s="51" t="s">
        <v>0</v>
      </c>
      <c r="D6" s="51" t="s">
        <v>9</v>
      </c>
      <c r="E6" s="51" t="s">
        <v>1</v>
      </c>
      <c r="F6" s="51" t="s">
        <v>5</v>
      </c>
      <c r="G6" s="51" t="s">
        <v>10</v>
      </c>
    </row>
    <row r="7" spans="1:7" ht="35.25" customHeight="1" x14ac:dyDescent="0.2">
      <c r="A7" s="20" t="s">
        <v>36</v>
      </c>
      <c r="B7" s="21">
        <v>308300</v>
      </c>
      <c r="C7" s="22"/>
      <c r="D7" s="39">
        <v>46023</v>
      </c>
      <c r="E7" s="20" t="s">
        <v>27</v>
      </c>
      <c r="F7" s="22"/>
      <c r="G7" s="19" t="s">
        <v>36</v>
      </c>
    </row>
    <row r="8" spans="1:7" ht="34" x14ac:dyDescent="0.2">
      <c r="A8" s="20" t="s">
        <v>37</v>
      </c>
      <c r="B8" s="21">
        <v>395520</v>
      </c>
      <c r="C8" s="22"/>
      <c r="D8" s="39">
        <v>46235</v>
      </c>
      <c r="E8" s="20" t="s">
        <v>27</v>
      </c>
      <c r="F8" s="22"/>
      <c r="G8" s="19" t="s">
        <v>97</v>
      </c>
    </row>
    <row r="9" spans="1:7" ht="18" customHeight="1" x14ac:dyDescent="0.2">
      <c r="A9" s="58" t="s">
        <v>129</v>
      </c>
      <c r="B9" s="21">
        <v>250000</v>
      </c>
      <c r="C9" s="22"/>
      <c r="D9" s="40">
        <v>46143</v>
      </c>
      <c r="E9" s="20" t="s">
        <v>27</v>
      </c>
      <c r="F9" s="23"/>
      <c r="G9" s="20" t="s">
        <v>38</v>
      </c>
    </row>
    <row r="10" spans="1:7" ht="119" x14ac:dyDescent="0.2">
      <c r="A10" s="20" t="s">
        <v>40</v>
      </c>
      <c r="B10" s="21">
        <v>150000</v>
      </c>
      <c r="C10" s="22"/>
      <c r="D10" s="39">
        <v>46023</v>
      </c>
      <c r="E10" s="20" t="s">
        <v>27</v>
      </c>
      <c r="F10" s="23"/>
      <c r="G10" s="19" t="s">
        <v>96</v>
      </c>
    </row>
    <row r="11" spans="1:7" ht="17" x14ac:dyDescent="0.2">
      <c r="A11" s="20" t="s">
        <v>41</v>
      </c>
      <c r="B11" s="21">
        <v>2309000</v>
      </c>
      <c r="C11" s="23"/>
      <c r="D11" s="39">
        <v>46023</v>
      </c>
      <c r="E11" s="20" t="s">
        <v>27</v>
      </c>
      <c r="F11" s="23"/>
      <c r="G11" s="20" t="s">
        <v>41</v>
      </c>
    </row>
    <row r="12" spans="1:7" ht="17" x14ac:dyDescent="0.2">
      <c r="A12" s="20" t="s">
        <v>42</v>
      </c>
      <c r="B12" s="21">
        <v>800000</v>
      </c>
      <c r="C12" s="23"/>
      <c r="D12" s="39">
        <v>46023</v>
      </c>
      <c r="E12" s="20" t="s">
        <v>27</v>
      </c>
      <c r="F12" s="23"/>
      <c r="G12" s="20" t="s">
        <v>42</v>
      </c>
    </row>
    <row r="13" spans="1:7" ht="17" x14ac:dyDescent="0.2">
      <c r="A13" s="20" t="s">
        <v>64</v>
      </c>
      <c r="B13" s="21">
        <v>150000</v>
      </c>
      <c r="C13" s="23"/>
      <c r="D13" s="39">
        <v>46023</v>
      </c>
      <c r="E13" s="20" t="s">
        <v>27</v>
      </c>
      <c r="F13" s="23"/>
      <c r="G13" s="23" t="s">
        <v>95</v>
      </c>
    </row>
    <row r="14" spans="1:7" ht="17" x14ac:dyDescent="0.2">
      <c r="A14" s="20" t="s">
        <v>43</v>
      </c>
      <c r="B14" s="21">
        <v>1272000</v>
      </c>
      <c r="C14" s="23"/>
      <c r="D14" s="39">
        <v>46023</v>
      </c>
      <c r="E14" s="20" t="s">
        <v>27</v>
      </c>
      <c r="F14" s="23"/>
      <c r="G14" s="29"/>
    </row>
    <row r="15" spans="1:7" ht="17" x14ac:dyDescent="0.2">
      <c r="A15" s="20" t="s">
        <v>44</v>
      </c>
      <c r="B15" s="21">
        <v>500000</v>
      </c>
      <c r="C15" s="23"/>
      <c r="D15" s="39">
        <v>46023</v>
      </c>
      <c r="E15" s="20" t="s">
        <v>27</v>
      </c>
      <c r="F15" s="23"/>
      <c r="G15" s="29"/>
    </row>
    <row r="16" spans="1:7" ht="17" x14ac:dyDescent="0.2">
      <c r="A16" s="20" t="s">
        <v>45</v>
      </c>
      <c r="B16" s="21">
        <v>4292550</v>
      </c>
      <c r="C16" s="23"/>
      <c r="D16" s="39">
        <v>46023</v>
      </c>
      <c r="E16" s="20" t="s">
        <v>27</v>
      </c>
      <c r="F16" s="23"/>
      <c r="G16" s="29"/>
    </row>
    <row r="17" spans="1:7" ht="17" x14ac:dyDescent="0.2">
      <c r="A17" s="20" t="s">
        <v>46</v>
      </c>
      <c r="B17" s="21">
        <v>4600000</v>
      </c>
      <c r="C17" s="23"/>
      <c r="D17" s="39">
        <v>46023</v>
      </c>
      <c r="E17" s="20" t="s">
        <v>27</v>
      </c>
      <c r="F17" s="23"/>
      <c r="G17" s="29"/>
    </row>
    <row r="18" spans="1:7" ht="34" x14ac:dyDescent="0.2">
      <c r="A18" s="20" t="s">
        <v>122</v>
      </c>
      <c r="B18" s="21">
        <v>350000</v>
      </c>
      <c r="C18" s="23"/>
      <c r="D18" s="39">
        <v>46054</v>
      </c>
      <c r="E18" s="20" t="s">
        <v>27</v>
      </c>
      <c r="F18" s="23"/>
      <c r="G18" s="19" t="s">
        <v>99</v>
      </c>
    </row>
    <row r="19" spans="1:7" ht="17" x14ac:dyDescent="0.2">
      <c r="A19" s="20" t="s">
        <v>47</v>
      </c>
      <c r="B19" s="21">
        <v>200000</v>
      </c>
      <c r="C19" s="23"/>
      <c r="D19" s="39">
        <v>46054</v>
      </c>
      <c r="E19" s="20" t="s">
        <v>27</v>
      </c>
      <c r="F19" s="23"/>
      <c r="G19" s="19" t="s">
        <v>98</v>
      </c>
    </row>
    <row r="20" spans="1:7" ht="17" x14ac:dyDescent="0.2">
      <c r="A20" s="20" t="s">
        <v>125</v>
      </c>
      <c r="B20" s="21">
        <v>200000</v>
      </c>
      <c r="C20" s="23"/>
      <c r="D20" s="39">
        <v>46082</v>
      </c>
      <c r="E20" s="20"/>
      <c r="F20" s="23"/>
      <c r="G20" s="19"/>
    </row>
    <row r="21" spans="1:7" ht="17" x14ac:dyDescent="0.2">
      <c r="A21" s="20" t="s">
        <v>63</v>
      </c>
      <c r="B21" s="54">
        <v>12000000</v>
      </c>
      <c r="C21" s="55"/>
      <c r="D21" s="56">
        <v>46054</v>
      </c>
      <c r="E21" s="57" t="s">
        <v>27</v>
      </c>
      <c r="F21" s="55"/>
      <c r="G21" s="55" t="s">
        <v>94</v>
      </c>
    </row>
    <row r="22" spans="1:7" ht="17" x14ac:dyDescent="0.2">
      <c r="A22" s="20" t="s">
        <v>66</v>
      </c>
      <c r="B22" s="21">
        <v>160500</v>
      </c>
      <c r="C22" s="23"/>
      <c r="D22" s="39">
        <v>46023</v>
      </c>
      <c r="E22" s="20" t="s">
        <v>27</v>
      </c>
      <c r="F22" s="23"/>
      <c r="G22" s="20" t="s">
        <v>93</v>
      </c>
    </row>
    <row r="23" spans="1:7" ht="17" x14ac:dyDescent="0.2">
      <c r="A23" s="20" t="s">
        <v>67</v>
      </c>
      <c r="B23" s="21">
        <v>12000</v>
      </c>
      <c r="C23" s="23"/>
      <c r="D23" s="39">
        <v>46054</v>
      </c>
      <c r="E23" s="20" t="s">
        <v>27</v>
      </c>
      <c r="F23" s="23"/>
      <c r="G23" s="23" t="s">
        <v>67</v>
      </c>
    </row>
    <row r="24" spans="1:7" ht="17" x14ac:dyDescent="0.2">
      <c r="A24" s="20" t="s">
        <v>70</v>
      </c>
      <c r="B24" s="21">
        <v>250000</v>
      </c>
      <c r="C24" s="23"/>
      <c r="D24" s="22" t="s">
        <v>58</v>
      </c>
      <c r="E24" s="20" t="s">
        <v>27</v>
      </c>
      <c r="F24" s="23"/>
      <c r="G24" s="23" t="s">
        <v>71</v>
      </c>
    </row>
    <row r="25" spans="1:7" ht="26.25" customHeight="1" x14ac:dyDescent="0.2">
      <c r="A25" s="60" t="s">
        <v>72</v>
      </c>
      <c r="B25" s="61">
        <v>100000</v>
      </c>
      <c r="C25" s="80"/>
      <c r="D25" s="81">
        <v>46054</v>
      </c>
      <c r="E25" s="60" t="s">
        <v>27</v>
      </c>
      <c r="F25" s="80"/>
      <c r="G25" s="60" t="s">
        <v>89</v>
      </c>
    </row>
    <row r="26" spans="1:7" ht="26.25" customHeight="1" x14ac:dyDescent="0.2">
      <c r="A26" s="60" t="s">
        <v>73</v>
      </c>
      <c r="B26" s="61">
        <v>40000</v>
      </c>
      <c r="C26" s="80"/>
      <c r="D26" s="81">
        <v>46082</v>
      </c>
      <c r="E26" s="60" t="s">
        <v>27</v>
      </c>
      <c r="F26" s="80"/>
      <c r="G26" s="60" t="s">
        <v>90</v>
      </c>
    </row>
    <row r="27" spans="1:7" ht="26.25" customHeight="1" x14ac:dyDescent="0.2">
      <c r="A27" s="60" t="s">
        <v>74</v>
      </c>
      <c r="B27" s="61">
        <v>66000</v>
      </c>
      <c r="C27" s="80"/>
      <c r="D27" s="81">
        <v>46023</v>
      </c>
      <c r="E27" s="60" t="s">
        <v>27</v>
      </c>
      <c r="F27" s="80"/>
      <c r="G27" s="60" t="s">
        <v>91</v>
      </c>
    </row>
    <row r="28" spans="1:7" ht="63" customHeight="1" x14ac:dyDescent="0.2">
      <c r="A28" s="60" t="s">
        <v>75</v>
      </c>
      <c r="B28" s="61">
        <v>240000</v>
      </c>
      <c r="C28" s="80"/>
      <c r="D28" s="81">
        <v>46054</v>
      </c>
      <c r="E28" s="60" t="s">
        <v>27</v>
      </c>
      <c r="F28" s="80"/>
      <c r="G28" s="60" t="s">
        <v>75</v>
      </c>
    </row>
    <row r="29" spans="1:7" ht="43.5" customHeight="1" x14ac:dyDescent="0.2">
      <c r="A29" s="60" t="s">
        <v>76</v>
      </c>
      <c r="B29" s="61">
        <v>360000</v>
      </c>
      <c r="C29" s="80"/>
      <c r="D29" s="82" t="s">
        <v>123</v>
      </c>
      <c r="E29" s="60" t="s">
        <v>27</v>
      </c>
      <c r="F29" s="80"/>
      <c r="G29" s="60" t="s">
        <v>76</v>
      </c>
    </row>
    <row r="30" spans="1:7" ht="17" x14ac:dyDescent="0.2">
      <c r="A30" s="60" t="s">
        <v>51</v>
      </c>
      <c r="B30" s="61">
        <v>10000</v>
      </c>
      <c r="C30" s="80"/>
      <c r="D30" s="81">
        <v>46054</v>
      </c>
      <c r="E30" s="60" t="s">
        <v>27</v>
      </c>
      <c r="F30" s="80"/>
      <c r="G30" s="60" t="s">
        <v>76</v>
      </c>
    </row>
    <row r="31" spans="1:7" x14ac:dyDescent="0.2">
      <c r="B31" s="30"/>
    </row>
    <row r="32" spans="1:7" x14ac:dyDescent="0.2">
      <c r="B32" s="30"/>
    </row>
    <row r="34" spans="1:4" ht="40" x14ac:dyDescent="0.25">
      <c r="A34" s="28" t="s">
        <v>121</v>
      </c>
      <c r="D34" s="26"/>
    </row>
    <row r="35" spans="1:4" ht="19" x14ac:dyDescent="0.25">
      <c r="A35" s="26"/>
      <c r="D35" s="26"/>
    </row>
    <row r="36" spans="1:4" ht="28.5" customHeight="1" x14ac:dyDescent="0.2">
      <c r="A36" s="50" t="s">
        <v>84</v>
      </c>
      <c r="B36" s="50" t="s">
        <v>85</v>
      </c>
      <c r="C36" s="50" t="s">
        <v>108</v>
      </c>
      <c r="D36" s="50" t="s">
        <v>107</v>
      </c>
    </row>
    <row r="37" spans="1:4" ht="28.5" customHeight="1" x14ac:dyDescent="0.2">
      <c r="A37" s="83" t="s">
        <v>86</v>
      </c>
      <c r="B37" s="83" t="s">
        <v>83</v>
      </c>
      <c r="C37" s="84">
        <v>10000</v>
      </c>
      <c r="D37" s="84">
        <f>C37*12</f>
        <v>120000</v>
      </c>
    </row>
    <row r="38" spans="1:4" ht="28.5" customHeight="1" x14ac:dyDescent="0.2">
      <c r="A38" s="83" t="s">
        <v>81</v>
      </c>
      <c r="B38" s="83" t="s">
        <v>82</v>
      </c>
      <c r="C38" s="84">
        <v>10101.01</v>
      </c>
      <c r="D38" s="84">
        <f t="shared" ref="D38:D40" si="0">C38*12</f>
        <v>121212.12</v>
      </c>
    </row>
    <row r="39" spans="1:4" ht="28.5" customHeight="1" x14ac:dyDescent="0.2">
      <c r="A39" s="83" t="s">
        <v>119</v>
      </c>
      <c r="B39" s="83" t="s">
        <v>120</v>
      </c>
      <c r="C39" s="84">
        <v>16600</v>
      </c>
      <c r="D39" s="84">
        <f>C39*12</f>
        <v>199200</v>
      </c>
    </row>
    <row r="40" spans="1:4" ht="28.5" customHeight="1" x14ac:dyDescent="0.2">
      <c r="A40" s="83" t="s">
        <v>79</v>
      </c>
      <c r="B40" s="83" t="s">
        <v>80</v>
      </c>
      <c r="C40" s="84">
        <v>10000</v>
      </c>
      <c r="D40" s="84">
        <f t="shared" si="0"/>
        <v>120000</v>
      </c>
    </row>
    <row r="41" spans="1:4" x14ac:dyDescent="0.2">
      <c r="D41" s="41">
        <f>SUM(D37:D40)</f>
        <v>560412.12</v>
      </c>
    </row>
    <row r="43" spans="1:4" ht="22.5" customHeight="1" x14ac:dyDescent="0.2">
      <c r="A43" s="27" t="s">
        <v>112</v>
      </c>
      <c r="B43" s="27" t="s">
        <v>113</v>
      </c>
      <c r="C43" s="27" t="s">
        <v>108</v>
      </c>
      <c r="D43" s="27" t="s">
        <v>107</v>
      </c>
    </row>
    <row r="44" spans="1:4" ht="63.75" customHeight="1" x14ac:dyDescent="0.2">
      <c r="A44" s="45" t="s">
        <v>114</v>
      </c>
      <c r="B44" s="45" t="s">
        <v>115</v>
      </c>
      <c r="C44" s="46">
        <v>57857.14</v>
      </c>
      <c r="D44" s="46">
        <f>C44*12</f>
        <v>694285.67999999993</v>
      </c>
    </row>
    <row r="45" spans="1:4" ht="21.75" customHeight="1" x14ac:dyDescent="0.2">
      <c r="A45" s="47"/>
      <c r="B45" s="47"/>
      <c r="C45" s="48"/>
      <c r="D45" s="48"/>
    </row>
    <row r="46" spans="1:4" ht="21.75" customHeight="1" x14ac:dyDescent="0.2">
      <c r="A46" s="47"/>
      <c r="B46" s="47"/>
      <c r="C46" s="48"/>
      <c r="D46" s="48"/>
    </row>
    <row r="47" spans="1:4" ht="21.75" customHeight="1" x14ac:dyDescent="0.2">
      <c r="A47" s="47"/>
      <c r="B47" s="47"/>
      <c r="C47" s="48"/>
      <c r="D47" s="48"/>
    </row>
    <row r="48" spans="1:4" ht="21.75" customHeight="1" x14ac:dyDescent="0.2">
      <c r="A48" s="47"/>
      <c r="B48" s="47"/>
      <c r="C48" s="48"/>
      <c r="D48" s="48"/>
    </row>
    <row r="49" spans="1:4" ht="21.75" customHeight="1" x14ac:dyDescent="0.2">
      <c r="A49" s="47"/>
      <c r="B49" s="47"/>
      <c r="C49" s="48"/>
      <c r="D49" s="48"/>
    </row>
    <row r="50" spans="1:4" ht="21.75" customHeight="1" x14ac:dyDescent="0.2">
      <c r="A50" s="47"/>
      <c r="B50" s="47"/>
      <c r="C50" s="48"/>
      <c r="D50" s="48"/>
    </row>
    <row r="51" spans="1:4" ht="21.75" customHeight="1" x14ac:dyDescent="0.2">
      <c r="A51" s="47"/>
      <c r="B51" s="47"/>
      <c r="C51" s="48"/>
      <c r="D51" s="48"/>
    </row>
    <row r="52" spans="1:4" ht="21.75" customHeight="1" x14ac:dyDescent="0.2">
      <c r="A52" s="47"/>
      <c r="B52" s="47"/>
      <c r="C52" s="48"/>
      <c r="D52" s="48"/>
    </row>
    <row r="53" spans="1:4" ht="21.75" customHeight="1" x14ac:dyDescent="0.2">
      <c r="A53" s="49"/>
      <c r="B53" s="49"/>
      <c r="C53" s="48"/>
      <c r="D53" s="48"/>
    </row>
    <row r="54" spans="1:4" ht="21.75" customHeight="1" x14ac:dyDescent="0.2"/>
  </sheetData>
  <mergeCells count="2">
    <mergeCell ref="A3:G3"/>
    <mergeCell ref="A4:G4"/>
  </mergeCells>
  <pageMargins left="0.7" right="0.7" top="0.75" bottom="0.75" header="0.3" footer="0.3"/>
  <pageSetup paperSize="9" orientation="portrait" horizontalDpi="4294967292" verticalDpi="4294967292" r:id="rId1"/>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7"/>
  <sheetViews>
    <sheetView zoomScale="84" zoomScaleNormal="84" workbookViewId="0">
      <selection activeCell="K14" sqref="K14"/>
    </sheetView>
  </sheetViews>
  <sheetFormatPr baseColWidth="10" defaultRowHeight="15" x14ac:dyDescent="0.2"/>
  <cols>
    <col min="1" max="1" width="36.5" customWidth="1"/>
    <col min="2" max="2" width="14.1640625" customWidth="1"/>
    <col min="3" max="3" width="21.83203125" customWidth="1"/>
    <col min="4" max="4" width="20.5" customWidth="1"/>
    <col min="5" max="5" width="10.5" customWidth="1"/>
    <col min="6" max="6" width="11.5" customWidth="1"/>
    <col min="7" max="7" width="7.5" customWidth="1"/>
    <col min="8" max="8" width="15" customWidth="1"/>
    <col min="9" max="9" width="15.5" customWidth="1"/>
    <col min="10" max="10" width="14.5" customWidth="1"/>
    <col min="13" max="13" width="15" customWidth="1"/>
    <col min="14" max="14" width="21.1640625" customWidth="1"/>
  </cols>
  <sheetData>
    <row r="1" spans="1:14" x14ac:dyDescent="0.2">
      <c r="J1" s="4" t="s">
        <v>6</v>
      </c>
      <c r="K1" s="3">
        <v>2025</v>
      </c>
    </row>
    <row r="3" spans="1:14" ht="16" x14ac:dyDescent="0.2">
      <c r="A3" s="89" t="s">
        <v>7</v>
      </c>
      <c r="B3" s="90"/>
      <c r="C3" s="90"/>
      <c r="D3" s="90"/>
      <c r="E3" s="90"/>
      <c r="F3" s="90"/>
      <c r="G3" s="90"/>
      <c r="H3" s="90"/>
      <c r="I3" s="90"/>
      <c r="J3" s="90"/>
      <c r="K3" s="90"/>
      <c r="L3" s="90"/>
      <c r="M3" s="90"/>
      <c r="N3" s="90"/>
    </row>
    <row r="4" spans="1:14" ht="25.5" customHeight="1" x14ac:dyDescent="0.2">
      <c r="A4" s="91" t="s">
        <v>17</v>
      </c>
      <c r="B4" s="92"/>
      <c r="C4" s="93"/>
      <c r="D4" s="94"/>
      <c r="E4" s="94"/>
      <c r="F4" s="94"/>
      <c r="G4" s="94"/>
      <c r="H4" s="94"/>
      <c r="I4" s="94"/>
      <c r="J4" s="94"/>
      <c r="K4" s="94"/>
      <c r="L4" s="94"/>
      <c r="M4" s="94"/>
      <c r="N4" s="94"/>
    </row>
    <row r="5" spans="1:14" ht="64" x14ac:dyDescent="0.2">
      <c r="A5" s="1" t="s">
        <v>8</v>
      </c>
      <c r="B5" s="1" t="s">
        <v>14</v>
      </c>
      <c r="C5" s="1" t="s">
        <v>0</v>
      </c>
      <c r="D5" s="1" t="s">
        <v>11</v>
      </c>
      <c r="E5" s="1" t="s">
        <v>12</v>
      </c>
      <c r="F5" s="1" t="s">
        <v>13</v>
      </c>
      <c r="G5" s="1" t="s">
        <v>16</v>
      </c>
      <c r="H5" s="1" t="s">
        <v>15</v>
      </c>
      <c r="I5" s="1" t="s">
        <v>4</v>
      </c>
      <c r="J5" s="1" t="s">
        <v>2</v>
      </c>
      <c r="K5" s="1" t="s">
        <v>9</v>
      </c>
      <c r="L5" s="1" t="s">
        <v>3</v>
      </c>
      <c r="M5" s="1" t="s">
        <v>1</v>
      </c>
      <c r="N5" s="1" t="s">
        <v>10</v>
      </c>
    </row>
    <row r="6" spans="1:14" s="5" customFormat="1" x14ac:dyDescent="0.2">
      <c r="A6" s="14"/>
      <c r="B6" s="11"/>
      <c r="C6" s="12"/>
      <c r="D6" s="15"/>
      <c r="E6" s="10"/>
      <c r="F6" s="9"/>
      <c r="G6" s="7"/>
      <c r="H6" s="16"/>
      <c r="I6" s="8"/>
      <c r="J6" s="11"/>
      <c r="K6" s="7"/>
      <c r="L6" s="7"/>
      <c r="M6" s="2"/>
      <c r="N6" s="6"/>
    </row>
    <row r="7" spans="1:14" s="5" customFormat="1" x14ac:dyDescent="0.2">
      <c r="A7" s="13"/>
      <c r="B7" s="11"/>
      <c r="C7" s="12"/>
      <c r="D7" s="17"/>
      <c r="E7" s="10"/>
      <c r="F7" s="9"/>
      <c r="G7" s="7"/>
      <c r="H7" s="18"/>
      <c r="I7" s="8"/>
      <c r="J7" s="11"/>
      <c r="K7" s="7"/>
      <c r="L7" s="7"/>
      <c r="M7" s="2"/>
      <c r="N7" s="6"/>
    </row>
  </sheetData>
  <mergeCells count="3">
    <mergeCell ref="A3:N3"/>
    <mergeCell ref="A4:B4"/>
    <mergeCell ref="C4:N4"/>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4</vt:i4>
      </vt:variant>
    </vt:vector>
  </HeadingPairs>
  <TitlesOfParts>
    <vt:vector size="4" baseType="lpstr">
      <vt:lpstr>Marchés</vt:lpstr>
      <vt:lpstr>Bons de commande</vt:lpstr>
      <vt:lpstr>Contrat-Convention de droit com</vt:lpstr>
      <vt:lpstr>Contrats prod</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TALEB Nora</dc:creator>
  <cp:lastModifiedBy>Microsoft Office User</cp:lastModifiedBy>
  <cp:lastPrinted>2026-02-03T14:47:45Z</cp:lastPrinted>
  <dcterms:created xsi:type="dcterms:W3CDTF">2021-01-08T14:23:18Z</dcterms:created>
  <dcterms:modified xsi:type="dcterms:W3CDTF">2026-03-09T13:16:55Z</dcterms:modified>
</cp:coreProperties>
</file>