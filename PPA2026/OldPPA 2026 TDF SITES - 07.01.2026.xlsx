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3040" windowHeight="9375" tabRatio="600" firstSheet="0" activeTab="0" autoFilterDateGrouping="1"/>
  </bookViews>
  <sheets>
    <sheet name="Marchés" sheetId="1" state="visible" r:id="rId1"/>
    <sheet name="Bons de commande" sheetId="2" state="visible" r:id="rId2"/>
    <sheet name="Contrat-Convention de droit com" sheetId="3" state="visible" r:id="rId3"/>
    <sheet name="Contrats prod" sheetId="4" state="visible" r:id="rId4"/>
  </sheets>
  <definedNames>
    <definedName name="_xlnm._FilterDatabase" localSheetId="0" hidden="1">'Marchés'!$A$6:$K$29</definedName>
    <definedName name="_xlnm.Print_Titles" localSheetId="0">'Marchés'!$1:$6</definedName>
    <definedName name="_xlnm._FilterDatabase" localSheetId="1" hidden="1">'Bons de commande'!$A$6:$I$24</definedName>
    <definedName name="_xlnm.Print_Area" localSheetId="1">'Bons de commande'!$A$1:$I$21</definedName>
  </definedNames>
  <calcPr calcId="152511" fullCalcOnLoad="1"/>
</workbook>
</file>

<file path=xl/styles.xml><?xml version="1.0" encoding="utf-8"?>
<styleSheet xmlns="http://schemas.openxmlformats.org/spreadsheetml/2006/main">
  <numFmts count="3">
    <numFmt numFmtId="164" formatCode="_-* #,##0.00\ _F_-;\-* #,##0.00\ _F_-;_-* &quot;-&quot;??\ _F_-;_-@_-"/>
    <numFmt numFmtId="165" formatCode="_-* #,##0.00\ _€_-;\-* #,##0.00\ _€_-;_-* &quot;-&quot;??\ _€_-;_-@_-"/>
    <numFmt numFmtId="166" formatCode="_-* #,##0.00\ &quot;€&quot;_-;\-* #,##0.00\ &quot;€&quot;_-;_-* &quot;-&quot;??\ &quot;€&quot;_-;_-@_-"/>
  </numFmts>
  <fonts count="29">
    <font>
      <name val="Calibri"/>
      <family val="2"/>
      <color theme="1"/>
      <sz val="11"/>
      <scheme val="minor"/>
    </font>
    <font>
      <name val="Calibri"/>
      <family val="2"/>
      <b val="1"/>
      <color theme="0"/>
      <sz val="11"/>
      <scheme val="minor"/>
    </font>
    <font>
      <name val="Calibri"/>
      <family val="2"/>
      <b val="1"/>
      <color theme="1"/>
      <sz val="11"/>
      <scheme val="minor"/>
    </font>
    <font>
      <name val="Calibri"/>
      <family val="2"/>
      <b val="1"/>
      <color theme="1"/>
      <sz val="12"/>
      <scheme val="minor"/>
    </font>
    <font>
      <name val="Calibri"/>
      <family val="2"/>
      <color theme="10"/>
      <sz val="11"/>
      <u val="single"/>
      <scheme val="minor"/>
    </font>
    <font>
      <name val="Calibri"/>
      <family val="2"/>
      <color theme="11"/>
      <sz val="11"/>
      <u val="single"/>
      <scheme val="minor"/>
    </font>
    <font>
      <name val="Calibri"/>
      <family val="2"/>
      <color rgb="FF000000"/>
      <sz val="11"/>
      <scheme val="minor"/>
    </font>
    <font>
      <name val="Calibri"/>
      <family val="2"/>
      <color rgb="FF000000"/>
      <sz val="11"/>
    </font>
    <font>
      <name val="Calibri"/>
      <family val="2"/>
      <sz val="11"/>
    </font>
    <font>
      <name val="Calibri"/>
      <family val="2"/>
      <color theme="1"/>
      <sz val="11"/>
      <scheme val="minor"/>
    </font>
    <font>
      <name val="Times New Roman"/>
      <family val="1"/>
      <color rgb="FF000000"/>
      <sz val="10"/>
    </font>
    <font>
      <name val="Times New Roman"/>
      <family val="1"/>
      <color theme="1"/>
      <sz val="10"/>
    </font>
    <font>
      <name val="Calibri"/>
      <family val="2"/>
      <color rgb="FF002060"/>
      <sz val="10"/>
    </font>
    <font>
      <name val="Calibri"/>
      <family val="2"/>
      <color rgb="FF000000"/>
      <sz val="11"/>
    </font>
    <font>
      <name val="Calibri"/>
      <family val="2"/>
      <b val="1"/>
      <color theme="1"/>
      <sz val="10"/>
    </font>
    <font>
      <name val="Book Antiqua"/>
      <family val="1"/>
      <color theme="1"/>
      <sz val="12"/>
    </font>
    <font>
      <name val="Calibri"/>
      <family val="2"/>
      <color theme="1"/>
      <sz val="12"/>
      <scheme val="minor"/>
    </font>
    <font>
      <name val="Calibri"/>
      <family val="2"/>
      <b val="1"/>
      <color theme="0"/>
      <sz val="12"/>
      <scheme val="minor"/>
    </font>
    <font>
      <name val="Calibri"/>
      <family val="2"/>
      <sz val="12"/>
      <scheme val="minor"/>
    </font>
    <font>
      <name val="Calibri"/>
      <family val="2"/>
      <color rgb="FF000000"/>
      <sz val="12"/>
      <scheme val="minor"/>
    </font>
    <font>
      <name val="Book Antiqua"/>
      <family val="1"/>
      <color theme="1"/>
      <sz val="11"/>
    </font>
    <font>
      <name val="Book Antiqua"/>
      <family val="1"/>
      <color rgb="FF333333"/>
      <sz val="11"/>
    </font>
    <font>
      <name val="Book Antiqua"/>
      <family val="1"/>
      <sz val="11"/>
    </font>
    <font>
      <name val="Book Antiqua"/>
      <family val="1"/>
      <color rgb="FF000000"/>
      <sz val="11"/>
    </font>
    <font>
      <b val="1"/>
      <color rgb="00FFFFFF"/>
      <sz val="10"/>
    </font>
    <font>
      <b val="1"/>
      <color rgb="009C6500"/>
      <sz val="9"/>
    </font>
    <font>
      <i val="1"/>
      <color rgb="00A6A6A6"/>
      <sz val="9"/>
    </font>
    <font>
      <color rgb="00375623"/>
      <sz val="10"/>
    </font>
    <font>
      <b val="1"/>
      <color rgb="00375623"/>
      <sz val="10"/>
    </font>
  </fonts>
  <fills count="10">
    <fill>
      <patternFill/>
    </fill>
    <fill>
      <patternFill patternType="gray125"/>
    </fill>
    <fill>
      <patternFill patternType="solid">
        <fgColor theme="3" tint="0.3999755851924192"/>
        <bgColor indexed="64"/>
      </patternFill>
    </fill>
    <fill>
      <patternFill patternType="solid">
        <fgColor theme="3" tint="0.5999938962981048"/>
        <bgColor indexed="64"/>
      </patternFill>
    </fill>
    <fill>
      <patternFill patternType="solid">
        <fgColor theme="0" tint="-0.0499893185216834"/>
        <bgColor indexed="64"/>
      </patternFill>
    </fill>
    <fill>
      <patternFill patternType="solid">
        <fgColor theme="0"/>
        <bgColor indexed="64"/>
      </patternFill>
    </fill>
    <fill>
      <patternFill patternType="solid">
        <fgColor rgb="FFFFFF00"/>
        <bgColor indexed="64"/>
      </patternFill>
    </fill>
    <fill>
      <patternFill patternType="solid">
        <fgColor rgb="001F4E78"/>
      </patternFill>
    </fill>
    <fill>
      <patternFill patternType="solid">
        <fgColor rgb="00FFF2CC"/>
      </patternFill>
    </fill>
    <fill>
      <patternFill patternType="solid">
        <fgColor rgb="00E2EFDA"/>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right/>
      <top style="thin">
        <color auto="1"/>
      </top>
      <bottom/>
      <diagonal/>
    </border>
    <border>
      <left/>
      <right style="thin">
        <color auto="1"/>
      </right>
      <top style="thin">
        <color auto="1"/>
      </top>
      <bottom/>
      <diagonal/>
    </border>
    <border>
      <left style="thin">
        <color rgb="00BFBFBF"/>
      </left>
      <right style="thin">
        <color rgb="00BFBFBF"/>
      </right>
      <top style="thin">
        <color rgb="00BFBFBF"/>
      </top>
      <bottom style="thin">
        <color rgb="00BFBFBF"/>
      </bottom>
    </border>
  </borders>
  <cellStyleXfs count="4">
    <xf numFmtId="0" fontId="9" fillId="0" borderId="0"/>
    <xf numFmtId="0" fontId="4" fillId="0" borderId="0"/>
    <xf numFmtId="0" fontId="5" fillId="0" borderId="0"/>
    <xf numFmtId="43" fontId="9" fillId="0" borderId="0"/>
  </cellStyleXfs>
  <cellXfs count="19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1" fillId="2" borderId="2" applyAlignment="1" pivotButton="0" quotePrefix="0" xfId="0">
      <alignment horizontal="center" vertical="center" wrapText="1"/>
    </xf>
    <xf numFmtId="0" fontId="0" fillId="4" borderId="1" pivotButton="0" quotePrefix="0" xfId="0"/>
    <xf numFmtId="0" fontId="2" fillId="4" borderId="1" pivotButton="0" quotePrefix="0" xfId="0"/>
    <xf numFmtId="0" fontId="2" fillId="3" borderId="1" applyAlignment="1" pivotButton="0" quotePrefix="0" xfId="0">
      <alignment horizontal="center"/>
    </xf>
    <xf numFmtId="0" fontId="0" fillId="0" borderId="0" applyAlignment="1" pivotButton="0" quotePrefix="0" xfId="0">
      <alignment vertical="center"/>
    </xf>
    <xf numFmtId="0" fontId="1" fillId="2" borderId="7" applyAlignment="1" pivotButton="0" quotePrefix="0" xfId="0">
      <alignment horizontal="center" vertical="center" wrapText="1"/>
    </xf>
    <xf numFmtId="0" fontId="0" fillId="0" borderId="1" pivotButton="0" quotePrefix="0" xfId="0"/>
    <xf numFmtId="0" fontId="0" fillId="0" borderId="1" applyAlignment="1" pivotButton="0" quotePrefix="0" xfId="0">
      <alignment vertical="center"/>
    </xf>
    <xf numFmtId="0" fontId="0" fillId="0" borderId="0" applyAlignment="1" pivotButton="0" quotePrefix="0" xfId="0">
      <alignment wrapText="1"/>
    </xf>
    <xf numFmtId="0" fontId="2" fillId="4" borderId="1" applyAlignment="1" pivotButton="0" quotePrefix="0" xfId="0">
      <alignment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4" fontId="1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10" fillId="0" borderId="1" applyAlignment="1" pivotButton="0" quotePrefix="0" xfId="0">
      <alignment horizontal="center" vertical="center" wrapText="1"/>
    </xf>
    <xf numFmtId="0" fontId="0" fillId="0" borderId="5" applyAlignment="1" pivotButton="0" quotePrefix="0" xfId="0">
      <alignment horizontal="center" vertical="center" wrapText="1"/>
    </xf>
    <xf numFmtId="0" fontId="11" fillId="0" borderId="1" applyAlignment="1" pivotButton="0" quotePrefix="0" xfId="0">
      <alignment horizontal="left" vertical="center" wrapText="1"/>
    </xf>
    <xf numFmtId="0" fontId="12" fillId="0" borderId="1" applyAlignment="1" pivotButton="0" quotePrefix="0" xfId="0">
      <alignment horizontal="left" vertical="center" wrapText="1"/>
    </xf>
    <xf numFmtId="4" fontId="6" fillId="0" borderId="1" applyAlignment="1" pivotButton="0" quotePrefix="0" xfId="0">
      <alignment horizontal="center" vertical="center"/>
    </xf>
    <xf numFmtId="0" fontId="13" fillId="0" borderId="1" applyAlignment="1" pivotButton="0" quotePrefix="0" xfId="0">
      <alignment vertical="center"/>
    </xf>
    <xf numFmtId="0" fontId="12" fillId="0" borderId="1" applyAlignment="1" pivotButton="0" quotePrefix="0" xfId="0">
      <alignment horizontal="left" vertical="top" wrapText="1"/>
    </xf>
    <xf numFmtId="0" fontId="0" fillId="0" borderId="0" applyAlignment="1" pivotButton="0" quotePrefix="0" xfId="0">
      <alignment horizontal="center" vertical="center"/>
    </xf>
    <xf numFmtId="164" fontId="14" fillId="0" borderId="1" applyAlignment="1" pivotButton="0" quotePrefix="0" xfId="333">
      <alignment horizontal="center" vertical="center" wrapText="1"/>
    </xf>
    <xf numFmtId="0" fontId="0" fillId="0" borderId="4" applyAlignment="1" pivotButton="0" quotePrefix="0" xfId="0">
      <alignment horizontal="center" vertical="center"/>
    </xf>
    <xf numFmtId="164" fontId="14" fillId="5" borderId="1" applyAlignment="1" pivotButton="0" quotePrefix="0" xfId="333">
      <alignment horizontal="center" vertical="center" wrapText="1"/>
    </xf>
    <xf numFmtId="0" fontId="3" fillId="0" borderId="0" applyAlignment="1" pivotButton="0" quotePrefix="0" xfId="0">
      <alignment vertical="center"/>
    </xf>
    <xf numFmtId="0" fontId="2" fillId="4" borderId="1" applyAlignment="1" pivotButton="0" quotePrefix="0" xfId="0">
      <alignment horizontal="left"/>
    </xf>
    <xf numFmtId="0" fontId="15" fillId="5" borderId="1" applyAlignment="1" pivotButton="0" quotePrefix="0" xfId="0">
      <alignment horizontal="left" vertical="center" wrapText="1"/>
    </xf>
    <xf numFmtId="165" fontId="1" fillId="2" borderId="7" applyAlignment="1" pivotButton="0" quotePrefix="0" xfId="333">
      <alignment horizontal="center" vertical="center" wrapText="1"/>
    </xf>
    <xf numFmtId="0" fontId="16" fillId="0" borderId="0" applyAlignment="1" pivotButton="0" quotePrefix="0" xfId="0">
      <alignment vertical="center"/>
    </xf>
    <xf numFmtId="0" fontId="16" fillId="0" borderId="0" applyAlignment="1" pivotButton="0" quotePrefix="0" xfId="0">
      <alignment vertical="center" wrapText="1"/>
    </xf>
    <xf numFmtId="165" fontId="16" fillId="0" borderId="0" applyAlignment="1" pivotButton="0" quotePrefix="0" xfId="0">
      <alignment vertical="center"/>
    </xf>
    <xf numFmtId="165" fontId="16" fillId="0" borderId="0" applyAlignment="1" pivotButton="0" quotePrefix="0" xfId="0">
      <alignment horizontal="center" vertical="center" wrapText="1"/>
    </xf>
    <xf numFmtId="0" fontId="3" fillId="3" borderId="1" applyAlignment="1" pivotButton="0" quotePrefix="0" xfId="0">
      <alignment horizontal="center" vertical="center"/>
    </xf>
    <xf numFmtId="0" fontId="3" fillId="4" borderId="1" applyAlignment="1" pivotButton="0" quotePrefix="0" xfId="0">
      <alignment horizontal="left" vertical="center"/>
    </xf>
    <xf numFmtId="0" fontId="3" fillId="4" borderId="1" applyAlignment="1" pivotButton="0" quotePrefix="0" xfId="0">
      <alignment vertical="center"/>
    </xf>
    <xf numFmtId="0" fontId="17" fillId="2" borderId="7" applyAlignment="1" pivotButton="0" quotePrefix="0" xfId="0">
      <alignment horizontal="center" vertical="center" wrapText="1"/>
    </xf>
    <xf numFmtId="165" fontId="17" fillId="2" borderId="7" applyAlignment="1" pivotButton="0" quotePrefix="0" xfId="0">
      <alignment horizontal="center" vertical="center" wrapText="1"/>
    </xf>
    <xf numFmtId="0" fontId="17" fillId="2" borderId="2" applyAlignment="1" pivotButton="0" quotePrefix="0" xfId="0">
      <alignment horizontal="center" vertical="center" wrapText="1"/>
    </xf>
    <xf numFmtId="0" fontId="16" fillId="5" borderId="1" applyAlignment="1" pivotButton="0" quotePrefix="0" xfId="0">
      <alignment horizontal="left" vertical="center" wrapText="1"/>
    </xf>
    <xf numFmtId="0" fontId="18" fillId="5" borderId="1" applyAlignment="1" pivotButton="0" quotePrefix="0" xfId="0">
      <alignment vertical="center" wrapText="1"/>
    </xf>
    <xf numFmtId="165" fontId="18" fillId="5" borderId="1" applyAlignment="1" pivotButton="0" quotePrefix="0" xfId="0">
      <alignment vertical="center"/>
    </xf>
    <xf numFmtId="165" fontId="18" fillId="0" borderId="1" applyAlignment="1" pivotButton="0" quotePrefix="0" xfId="0">
      <alignment horizontal="center" vertical="center" wrapText="1"/>
    </xf>
    <xf numFmtId="0" fontId="16" fillId="0" borderId="1" applyAlignment="1" pivotButton="0" quotePrefix="0" xfId="0">
      <alignment vertical="center"/>
    </xf>
    <xf numFmtId="0" fontId="18" fillId="0" borderId="1" applyAlignment="1" pivotButton="0" quotePrefix="0" xfId="0">
      <alignment vertical="center"/>
    </xf>
    <xf numFmtId="0" fontId="16" fillId="0" borderId="1" applyAlignment="1" pivotButton="0" quotePrefix="0" xfId="0">
      <alignment horizontal="center" vertical="center"/>
    </xf>
    <xf numFmtId="0" fontId="19" fillId="0" borderId="1" applyAlignment="1" pivotButton="0" quotePrefix="0" xfId="0">
      <alignment vertical="center"/>
    </xf>
    <xf numFmtId="0" fontId="0" fillId="5" borderId="0" pivotButton="0" quotePrefix="0" xfId="0"/>
    <xf numFmtId="0" fontId="18" fillId="0" borderId="1" applyAlignment="1" pivotButton="0" quotePrefix="0" xfId="0">
      <alignment vertical="center" wrapText="1"/>
    </xf>
    <xf numFmtId="165" fontId="18" fillId="0" borderId="1" applyAlignment="1" pivotButton="0" quotePrefix="0" xfId="0">
      <alignment vertical="center"/>
    </xf>
    <xf numFmtId="0" fontId="16" fillId="0" borderId="1" applyAlignment="1" pivotButton="0" quotePrefix="0" xfId="0">
      <alignment vertical="center" wrapText="1"/>
    </xf>
    <xf numFmtId="0" fontId="19" fillId="0" borderId="1" applyAlignment="1" pivotButton="0" quotePrefix="0" xfId="0">
      <alignment horizontal="left" vertical="center" wrapText="1" readingOrder="1"/>
    </xf>
    <xf numFmtId="0" fontId="16" fillId="5" borderId="1" applyAlignment="1" pivotButton="0" quotePrefix="0" xfId="0">
      <alignment vertical="center" wrapText="1"/>
    </xf>
    <xf numFmtId="165" fontId="16" fillId="5" borderId="1" applyAlignment="1" pivotButton="0" quotePrefix="0" xfId="0">
      <alignment horizontal="center" vertical="center"/>
    </xf>
    <xf numFmtId="0" fontId="16" fillId="0" borderId="1" applyAlignment="1" pivotButton="0" quotePrefix="0" xfId="0">
      <alignment horizontal="center" vertical="center" wrapText="1"/>
    </xf>
    <xf numFmtId="0" fontId="19" fillId="5" borderId="1" applyAlignment="1" pivotButton="0" quotePrefix="0" xfId="0">
      <alignment vertical="center"/>
    </xf>
    <xf numFmtId="0" fontId="18" fillId="5" borderId="1" applyAlignment="1" pivotButton="0" quotePrefix="0" xfId="0">
      <alignment horizontal="center" vertical="center" wrapText="1"/>
    </xf>
    <xf numFmtId="0" fontId="19" fillId="5" borderId="1" applyAlignment="1" pivotButton="0" quotePrefix="0" xfId="0">
      <alignment horizontal="center" vertical="center" wrapText="1"/>
    </xf>
    <xf numFmtId="0" fontId="16" fillId="0" borderId="1" applyAlignment="1" pivotButton="0" quotePrefix="0" xfId="0">
      <alignment vertical="center"/>
    </xf>
    <xf numFmtId="0" fontId="18" fillId="0" borderId="1" applyAlignment="1" pivotButton="0" quotePrefix="0" xfId="0">
      <alignment vertical="center"/>
    </xf>
    <xf numFmtId="0" fontId="19" fillId="0" borderId="1" applyAlignment="1" pivotButton="0" quotePrefix="0" xfId="0">
      <alignment vertical="center"/>
    </xf>
    <xf numFmtId="0" fontId="8" fillId="0" borderId="0" applyAlignment="1" pivotButton="0" quotePrefix="0" xfId="0">
      <alignment vertical="center"/>
    </xf>
    <xf numFmtId="0" fontId="19" fillId="0" borderId="1" applyAlignment="1" pivotButton="0" quotePrefix="0" xfId="0">
      <alignment vertical="center" wrapText="1"/>
    </xf>
    <xf numFmtId="0" fontId="0" fillId="0" borderId="0" pivotButton="0" quotePrefix="0" xfId="0"/>
    <xf numFmtId="0" fontId="16" fillId="5" borderId="1" applyAlignment="1" pivotButton="0" quotePrefix="1" xfId="0">
      <alignment horizontal="left" vertical="center" wrapText="1"/>
    </xf>
    <xf numFmtId="0" fontId="16" fillId="5" borderId="1" applyAlignment="1" pivotButton="0" quotePrefix="0" xfId="0">
      <alignment horizontal="center" vertical="center" wrapText="1"/>
    </xf>
    <xf numFmtId="165" fontId="16" fillId="5" borderId="1" applyAlignment="1" pivotButton="0" quotePrefix="0" xfId="0">
      <alignment vertical="center"/>
    </xf>
    <xf numFmtId="165" fontId="16" fillId="0" borderId="1" applyAlignment="1" pivotButton="0" quotePrefix="0" xfId="0">
      <alignment horizontal="center" vertical="center" wrapText="1"/>
    </xf>
    <xf numFmtId="0" fontId="18" fillId="0" borderId="1" applyAlignment="1" pivotButton="0" quotePrefix="0" xfId="0">
      <alignment vertical="center" wrapText="1" readingOrder="1"/>
    </xf>
    <xf numFmtId="0" fontId="19" fillId="0" borderId="1" applyAlignment="1" pivotButton="0" quotePrefix="0" xfId="0">
      <alignment vertical="center" wrapText="1" readingOrder="1"/>
    </xf>
    <xf numFmtId="0" fontId="16" fillId="0" borderId="0" applyAlignment="1" pivotButton="0" quotePrefix="0" xfId="0">
      <alignment horizontal="center" vertical="center"/>
    </xf>
    <xf numFmtId="0" fontId="8" fillId="0" borderId="1" applyAlignment="1" pivotButton="0" quotePrefix="0" xfId="0">
      <alignment horizontal="center" vertical="center"/>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6" fillId="0" borderId="8" applyAlignment="1" pivotButton="0" quotePrefix="0" xfId="0">
      <alignment horizontal="left" vertical="center"/>
    </xf>
    <xf numFmtId="0" fontId="18" fillId="5" borderId="1" applyAlignment="1" pivotButton="0" quotePrefix="0" xfId="0">
      <alignment horizontal="left" vertical="center" wrapText="1"/>
    </xf>
    <xf numFmtId="0" fontId="7" fillId="0" borderId="1" applyAlignment="1" pivotButton="0" quotePrefix="0" xfId="0">
      <alignment vertical="center" wrapText="1"/>
    </xf>
    <xf numFmtId="165" fontId="0" fillId="0" borderId="0" applyAlignment="1" pivotButton="0" quotePrefix="0" xfId="333">
      <alignment vertical="center"/>
    </xf>
    <xf numFmtId="165" fontId="0" fillId="0" borderId="0" applyAlignment="1" pivotButton="0" quotePrefix="0" xfId="333">
      <alignment vertical="center" wrapText="1"/>
    </xf>
    <xf numFmtId="0" fontId="20" fillId="0" borderId="0" applyAlignment="1" pivotButton="0" quotePrefix="0" xfId="0">
      <alignment vertical="center"/>
    </xf>
    <xf numFmtId="0" fontId="22" fillId="0" borderId="1" applyAlignment="1" pivotButton="0" quotePrefix="0" xfId="0">
      <alignment vertical="center"/>
    </xf>
    <xf numFmtId="0" fontId="20" fillId="0" borderId="1" applyAlignment="1" pivotButton="0" quotePrefix="0" xfId="0">
      <alignment vertical="center"/>
    </xf>
    <xf numFmtId="0" fontId="23" fillId="0" borderId="1" applyAlignment="1" pivotButton="0" quotePrefix="0" xfId="0">
      <alignment vertical="center" wrapText="1"/>
    </xf>
    <xf numFmtId="0" fontId="20" fillId="0" borderId="1" applyAlignment="1" pivotButton="0" quotePrefix="0" xfId="0">
      <alignment horizontal="center" vertical="center" wrapText="1"/>
    </xf>
    <xf numFmtId="165" fontId="20" fillId="0" borderId="1" applyAlignment="1" pivotButton="0" quotePrefix="0" xfId="333">
      <alignment vertical="center"/>
    </xf>
    <xf numFmtId="0" fontId="20" fillId="5" borderId="1" applyAlignment="1" pivotButton="0" quotePrefix="0" xfId="0">
      <alignment horizontal="left" vertical="center" wrapText="1"/>
    </xf>
    <xf numFmtId="39" fontId="20" fillId="0" borderId="1" applyAlignment="1" pivotButton="0" quotePrefix="0" xfId="0">
      <alignment horizontal="right" vertical="center" wrapText="1"/>
    </xf>
    <xf numFmtId="0" fontId="2" fillId="3" borderId="1" applyAlignment="1" pivotButton="0" quotePrefix="0" xfId="0">
      <alignment horizontal="center" vertical="center"/>
    </xf>
    <xf numFmtId="0" fontId="2" fillId="4" borderId="3" applyAlignment="1" pivotButton="0" quotePrefix="0" xfId="0">
      <alignment vertical="center" wrapText="1"/>
    </xf>
    <xf numFmtId="0" fontId="0" fillId="0" borderId="0" applyAlignment="1" pivotButton="0" quotePrefix="0" xfId="0">
      <alignment vertical="center" wrapText="1"/>
    </xf>
    <xf numFmtId="0" fontId="2" fillId="4" borderId="0" applyAlignment="1" pivotButton="0" quotePrefix="0" xfId="0">
      <alignment vertical="center" wrapText="1"/>
    </xf>
    <xf numFmtId="166" fontId="8" fillId="0" borderId="5" applyAlignment="1" pivotButton="0" quotePrefix="0" xfId="0">
      <alignment horizontal="center" vertical="center" wrapText="1"/>
    </xf>
    <xf numFmtId="165" fontId="8" fillId="0" borderId="1" applyAlignment="1" pivotButton="0" quotePrefix="0" xfId="0">
      <alignment horizontal="center" vertical="center"/>
    </xf>
    <xf numFmtId="165" fontId="18" fillId="5" borderId="1" applyAlignment="1" pivotButton="0" quotePrefix="0" xfId="333">
      <alignment vertical="center"/>
    </xf>
    <xf numFmtId="0" fontId="16" fillId="5" borderId="1" applyAlignment="1" pivotButton="0" quotePrefix="0" xfId="0">
      <alignment horizontal="center" vertical="center"/>
    </xf>
    <xf numFmtId="0" fontId="20" fillId="0" borderId="1" applyAlignment="1" pivotButton="0" quotePrefix="0" xfId="0">
      <alignment vertical="center" wrapText="1"/>
    </xf>
    <xf numFmtId="0" fontId="20" fillId="0" borderId="1" applyAlignment="1" pivotButton="0" quotePrefix="0" xfId="0">
      <alignment horizontal="center" vertical="center"/>
    </xf>
    <xf numFmtId="0" fontId="20" fillId="0" borderId="1" applyAlignment="1" pivotButton="0" quotePrefix="0" xfId="0">
      <alignment horizontal="left" vertical="center" wrapText="1"/>
    </xf>
    <xf numFmtId="0" fontId="20" fillId="0" borderId="1" applyAlignment="1" pivotButton="0" quotePrefix="0" xfId="0">
      <alignment horizontal="center" vertical="center" wrapText="1"/>
    </xf>
    <xf numFmtId="165" fontId="20" fillId="0" borderId="1" applyAlignment="1" pivotButton="0" quotePrefix="0" xfId="333">
      <alignment horizontal="center" vertical="center" wrapText="1"/>
    </xf>
    <xf numFmtId="165" fontId="20" fillId="0" borderId="1" applyAlignment="1" pivotButton="0" quotePrefix="0" xfId="333">
      <alignment vertical="center" wrapText="1"/>
    </xf>
    <xf numFmtId="0" fontId="20" fillId="0" borderId="0" pivotButton="0" quotePrefix="0" xfId="0"/>
    <xf numFmtId="4" fontId="20" fillId="0" borderId="1" applyAlignment="1" pivotButton="0" quotePrefix="0" xfId="0">
      <alignment vertical="center"/>
    </xf>
    <xf numFmtId="0" fontId="20" fillId="0" borderId="1" applyAlignment="1" pivotButton="0" quotePrefix="0" xfId="0">
      <alignment horizontal="center" vertical="center"/>
    </xf>
    <xf numFmtId="0" fontId="20" fillId="5" borderId="1" applyAlignment="1" pivotButton="0" quotePrefix="0" xfId="0">
      <alignment horizontal="center" vertical="center"/>
    </xf>
    <xf numFmtId="165" fontId="20" fillId="5" borderId="1" applyAlignment="1" pivotButton="0" quotePrefix="0" xfId="0">
      <alignment horizontal="center" vertical="center"/>
    </xf>
    <xf numFmtId="0" fontId="20" fillId="0" borderId="1" applyAlignment="1" pivotButton="0" quotePrefix="0" xfId="0">
      <alignment vertical="center" wrapText="1"/>
    </xf>
    <xf numFmtId="0" fontId="20" fillId="0" borderId="0" applyAlignment="1" pivotButton="0" quotePrefix="0" xfId="0">
      <alignment horizontal="center" vertical="center"/>
    </xf>
    <xf numFmtId="165" fontId="20" fillId="0" borderId="0" applyAlignment="1" pivotButton="0" quotePrefix="0" xfId="333">
      <alignment vertical="center"/>
    </xf>
    <xf numFmtId="0" fontId="20" fillId="0" borderId="2" applyAlignment="1" pivotButton="0" quotePrefix="0" xfId="0">
      <alignment horizontal="center" vertical="center"/>
    </xf>
    <xf numFmtId="0" fontId="20" fillId="0" borderId="2" applyAlignment="1" pivotButton="0" quotePrefix="0" xfId="0">
      <alignment vertical="center" wrapText="1"/>
    </xf>
    <xf numFmtId="0" fontId="20" fillId="0" borderId="0" applyAlignment="1" pivotButton="0" quotePrefix="0" xfId="0">
      <alignment vertical="center" wrapText="1"/>
    </xf>
    <xf numFmtId="0" fontId="20" fillId="0" borderId="0" applyAlignment="1" pivotButton="0" quotePrefix="0" xfId="0">
      <alignment wrapText="1"/>
    </xf>
    <xf numFmtId="165" fontId="20" fillId="0" borderId="0" applyAlignment="1" pivotButton="0" quotePrefix="0" xfId="333">
      <alignment vertical="center" wrapText="1"/>
    </xf>
    <xf numFmtId="0" fontId="0" fillId="0" borderId="0" applyAlignment="1" pivotButton="0" quotePrefix="0" xfId="0">
      <alignment horizontal="center"/>
    </xf>
    <xf numFmtId="0" fontId="21" fillId="0" borderId="1" applyAlignment="1" pivotButton="0" quotePrefix="0" xfId="0">
      <alignment horizontal="center" vertical="center"/>
    </xf>
    <xf numFmtId="0" fontId="21" fillId="0" borderId="2" applyAlignment="1" pivotButton="0" quotePrefix="0" xfId="0">
      <alignment horizontal="center" vertical="center"/>
    </xf>
    <xf numFmtId="0" fontId="20" fillId="0" borderId="0" applyAlignment="1" pivotButton="0" quotePrefix="0" xfId="0">
      <alignment horizontal="center"/>
    </xf>
    <xf numFmtId="0" fontId="20" fillId="5" borderId="7" applyAlignment="1" pivotButton="0" quotePrefix="0" xfId="0">
      <alignment horizontal="left" vertical="center" wrapText="1"/>
    </xf>
    <xf numFmtId="0" fontId="20" fillId="0" borderId="2" applyAlignment="1" pivotButton="0" quotePrefix="0" xfId="0">
      <alignment horizontal="left" vertical="center" wrapText="1"/>
    </xf>
    <xf numFmtId="0" fontId="20" fillId="0" borderId="2" applyAlignment="1" pivotButton="0" quotePrefix="0" xfId="0">
      <alignment horizontal="center" vertical="center" wrapText="1"/>
    </xf>
    <xf numFmtId="0" fontId="21" fillId="0" borderId="1" applyAlignment="1" pivotButton="0" quotePrefix="0" xfId="0">
      <alignment horizontal="center" vertical="center"/>
    </xf>
    <xf numFmtId="0" fontId="16" fillId="6" borderId="1" applyAlignment="1" pivotButton="0" quotePrefix="0" xfId="0">
      <alignment horizontal="left" vertical="center" wrapText="1"/>
    </xf>
    <xf numFmtId="0" fontId="18" fillId="6" borderId="1" applyAlignment="1" pivotButton="0" quotePrefix="0" xfId="0">
      <alignment horizontal="left" vertical="center" wrapText="1"/>
    </xf>
    <xf numFmtId="165" fontId="18" fillId="6" borderId="1" applyAlignment="1" pivotButton="0" quotePrefix="0" xfId="0">
      <alignment vertical="center"/>
    </xf>
    <xf numFmtId="0" fontId="16" fillId="6" borderId="1" applyAlignment="1" pivotButton="0" quotePrefix="0" xfId="0">
      <alignment horizontal="center" vertical="center" wrapText="1"/>
    </xf>
    <xf numFmtId="165" fontId="18" fillId="6" borderId="1" applyAlignment="1" pivotButton="0" quotePrefix="0" xfId="0">
      <alignment horizontal="center" vertical="center" wrapText="1"/>
    </xf>
    <xf numFmtId="0" fontId="16" fillId="6" borderId="1" applyAlignment="1" pivotButton="0" quotePrefix="0" xfId="0">
      <alignment vertical="center"/>
    </xf>
    <xf numFmtId="0" fontId="18" fillId="6" borderId="1" applyAlignment="1" pivotButton="0" quotePrefix="0" xfId="0">
      <alignment vertical="center"/>
    </xf>
    <xf numFmtId="0" fontId="19" fillId="6" borderId="1" applyAlignment="1" pivotButton="0" quotePrefix="0" xfId="0">
      <alignment vertical="center" wrapText="1"/>
    </xf>
    <xf numFmtId="0" fontId="0" fillId="6" borderId="0" pivotButton="0" quotePrefix="0" xfId="0"/>
    <xf numFmtId="0" fontId="3" fillId="3" borderId="3" applyAlignment="1" pivotButton="0" quotePrefix="0" xfId="0">
      <alignment horizontal="center"/>
    </xf>
    <xf numFmtId="0" fontId="3" fillId="3" borderId="0" applyAlignment="1" pivotButton="0" quotePrefix="0" xfId="0">
      <alignment horizontal="center"/>
    </xf>
    <xf numFmtId="0" fontId="0" fillId="4" borderId="3" applyAlignment="1" pivotButton="0" quotePrefix="0" xfId="0">
      <alignment horizontal="center"/>
    </xf>
    <xf numFmtId="0" fontId="0" fillId="4" borderId="0" applyAlignment="1" pivotButton="0" quotePrefix="0" xfId="0">
      <alignment horizontal="center"/>
    </xf>
    <xf numFmtId="0" fontId="3" fillId="3" borderId="1" applyAlignment="1" pivotButton="0" quotePrefix="0" xfId="0">
      <alignment horizontal="center" vertical="center"/>
    </xf>
    <xf numFmtId="0" fontId="3" fillId="3" borderId="1" applyAlignment="1" pivotButton="0" quotePrefix="0" xfId="0">
      <alignment horizontal="center" vertical="center" wrapText="1"/>
    </xf>
    <xf numFmtId="0" fontId="16" fillId="4" borderId="1" applyAlignment="1" pivotButton="0" quotePrefix="0" xfId="0">
      <alignment horizontal="center" vertical="center" wrapText="1"/>
    </xf>
    <xf numFmtId="0" fontId="16" fillId="4" borderId="1" applyAlignment="1" pivotButton="0" quotePrefix="0" xfId="0">
      <alignment horizontal="center" vertical="center"/>
    </xf>
    <xf numFmtId="0" fontId="0" fillId="4" borderId="4" applyAlignment="1" pivotButton="0" quotePrefix="0" xfId="0">
      <alignment horizontal="center"/>
    </xf>
    <xf numFmtId="0" fontId="0" fillId="4" borderId="6" applyAlignment="1" pivotButton="0" quotePrefix="0" xfId="0">
      <alignment horizontal="center"/>
    </xf>
    <xf numFmtId="0" fontId="0" fillId="4" borderId="5" applyAlignment="1" pivotButton="0" quotePrefix="0" xfId="0">
      <alignment horizontal="center"/>
    </xf>
    <xf numFmtId="0" fontId="3" fillId="3" borderId="4" applyAlignment="1" pivotButton="0" quotePrefix="0" xfId="0">
      <alignment horizontal="center"/>
    </xf>
    <xf numFmtId="0" fontId="3" fillId="3" borderId="6" applyAlignment="1" pivotButton="0" quotePrefix="0" xfId="0">
      <alignment horizontal="center"/>
    </xf>
    <xf numFmtId="0" fontId="3" fillId="3" borderId="5" applyAlignment="1" pivotButton="0" quotePrefix="0" xfId="0">
      <alignment horizontal="center"/>
    </xf>
    <xf numFmtId="0" fontId="2" fillId="4" borderId="4" applyAlignment="1" pivotButton="0" quotePrefix="0" xfId="0">
      <alignment horizontal="center" vertical="center" wrapText="1"/>
    </xf>
    <xf numFmtId="0" fontId="2" fillId="4" borderId="5" applyAlignment="1" pivotButton="0" quotePrefix="0" xfId="0">
      <alignment horizontal="center" vertical="center" wrapText="1"/>
    </xf>
    <xf numFmtId="0" fontId="23" fillId="6" borderId="1" applyAlignment="1" pivotButton="0" quotePrefix="0" xfId="0">
      <alignment vertical="center" wrapText="1"/>
    </xf>
    <xf numFmtId="0" fontId="20" fillId="6" borderId="1" applyAlignment="1" pivotButton="0" quotePrefix="0" xfId="0">
      <alignment horizontal="center" vertical="center" wrapText="1"/>
    </xf>
    <xf numFmtId="4" fontId="20" fillId="6" borderId="1" applyAlignment="1" pivotButton="0" quotePrefix="0" xfId="0">
      <alignment vertical="center"/>
    </xf>
    <xf numFmtId="165" fontId="20" fillId="6" borderId="1" applyAlignment="1" pivotButton="0" quotePrefix="0" xfId="333">
      <alignment vertical="center" wrapText="1"/>
    </xf>
    <xf numFmtId="0" fontId="21" fillId="6" borderId="1" applyAlignment="1" pivotButton="0" quotePrefix="0" xfId="0">
      <alignment horizontal="center" vertical="center"/>
    </xf>
    <xf numFmtId="0" fontId="20" fillId="6" borderId="1" applyAlignment="1" pivotButton="0" quotePrefix="0" xfId="0">
      <alignment horizontal="center" vertical="center"/>
    </xf>
    <xf numFmtId="0" fontId="20" fillId="6" borderId="1" applyAlignment="1" pivotButton="0" quotePrefix="0" xfId="0">
      <alignment vertical="center" wrapText="1"/>
    </xf>
    <xf numFmtId="0" fontId="20" fillId="6" borderId="1" applyAlignment="1" pivotButton="0" quotePrefix="0" xfId="0">
      <alignment vertical="center"/>
    </xf>
    <xf numFmtId="0" fontId="20" fillId="6" borderId="0" pivotButton="0" quotePrefix="0" xfId="0"/>
    <xf numFmtId="165" fontId="0" fillId="0" borderId="0" applyAlignment="1" pivotButton="0" quotePrefix="0" xfId="333">
      <alignment vertical="center"/>
    </xf>
    <xf numFmtId="165" fontId="0" fillId="0" borderId="0" applyAlignment="1" pivotButton="0" quotePrefix="0" xfId="333">
      <alignment vertical="center" wrapText="1"/>
    </xf>
    <xf numFmtId="165" fontId="1" fillId="2" borderId="7" applyAlignment="1" pivotButton="0" quotePrefix="0" xfId="333">
      <alignment horizontal="center" vertical="center" wrapText="1"/>
    </xf>
    <xf numFmtId="0" fontId="24" fillId="7" borderId="11" applyAlignment="1" pivotButton="0" quotePrefix="0" xfId="0">
      <alignment horizontal="center" vertical="center" wrapText="1"/>
    </xf>
    <xf numFmtId="0" fontId="25" fillId="8" borderId="11" applyAlignment="1" pivotButton="0" quotePrefix="0" xfId="0">
      <alignment vertical="top" wrapText="1"/>
    </xf>
    <xf numFmtId="0" fontId="26" fillId="0" borderId="11" applyAlignment="1" pivotButton="0" quotePrefix="0" xfId="0">
      <alignment vertical="top" wrapText="1"/>
    </xf>
    <xf numFmtId="165" fontId="20" fillId="0" borderId="1" applyAlignment="1" pivotButton="0" quotePrefix="0" xfId="333">
      <alignment vertical="center"/>
    </xf>
    <xf numFmtId="165" fontId="20" fillId="0" borderId="1" applyAlignment="1" pivotButton="0" quotePrefix="0" xfId="333">
      <alignment vertical="center" wrapText="1"/>
    </xf>
    <xf numFmtId="165" fontId="20" fillId="6" borderId="1" applyAlignment="1" pivotButton="0" quotePrefix="0" xfId="333">
      <alignment vertical="center" wrapText="1"/>
    </xf>
    <xf numFmtId="165" fontId="20" fillId="5" borderId="1" applyAlignment="1" pivotButton="0" quotePrefix="0" xfId="0">
      <alignment horizontal="center" vertical="center"/>
    </xf>
    <xf numFmtId="165" fontId="20" fillId="0" borderId="1" applyAlignment="1" pivotButton="0" quotePrefix="0" xfId="333">
      <alignment horizontal="center" vertical="center" wrapText="1"/>
    </xf>
    <xf numFmtId="0" fontId="27" fillId="9" borderId="11" applyAlignment="1" pivotButton="0" quotePrefix="0" xfId="0">
      <alignment vertical="top" wrapText="1"/>
    </xf>
    <xf numFmtId="0" fontId="27" fillId="9" borderId="11" applyAlignment="1" pivotButton="0" quotePrefix="0" xfId="0">
      <alignment horizontal="center" vertical="center" wrapText="1"/>
    </xf>
    <xf numFmtId="0" fontId="27" fillId="9" borderId="11" applyAlignment="1" pivotButton="0" quotePrefix="0" xfId="0">
      <alignment horizontal="right" vertical="center"/>
    </xf>
    <xf numFmtId="0" fontId="28" fillId="9" borderId="11" applyAlignment="1" pivotButton="0" quotePrefix="0" xfId="0">
      <alignment vertical="top" wrapText="1"/>
    </xf>
    <xf numFmtId="165" fontId="20" fillId="0" borderId="0" applyAlignment="1" pivotButton="0" quotePrefix="0" xfId="333">
      <alignment vertical="center"/>
    </xf>
    <xf numFmtId="165" fontId="20" fillId="0" borderId="0" applyAlignment="1" pivotButton="0" quotePrefix="0" xfId="333">
      <alignment vertical="center" wrapText="1"/>
    </xf>
    <xf numFmtId="165" fontId="16" fillId="0" borderId="0" applyAlignment="1" pivotButton="0" quotePrefix="0" xfId="0">
      <alignment vertical="center"/>
    </xf>
    <xf numFmtId="165" fontId="16" fillId="0" borderId="0" applyAlignment="1" pivotButton="0" quotePrefix="0" xfId="0">
      <alignment horizontal="center" vertical="center" wrapText="1"/>
    </xf>
    <xf numFmtId="0" fontId="0" fillId="0" borderId="6" pivotButton="0" quotePrefix="0" xfId="0"/>
    <xf numFmtId="0" fontId="0" fillId="0" borderId="5" pivotButton="0" quotePrefix="0" xfId="0"/>
    <xf numFmtId="165" fontId="17" fillId="2" borderId="7" applyAlignment="1" pivotButton="0" quotePrefix="0" xfId="0">
      <alignment horizontal="center" vertical="center" wrapText="1"/>
    </xf>
    <xf numFmtId="165" fontId="18" fillId="5" borderId="1" applyAlignment="1" pivotButton="0" quotePrefix="0" xfId="0">
      <alignment vertical="center"/>
    </xf>
    <xf numFmtId="165" fontId="18" fillId="0" borderId="1" applyAlignment="1" pivotButton="0" quotePrefix="0" xfId="0">
      <alignment horizontal="center" vertical="center" wrapText="1"/>
    </xf>
    <xf numFmtId="165" fontId="18" fillId="6" borderId="1" applyAlignment="1" pivotButton="0" quotePrefix="0" xfId="0">
      <alignment vertical="center"/>
    </xf>
    <xf numFmtId="165" fontId="18" fillId="6" borderId="1" applyAlignment="1" pivotButton="0" quotePrefix="0" xfId="0">
      <alignment horizontal="center" vertical="center" wrapText="1"/>
    </xf>
    <xf numFmtId="165" fontId="16" fillId="5" borderId="1" applyAlignment="1" pivotButton="0" quotePrefix="0" xfId="0">
      <alignment vertical="center"/>
    </xf>
    <xf numFmtId="165" fontId="16" fillId="0" borderId="1" applyAlignment="1" pivotButton="0" quotePrefix="0" xfId="0">
      <alignment horizontal="center" vertical="center" wrapText="1"/>
    </xf>
    <xf numFmtId="166" fontId="8" fillId="0" borderId="5" applyAlignment="1" pivotButton="0" quotePrefix="0" xfId="0">
      <alignment horizontal="center" vertical="center" wrapText="1"/>
    </xf>
    <xf numFmtId="165" fontId="8" fillId="0" borderId="1" applyAlignment="1" pivotButton="0" quotePrefix="0" xfId="0">
      <alignment horizontal="center" vertical="center"/>
    </xf>
    <xf numFmtId="165" fontId="18" fillId="0" borderId="1" applyAlignment="1" pivotButton="0" quotePrefix="0" xfId="0">
      <alignment vertical="center"/>
    </xf>
    <xf numFmtId="165" fontId="16" fillId="5" borderId="1" applyAlignment="1" pivotButton="0" quotePrefix="0" xfId="0">
      <alignment horizontal="center" vertical="center"/>
    </xf>
    <xf numFmtId="165" fontId="18" fillId="5" borderId="1" applyAlignment="1" pivotButton="0" quotePrefix="0" xfId="333">
      <alignment vertical="center"/>
    </xf>
    <xf numFmtId="0" fontId="3" fillId="3" borderId="1" applyAlignment="1" pivotButton="0" quotePrefix="0" xfId="0">
      <alignment horizontal="center"/>
    </xf>
    <xf numFmtId="0" fontId="0" fillId="4" borderId="1" applyAlignment="1" pivotButton="0" quotePrefix="0" xfId="0">
      <alignment horizontal="center"/>
    </xf>
    <xf numFmtId="0" fontId="2" fillId="4" borderId="1" applyAlignment="1" pivotButton="0" quotePrefix="0" xfId="0">
      <alignment horizontal="center" vertical="center" wrapText="1"/>
    </xf>
  </cellXfs>
  <cellStyles count="4">
    <cellStyle name="Normal" xfId="0" builtinId="0"/>
    <cellStyle name="Lien hypertexte" xfId="1" builtinId="8" hidden="1"/>
    <cellStyle name="Lien hypertexte visité" xfId="2" builtinId="9" hidden="1"/>
    <cellStyle name="Milliers" xfId="3" builtin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L36"/>
  <sheetViews>
    <sheetView tabSelected="1" topLeftCell="A22" zoomScale="70" zoomScaleNormal="70" zoomScalePageLayoutView="150" workbookViewId="0">
      <selection activeCell="C25" sqref="C25"/>
    </sheetView>
  </sheetViews>
  <sheetFormatPr baseColWidth="10" defaultRowHeight="15"/>
  <cols>
    <col width="60.28515625" customWidth="1" style="11" min="1" max="1"/>
    <col width="20.28515625" customWidth="1" style="24" min="2" max="2"/>
    <col width="25.28515625" customWidth="1" style="159" min="3" max="3"/>
    <col width="27.85546875" customWidth="1" style="160" min="4" max="4"/>
    <col width="26" customWidth="1" style="117" min="5" max="5"/>
    <col width="15.42578125" bestFit="1" customWidth="1" style="66" min="6" max="6"/>
    <col width="21.42578125" customWidth="1" style="66" min="7" max="7"/>
    <col width="33.7109375" customWidth="1" style="66" min="8" max="8"/>
    <col width="18.28515625" customWidth="1" style="7" min="9" max="9"/>
    <col width="23.5703125" customWidth="1" style="92" min="10" max="10"/>
    <col width="61.42578125" customWidth="1" style="7" min="11" max="11"/>
    <col width="45" customWidth="1" style="66" min="12" max="12"/>
  </cols>
  <sheetData>
    <row r="1">
      <c r="I1" s="90" t="inlineStr">
        <is>
          <t>ANNEE</t>
        </is>
      </c>
      <c r="J1" s="91" t="n">
        <v>2026</v>
      </c>
      <c r="K1" s="93" t="n"/>
    </row>
    <row r="3" ht="15.75" customHeight="1" s="66">
      <c r="A3" s="134" t="inlineStr">
        <is>
          <t>PROGRAMME PREVISIONNEL DES ACHATS</t>
        </is>
      </c>
    </row>
    <row r="4">
      <c r="A4" s="12" t="inlineStr">
        <is>
          <t>DIRECTION …SITES</t>
        </is>
      </c>
      <c r="B4" s="136" t="n"/>
    </row>
    <row r="6" ht="30" customHeight="1" s="66">
      <c r="A6" s="8" t="inlineStr">
        <is>
          <t>OBJET
(le plus détaillé possible)</t>
        </is>
      </c>
      <c r="B6" s="8" t="inlineStr">
        <is>
          <t xml:space="preserve">Nature de la prestation </t>
        </is>
      </c>
      <c r="C6" s="161" t="inlineStr">
        <is>
          <t>Budget Prévisionnel (TTC)</t>
        </is>
      </c>
      <c r="D6" s="161" t="inlineStr">
        <is>
          <t>Intitulé</t>
        </is>
      </c>
      <c r="E6" s="8" t="inlineStr">
        <is>
          <t>Mode de passation</t>
        </is>
      </c>
      <c r="F6" s="3" t="inlineStr">
        <is>
          <t>Période d'exécution</t>
        </is>
      </c>
      <c r="G6" s="8" t="inlineStr">
        <is>
          <t>Période prévue 
pour le lancement</t>
        </is>
      </c>
      <c r="H6" s="8" t="inlineStr">
        <is>
          <t>Lieu d'execution</t>
        </is>
      </c>
      <c r="I6" s="8" t="inlineStr">
        <is>
          <t>PME (Oui / Non)</t>
        </is>
      </c>
      <c r="J6" s="8" t="inlineStr">
        <is>
          <t>Nature Budget</t>
        </is>
      </c>
      <c r="K6" s="3" t="inlineStr">
        <is>
          <t>Justification du besoin</t>
        </is>
      </c>
      <c r="L6" s="162" t="inlineStr">
        <is>
          <t>MODIFICATIONS (vs version 23-06-2026)</t>
        </is>
      </c>
    </row>
    <row r="7" ht="72" customFormat="1" customHeight="1" s="82">
      <c r="A7" s="88" t="inlineStr">
        <is>
          <t xml:space="preserve">Fourniture, installation et mise en service des émetteurs DVB-T/T2 avec combiners pour quelques sites de diffusion </t>
        </is>
      </c>
      <c r="B7" s="106" t="inlineStr">
        <is>
          <t>Fournitures</t>
        </is>
      </c>
      <c r="C7" s="89" t="n">
        <v>4000000</v>
      </c>
      <c r="D7" s="88" t="inlineStr">
        <is>
          <t>Equipements de télédiffusion</t>
        </is>
      </c>
      <c r="E7" s="124" t="inlineStr">
        <is>
          <t>AOO</t>
        </is>
      </c>
      <c r="F7" s="83" t="inlineStr">
        <is>
          <t>12 mois</t>
        </is>
      </c>
      <c r="G7" s="84" t="inlineStr">
        <is>
          <t>T1</t>
        </is>
      </c>
      <c r="H7" s="84" t="inlineStr">
        <is>
          <t>Laayoune, Palomas, Tazerkount</t>
        </is>
      </c>
      <c r="I7" s="84" t="inlineStr">
        <is>
          <t>Non</t>
        </is>
      </c>
      <c r="J7" s="84" t="inlineStr">
        <is>
          <t>INVESTISSEMENT</t>
        </is>
      </c>
      <c r="K7" s="100" t="inlineStr">
        <is>
          <t>Renouvellement des équipements TNT</t>
        </is>
      </c>
      <c r="L7" s="163" t="inlineStr">
        <is>
          <t>MODIFIÉ : Budget Prévisionnel (TTC) : 4 000 000 → 3 430 400</t>
        </is>
      </c>
    </row>
    <row r="8" ht="72" customFormat="1" customHeight="1" s="82">
      <c r="A8" s="88" t="inlineStr">
        <is>
          <t xml:space="preserve">Fourniture, installation et mise en service des émetteurs FM avec combiners et systèmes d'antennes FM pour quelques sites de diffusion </t>
        </is>
      </c>
      <c r="B8" s="106" t="inlineStr">
        <is>
          <t>Fournitures</t>
        </is>
      </c>
      <c r="C8" s="89" t="n">
        <v>4400000</v>
      </c>
      <c r="D8" s="88" t="inlineStr">
        <is>
          <t>Equipements de télédiffusion</t>
        </is>
      </c>
      <c r="E8" s="124" t="inlineStr">
        <is>
          <t>AOO</t>
        </is>
      </c>
      <c r="F8" s="83" t="inlineStr">
        <is>
          <t>12 mois</t>
        </is>
      </c>
      <c r="G8" s="84" t="inlineStr">
        <is>
          <t>T2</t>
        </is>
      </c>
      <c r="H8" s="109" t="inlineStr">
        <is>
          <t>Azougar, Bouarfa,  Figuig, Palomas,  Tizi Azza</t>
        </is>
      </c>
      <c r="I8" s="84" t="inlineStr">
        <is>
          <t>Non</t>
        </is>
      </c>
      <c r="J8" s="84" t="inlineStr">
        <is>
          <t>INVESTISSEMENT</t>
        </is>
      </c>
      <c r="K8" s="100" t="inlineStr">
        <is>
          <t>Renouvellement des équipements FM et extension du réseau entre al Hoceima et Nador par la création  du site de Tizi Azza,</t>
        </is>
      </c>
      <c r="L8" s="163" t="inlineStr">
        <is>
          <t>MODIFIÉ : Budget Prévisionnel (TTC) : 4 400 000 → 4 869 600</t>
        </is>
      </c>
    </row>
    <row r="9" ht="101.45" customFormat="1" customHeight="1" s="82">
      <c r="A9" s="88" t="inlineStr">
        <is>
          <t>Fourniture, installation et mise en service de nouvelles liaisons de faisceaux hertzien pour un Trafic MPEG-TS/IP et IP.</t>
        </is>
      </c>
      <c r="B9" s="106" t="inlineStr">
        <is>
          <t>Fournitures</t>
        </is>
      </c>
      <c r="C9" s="89" t="n">
        <v>8000000</v>
      </c>
      <c r="D9" s="88" t="inlineStr">
        <is>
          <t>Equipements de télédiffusion</t>
        </is>
      </c>
      <c r="E9" s="124" t="inlineStr">
        <is>
          <t>AOO</t>
        </is>
      </c>
      <c r="F9" s="84" t="inlineStr">
        <is>
          <t>12 mois</t>
        </is>
      </c>
      <c r="G9" s="84" t="inlineStr">
        <is>
          <t>T3</t>
        </is>
      </c>
      <c r="H9" s="109" t="inlineStr">
        <is>
          <t>Zerhoun - Azougar - Tiguelmamine - Takka Tissoufra - Izeft - Errachidia - Rich
Rabat - Zaers - Témara.</t>
        </is>
      </c>
      <c r="I9" s="84" t="inlineStr">
        <is>
          <t>Non</t>
        </is>
      </c>
      <c r="J9" s="84" t="inlineStr">
        <is>
          <t>INVESTISSEMENT</t>
        </is>
      </c>
      <c r="K9" s="100" t="inlineStr">
        <is>
          <t>Extension du réseau souverain de distribution terrestre par la numérisation des liaison de faisceaux hertzien suivantes:
Zerhoun - Azougar - Tiguelmamine - Takka Tissoufra - Izeft - Errachidia - Rich
Rabat - Zaers - Témara.</t>
        </is>
      </c>
      <c r="L9" s="164" t="inlineStr">
        <is>
          <t>Inchangé</t>
        </is>
      </c>
    </row>
    <row r="10" ht="72" customFormat="1" customHeight="1" s="82">
      <c r="A10" s="100" t="inlineStr">
        <is>
          <t>Reconduction Marché 47/2023 LS Telecom</t>
        </is>
      </c>
      <c r="B10" s="101" t="inlineStr">
        <is>
          <t>Services</t>
        </is>
      </c>
      <c r="C10" s="165" t="n">
        <v>216000</v>
      </c>
      <c r="D10" s="166" t="inlineStr">
        <is>
          <t>Entretien, réparation et assurance</t>
        </is>
      </c>
      <c r="E10" s="124" t="inlineStr">
        <is>
          <t>AOO</t>
        </is>
      </c>
      <c r="F10" s="83" t="n"/>
      <c r="G10" s="84" t="n"/>
      <c r="H10" s="84" t="inlineStr">
        <is>
          <t>Rabat</t>
        </is>
      </c>
      <c r="I10" s="84" t="inlineStr">
        <is>
          <t>Non</t>
        </is>
      </c>
      <c r="J10" s="84" t="inlineStr">
        <is>
          <t>EXPLOITATION</t>
        </is>
      </c>
      <c r="K10" s="85" t="n"/>
      <c r="L10" s="164" t="inlineStr">
        <is>
          <t>Inchangé</t>
        </is>
      </c>
    </row>
    <row r="11" ht="72" customFormat="1" customHeight="1" s="82">
      <c r="A11" s="88" t="inlineStr">
        <is>
          <t>Fourniture, installation et mise en service de nouveaux onduleurs dans quelques sites de diffusion.</t>
        </is>
      </c>
      <c r="B11" s="101" t="inlineStr">
        <is>
          <t>Fournitures</t>
        </is>
      </c>
      <c r="C11" s="165" t="n">
        <v>4000000</v>
      </c>
      <c r="D11" s="166" t="inlineStr">
        <is>
          <t>Equipements de télédiffusion</t>
        </is>
      </c>
      <c r="E11" s="124" t="inlineStr">
        <is>
          <t>AOO</t>
        </is>
      </c>
      <c r="F11" s="83" t="inlineStr">
        <is>
          <t>10 mois</t>
        </is>
      </c>
      <c r="G11" s="84" t="inlineStr">
        <is>
          <t>T2</t>
        </is>
      </c>
      <c r="H11" s="109" t="inlineStr">
        <is>
          <t>JBEL LAHDID (ESSAOUIRA) - ZERHOUNE - OUKEIMEDEN</t>
        </is>
      </c>
      <c r="I11" s="84" t="inlineStr">
        <is>
          <t>Oui</t>
        </is>
      </c>
      <c r="J11" s="84" t="inlineStr">
        <is>
          <t>INVESTISSEMENT</t>
        </is>
      </c>
      <c r="K11" s="85" t="inlineStr">
        <is>
          <t>Assurer la continuité de service par une alimentation électrique sans intérruption.</t>
        </is>
      </c>
      <c r="L11" s="163" t="inlineStr">
        <is>
          <t>MODIFIÉ : Budget Prévisionnel (TTC) : 4 000 000 → 3 900 000 | Lieu d'exécution : JBEL LAHDID (ESSAOUIRA) - ZERHOUNE - OUKEIMEDEN → MEGREZ - BOUKHOUALI</t>
        </is>
      </c>
    </row>
    <row r="12" ht="71.45" customFormat="1" customHeight="1" s="82">
      <c r="A12" s="88" t="inlineStr">
        <is>
          <t>Fourniture, installation et mise en service des groupes électrogènes dans quelques sites de diffusion.</t>
        </is>
      </c>
      <c r="B12" s="101" t="inlineStr">
        <is>
          <t>Travaux</t>
        </is>
      </c>
      <c r="C12" s="165" t="n">
        <v>3000000</v>
      </c>
      <c r="D12" s="166" t="inlineStr">
        <is>
          <t>Equipements de télédiffusion</t>
        </is>
      </c>
      <c r="E12" s="124" t="inlineStr">
        <is>
          <t>AOO</t>
        </is>
      </c>
      <c r="F12" s="83" t="inlineStr">
        <is>
          <t>10 mois</t>
        </is>
      </c>
      <c r="G12" s="84" t="inlineStr">
        <is>
          <t>T2</t>
        </is>
      </c>
      <c r="H12" s="109" t="inlineStr">
        <is>
          <t>TARFAYA - AKHFENNIR - ABTIH - SIDI IFNI - SIDI BOUNOUARA</t>
        </is>
      </c>
      <c r="I12" s="84" t="inlineStr">
        <is>
          <t>Oui</t>
        </is>
      </c>
      <c r="J12" s="84" t="inlineStr">
        <is>
          <t>INVESTISSEMENT</t>
        </is>
      </c>
      <c r="K12" s="85" t="inlineStr">
        <is>
          <t>Assurer la continuité de service par une alimentation électrique secourrues.</t>
        </is>
      </c>
      <c r="L12" s="164" t="inlineStr">
        <is>
          <t>Inchangé</t>
        </is>
      </c>
    </row>
    <row r="13" ht="69.59999999999999" customFormat="1" customHeight="1" s="82">
      <c r="A13" s="88" t="inlineStr">
        <is>
          <t>Electricafication/augmentation MT/BT 2éme reseau de quelques sites de diffusion SNRT.</t>
        </is>
      </c>
      <c r="B13" s="106" t="inlineStr">
        <is>
          <t>Travaux</t>
        </is>
      </c>
      <c r="C13" s="165" t="n">
        <v>4000000</v>
      </c>
      <c r="D13" s="166" t="inlineStr">
        <is>
          <t>Equipements de télédiffusion</t>
        </is>
      </c>
      <c r="E13" s="124" t="inlineStr">
        <is>
          <t>AOO</t>
        </is>
      </c>
      <c r="F13" s="84" t="inlineStr">
        <is>
          <t>12 mois</t>
        </is>
      </c>
      <c r="G13" s="84" t="inlineStr">
        <is>
          <t>T3</t>
        </is>
      </c>
      <c r="H13" s="109" t="inlineStr">
        <is>
          <t>FOGO (GUELMIM) - AKKA IGHAN (TATA) - ARFOUD (ERRACHIDIA)</t>
        </is>
      </c>
      <c r="I13" s="84" t="inlineStr">
        <is>
          <t>Oui</t>
        </is>
      </c>
      <c r="J13" s="109" t="inlineStr">
        <is>
          <t>INVESTISSEMENT</t>
        </is>
      </c>
      <c r="K13" s="109" t="inlineStr">
        <is>
          <t>Renouvellement du poste de JBEL FOGO 
Electrification du nouveau site (AKKA IGHAN)
Augmentation de la puissance électrique ARFOUD</t>
        </is>
      </c>
      <c r="L13" s="163" t="inlineStr">
        <is>
          <t>MODIFIÉ : Budget Prévisionnel (TTC) : 4 000 000 → 2 086 284 | Lieu d'exécution : FOGO (GUELMIM) - AKKA IGHAN (TATA) - ARFOUD (ERRACHIDIA) → FOGO (GUELMIM) - ARFOUD (ERRACHIDIA) | Justification du besoin : Renouvellement du poste de JBEL FOGO 
Electrification du nouveau site (AKKA IGHAN)
Augmentation de la puissance électrique ARFOUD → Renouvellement du poste de JBEL FOGO 
Augmentation de la puissance électrique ARFOUD</t>
        </is>
      </c>
    </row>
    <row r="14" ht="117.6" customFormat="1" customHeight="1" s="82">
      <c r="A14" s="88" t="inlineStr">
        <is>
          <t>Fourniture de matériel électrique et pièces de rechange pour les installations MT/BT, groupes électrogènes et onduleurs. batteries de compensation, batteries des groupes, batteries pour onduleurs et gazoil pour Groupes électrogènes, et pour les équipements de diffusion et des réseaux de transmission.</t>
        </is>
      </c>
      <c r="B14" s="106" t="inlineStr">
        <is>
          <t>Fournitures</t>
        </is>
      </c>
      <c r="C14" s="165" t="n">
        <v>900000</v>
      </c>
      <c r="D14" s="166" t="inlineStr">
        <is>
          <t>Entretien, réparation et assurance</t>
        </is>
      </c>
      <c r="E14" s="124" t="inlineStr">
        <is>
          <t>AOO</t>
        </is>
      </c>
      <c r="F14" s="84" t="inlineStr">
        <is>
          <t>8 mois</t>
        </is>
      </c>
      <c r="G14" s="84" t="inlineStr">
        <is>
          <t>T1</t>
        </is>
      </c>
      <c r="H14" s="84" t="inlineStr">
        <is>
          <t>MAGASIN TEMARA</t>
        </is>
      </c>
      <c r="I14" s="84" t="inlineStr">
        <is>
          <t>Oui</t>
        </is>
      </c>
      <c r="J14" s="109" t="inlineStr">
        <is>
          <t>EXPLOITATION</t>
        </is>
      </c>
      <c r="K14" s="84" t="inlineStr">
        <is>
          <t>Pour le besoin en réparation et maintenance électrique</t>
        </is>
      </c>
      <c r="L14" s="163" t="inlineStr">
        <is>
          <t>MODIFIÉ : Objet reformulé/réduit | Budget Prévisionnel (TTC) : 900 000 → 106 272</t>
        </is>
      </c>
    </row>
    <row r="15" ht="57.6" customFormat="1" customHeight="1" s="104">
      <c r="A15" s="88" t="inlineStr">
        <is>
          <t>Acquisition de climatiseurs</t>
        </is>
      </c>
      <c r="B15" s="106" t="inlineStr">
        <is>
          <t>Fournitures</t>
        </is>
      </c>
      <c r="C15" s="165" t="n">
        <v>200000</v>
      </c>
      <c r="D15" s="166" t="inlineStr">
        <is>
          <t>Equipements de télédiffusion</t>
        </is>
      </c>
      <c r="E15" s="124" t="inlineStr">
        <is>
          <t>AOO</t>
        </is>
      </c>
      <c r="F15" s="84" t="inlineStr">
        <is>
          <t>8 mois</t>
        </is>
      </c>
      <c r="G15" s="84" t="inlineStr">
        <is>
          <t>T4</t>
        </is>
      </c>
      <c r="H15" s="84" t="inlineStr">
        <is>
          <t>AKKA IGHAN + tout besoin ponctuel</t>
        </is>
      </c>
      <c r="I15" s="84" t="inlineStr">
        <is>
          <t>Oui</t>
        </is>
      </c>
      <c r="J15" s="109" t="inlineStr">
        <is>
          <t>INVESTISSEMENT</t>
        </is>
      </c>
      <c r="K15" s="84" t="inlineStr">
        <is>
          <t>Nouveau site AKKA IGHAN et sites de transmission</t>
        </is>
      </c>
      <c r="L15" s="163" t="inlineStr">
        <is>
          <t>MODIFIÉ : Budget Prévisionnel (TTC) : 200 000 → 120 000</t>
        </is>
      </c>
    </row>
    <row r="16" ht="108" customFormat="1" customHeight="1" s="104">
      <c r="A16" s="85" t="inlineStr">
        <is>
          <t>Construction et achèvement d'installation des pylônes auto-stable aux sites SNRT TANAKOUBE ( P.CHEFCHAOUEN) et TAOURIRT</t>
        </is>
      </c>
      <c r="B16" s="101" t="inlineStr">
        <is>
          <t>Travaux</t>
        </is>
      </c>
      <c r="C16" s="105" t="n">
        <v>2000000</v>
      </c>
      <c r="D16" s="166" t="inlineStr">
        <is>
          <t>Agencement et aménagement constructions</t>
        </is>
      </c>
      <c r="E16" s="124" t="inlineStr">
        <is>
          <t>AOO</t>
        </is>
      </c>
      <c r="F16" s="106" t="inlineStr">
        <is>
          <t>10 mois</t>
        </is>
      </c>
      <c r="G16" s="106" t="inlineStr">
        <is>
          <t>T3</t>
        </is>
      </c>
      <c r="H16" s="109" t="inlineStr">
        <is>
          <t>TANAKOUBE ( P,CHEFCHAOUEN) et TAOURIRT</t>
        </is>
      </c>
      <c r="I16" s="84" t="inlineStr">
        <is>
          <t>Oui</t>
        </is>
      </c>
      <c r="J16" s="109" t="inlineStr">
        <is>
          <t>INVESTISSEMENT</t>
        </is>
      </c>
      <c r="K16" s="85" t="inlineStr">
        <is>
          <t>Sites existants nécessitant des nouveaux pylônes. CHEFCHAOUEN site existant dont le pylône n'a pas été achevé suite à la résiliation du marché initial  2014. Taourirt c'est un nouveau site dont le shelter et le mur de clôture sont déjà construit.</t>
        </is>
      </c>
      <c r="L16" s="164" t="inlineStr">
        <is>
          <t>Inchangé</t>
        </is>
      </c>
    </row>
    <row r="17" ht="158.45" customFormat="1" customHeight="1" s="158">
      <c r="A17" s="150" t="inlineStr">
        <is>
          <t>Elaboration des études technique et le suivi des travaux  pour la construction et achèvement d'installation des pylônes auto-stable aux sites SNRT TANAKOUBE ( P.CHEFCHAOUEN) et TAOURIRT</t>
        </is>
      </c>
      <c r="B17" s="151" t="inlineStr">
        <is>
          <t>Etudes</t>
        </is>
      </c>
      <c r="C17" s="152" t="n">
        <v>120000</v>
      </c>
      <c r="D17" s="167" t="inlineStr">
        <is>
          <t>Frais d'acquisition des immobilisations</t>
        </is>
      </c>
      <c r="E17" s="154" t="inlineStr">
        <is>
          <t>AOO</t>
        </is>
      </c>
      <c r="F17" s="155" t="inlineStr">
        <is>
          <t>10 mois</t>
        </is>
      </c>
      <c r="G17" s="155" t="inlineStr">
        <is>
          <t>T1</t>
        </is>
      </c>
      <c r="H17" s="156" t="inlineStr">
        <is>
          <t>TANAKOUBE ( P,CHEFCHAOUEN) et TAOURIRT</t>
        </is>
      </c>
      <c r="I17" s="157" t="n"/>
      <c r="J17" s="156" t="inlineStr">
        <is>
          <t>INVESTISSEMENT</t>
        </is>
      </c>
      <c r="K17" s="150" t="inlineStr">
        <is>
          <t>Assurer une optimisation maximale au niveau du dimensionnement des structures en béton armé et les éléments porteurs pour minimiser les budgets alloué à la construction des pylônes ainsi que L’accompagnement du maitre d’ouvrage au niveau du contrôle et le suivi des travaux. Sites existants nécessitant des nouveaux pylônes. CHEFCHAOUEN site existant dont le pylône n'a pas été achevé suite à la résiliation du marché initial  2014. Taourirt c'est un nouveau site dont le shelter et le mur de clôture sont déjà construire.</t>
        </is>
      </c>
      <c r="L17" s="163" t="inlineStr">
        <is>
          <t>MODIFIÉ : Budget Prévisionnel (TTC) : 120 000 → 150 000</t>
        </is>
      </c>
    </row>
    <row r="18" ht="158.45" customFormat="1" customHeight="1" s="104">
      <c r="A18" s="85" t="inlineStr">
        <is>
          <t>Etudes architecturales et le suivi des travaux pour la construction des nouveau sites de diffusion de la SNRT à RICH et MSISSI</t>
        </is>
      </c>
      <c r="B18" s="101" t="inlineStr">
        <is>
          <t>Etudes</t>
        </is>
      </c>
      <c r="C18" s="105" t="n">
        <v>180000</v>
      </c>
      <c r="D18" s="166" t="inlineStr">
        <is>
          <t>Frais d'acquisition des immobilisations</t>
        </is>
      </c>
      <c r="E18" s="124" t="inlineStr">
        <is>
          <t>AOO</t>
        </is>
      </c>
      <c r="F18" s="106" t="inlineStr">
        <is>
          <t>10 mois</t>
        </is>
      </c>
      <c r="G18" s="106" t="inlineStr">
        <is>
          <t>T1</t>
        </is>
      </c>
      <c r="H18" s="109" t="inlineStr">
        <is>
          <t>RICH  et MSISSI</t>
        </is>
      </c>
      <c r="I18" s="84" t="n"/>
      <c r="J18" s="109" t="inlineStr">
        <is>
          <t>INVESTISSEMENT</t>
        </is>
      </c>
      <c r="K18" s="85" t="inlineStr">
        <is>
          <t xml:space="preserve">Nouveaux sites de diffusion pour améliorer la couverture TNT et FM dans les environs des sites concernés. Sachant que les pylônes sont en phase de la construction. Assurer une optimisation maximale au niveau de volume des ouvrages pour minimiser les budgets alloué à la construction  ainsi que L’accompagnement du maitre d’ouvrage au niveau du contrôle et le suivi des travaux. </t>
        </is>
      </c>
      <c r="L18" s="163" t="inlineStr">
        <is>
          <t>MODIFIÉ : Budget Prévisionnel (TTC) : 180 000 → 150 000</t>
        </is>
      </c>
    </row>
    <row r="19" ht="136.9" customFormat="1" customHeight="1" s="158">
      <c r="A19" s="150" t="inlineStr">
        <is>
          <t>Elaboration des études technique et le suivi des travaux  pour la construction des nouveau sites de diffusion  à RICH et MSISSI</t>
        </is>
      </c>
      <c r="B19" s="151" t="inlineStr">
        <is>
          <t>Etudes</t>
        </is>
      </c>
      <c r="C19" s="152" t="n">
        <v>150000</v>
      </c>
      <c r="D19" s="167" t="inlineStr">
        <is>
          <t>Frais d'acquisition des immobilisations</t>
        </is>
      </c>
      <c r="E19" s="154" t="inlineStr">
        <is>
          <t>AOO</t>
        </is>
      </c>
      <c r="F19" s="155" t="inlineStr">
        <is>
          <t>10 mois</t>
        </is>
      </c>
      <c r="G19" s="155" t="inlineStr">
        <is>
          <t>T1</t>
        </is>
      </c>
      <c r="H19" s="156" t="inlineStr">
        <is>
          <t>RICH  et MSISSI</t>
        </is>
      </c>
      <c r="I19" s="157" t="n"/>
      <c r="J19" s="156" t="inlineStr">
        <is>
          <t>INVESTISSEMENT</t>
        </is>
      </c>
      <c r="K19" s="150" t="inlineStr">
        <is>
          <t>Nouveaux sites de diffusion pour améliorer la couverture TNT et FM dans les environs des sites concernés. Sachant que les pylônes sont en phase de la construction. Assurer une optimisation maximale au niveau du dimensionnement des structures en béton armé et les éléments porteurs pour minimiser les budgets alloué à la construction des nouveau sites ainsi que L’accompagnement du maitre d’ouvrage au niveau du contrôle et le suivi des travaux.</t>
        </is>
      </c>
      <c r="L19" s="164" t="inlineStr">
        <is>
          <t>Inchangé</t>
        </is>
      </c>
    </row>
    <row r="20" ht="103.15" customFormat="1" customHeight="1" s="104">
      <c r="A20" s="85" t="inlineStr">
        <is>
          <t>Travaux de construction de nouveaux sites à RICH et MSISSI</t>
        </is>
      </c>
      <c r="B20" s="101" t="inlineStr">
        <is>
          <t>Travaux</t>
        </is>
      </c>
      <c r="C20" s="105" t="n">
        <v>3000000</v>
      </c>
      <c r="D20" s="166" t="inlineStr">
        <is>
          <t>Agencement et aménagement constructions</t>
        </is>
      </c>
      <c r="E20" s="124" t="inlineStr">
        <is>
          <t>AOO</t>
        </is>
      </c>
      <c r="F20" s="106" t="inlineStr">
        <is>
          <t>10 mois</t>
        </is>
      </c>
      <c r="G20" s="106" t="inlineStr">
        <is>
          <t>T3</t>
        </is>
      </c>
      <c r="H20" s="109" t="inlineStr">
        <is>
          <t>RICH  et MSISSI</t>
        </is>
      </c>
      <c r="I20" s="84" t="inlineStr">
        <is>
          <t>Oui</t>
        </is>
      </c>
      <c r="J20" s="109" t="inlineStr">
        <is>
          <t>INVESTISSEMENT</t>
        </is>
      </c>
      <c r="K20" s="85" t="inlineStr">
        <is>
          <t>Nouveaux sites de diffusion pour améliorer la couverture TNT et FM dans les environs des sites concernés. Sachant que les pylônes sont en phase de la construction.</t>
        </is>
      </c>
      <c r="L20" s="164" t="inlineStr">
        <is>
          <t>Inchangé</t>
        </is>
      </c>
    </row>
    <row r="21" ht="141" customFormat="1" customHeight="1" s="104">
      <c r="A21" s="85" t="inlineStr">
        <is>
          <t>Travaux d'aménagement des sites de diffusion.</t>
        </is>
      </c>
      <c r="B21" s="101" t="inlineStr">
        <is>
          <t>Travaux</t>
        </is>
      </c>
      <c r="C21" s="105" t="n">
        <v>4800000</v>
      </c>
      <c r="D21" s="166" t="inlineStr">
        <is>
          <t>Agencement et aménagement constructions</t>
        </is>
      </c>
      <c r="E21" s="124" t="inlineStr">
        <is>
          <t>AOO</t>
        </is>
      </c>
      <c r="F21" s="106" t="inlineStr">
        <is>
          <t>10 mois</t>
        </is>
      </c>
      <c r="G21" s="106" t="inlineStr">
        <is>
          <t>T2, T3 et T4</t>
        </is>
      </c>
      <c r="H21" s="109" t="inlineStr">
        <is>
          <t>HAFA SAFA, ZERHOUNE,  FIGUIG, IZEFT, SAFI</t>
        </is>
      </c>
      <c r="I21" s="84" t="inlineStr">
        <is>
          <t>Oui</t>
        </is>
      </c>
      <c r="J21" s="109" t="inlineStr">
        <is>
          <t>INVESTISSEMENT</t>
        </is>
      </c>
      <c r="K21" s="109" t="inlineStr">
        <is>
          <t>Assurer la protection des équipements qui assurent la couverture permanente TV/Radio contre les infiltrations des eaux pluviales et toutes les conditions climatiques  défavorables, ainsi que l’augmentation de la durée de vie des ouvrages et leurs protections contre la dégradation et les effondrements. La SNRT dispose de plus de 230 sites de diffusion et de transmission nécessitant des entretiens annuels.</t>
        </is>
      </c>
      <c r="L21" s="164" t="inlineStr">
        <is>
          <t>Inchangé</t>
        </is>
      </c>
    </row>
    <row r="22" ht="103.15" customFormat="1" customHeight="1" s="104">
      <c r="A22" s="85" t="inlineStr">
        <is>
          <t xml:space="preserve">Entretien des pylônes et tours dessites de diffusion </t>
        </is>
      </c>
      <c r="B22" s="101" t="inlineStr">
        <is>
          <t>Travaux</t>
        </is>
      </c>
      <c r="C22" s="105" t="n">
        <v>2000000</v>
      </c>
      <c r="D22" s="166" t="inlineStr">
        <is>
          <t>Prestations de service à immobiliser</t>
        </is>
      </c>
      <c r="E22" s="124" t="inlineStr">
        <is>
          <t>AOO</t>
        </is>
      </c>
      <c r="F22" s="106" t="inlineStr">
        <is>
          <t>10 mois</t>
        </is>
      </c>
      <c r="G22" s="106" t="inlineStr">
        <is>
          <t>T3</t>
        </is>
      </c>
      <c r="H22" s="109" t="inlineStr">
        <is>
          <t>CAP SPARTEL, HAFA SAFA, ZERHOUNE, SAFI, AIN CHOCK, MIRCHICH et LAKHIAR</t>
        </is>
      </c>
      <c r="I22" s="84" t="inlineStr">
        <is>
          <t>Oui</t>
        </is>
      </c>
      <c r="J22" s="109" t="inlineStr">
        <is>
          <t>INVESTISSEMENT</t>
        </is>
      </c>
      <c r="K22" s="109" t="inlineStr">
        <is>
          <t>Assurer la protection des pylônes et les tours qui supportent les antennes et les équipements, qui assurent la couverture permanente TV/Radio contre la dégradation et les vieillissement qui peuvent provoquer le risque des effondrements de sec ouvrages.</t>
        </is>
      </c>
      <c r="L22" s="164" t="inlineStr">
        <is>
          <t>Inchangé</t>
        </is>
      </c>
    </row>
    <row r="23" ht="58.15" customFormat="1" customHeight="1" s="104">
      <c r="A23" s="88" t="inlineStr">
        <is>
          <t>Fourniture, installation et mise en service de plateformes d'encodage et de multiplexage/Mise à niveau des platformes existantes.</t>
        </is>
      </c>
      <c r="B23" s="107" t="inlineStr">
        <is>
          <t>Fournitures</t>
        </is>
      </c>
      <c r="C23" s="168" t="n">
        <v>5000000</v>
      </c>
      <c r="D23" s="166" t="inlineStr">
        <is>
          <t>Equipements de télédiffusion</t>
        </is>
      </c>
      <c r="E23" s="124" t="inlineStr">
        <is>
          <t>AOO</t>
        </is>
      </c>
      <c r="F23" s="106" t="inlineStr">
        <is>
          <t>8 mois</t>
        </is>
      </c>
      <c r="G23" s="106" t="inlineStr">
        <is>
          <t>T2</t>
        </is>
      </c>
      <c r="H23" s="109" t="inlineStr">
        <is>
          <t>RABAT - CASA</t>
        </is>
      </c>
      <c r="I23" s="84" t="inlineStr">
        <is>
          <t>Non</t>
        </is>
      </c>
      <c r="J23" s="109" t="inlineStr">
        <is>
          <t>INVESTISSEMENT</t>
        </is>
      </c>
      <c r="K23" s="84" t="inlineStr">
        <is>
          <t>Renouvellement des plateformes existantes</t>
        </is>
      </c>
      <c r="L23" s="164" t="inlineStr">
        <is>
          <t>Inchangé</t>
        </is>
      </c>
    </row>
    <row r="24" ht="58.15" customFormat="1" customHeight="1" s="104">
      <c r="A24" s="88" t="inlineStr">
        <is>
          <t>Fourniture des équipements de transmission pour les réseaux FH, satellite, contribution, tête réseau et NMS des stations terriennes.</t>
        </is>
      </c>
      <c r="B24" s="107" t="inlineStr">
        <is>
          <t>Fournitures</t>
        </is>
      </c>
      <c r="C24" s="168" t="n">
        <v>8000000</v>
      </c>
      <c r="D24" s="166" t="inlineStr">
        <is>
          <t>Equipements de télédiffusion</t>
        </is>
      </c>
      <c r="E24" s="124" t="inlineStr">
        <is>
          <t>AOO</t>
        </is>
      </c>
      <c r="F24" s="106" t="inlineStr">
        <is>
          <t>8 mois</t>
        </is>
      </c>
      <c r="G24" s="106" t="inlineStr">
        <is>
          <t>T2</t>
        </is>
      </c>
      <c r="H24" s="109" t="inlineStr">
        <is>
          <t>RABAT - CASA - TEMARA</t>
        </is>
      </c>
      <c r="I24" s="84" t="inlineStr">
        <is>
          <t>Non</t>
        </is>
      </c>
      <c r="J24" s="109" t="inlineStr">
        <is>
          <t>INVESTISSEMENT</t>
        </is>
      </c>
      <c r="K24" s="84" t="inlineStr">
        <is>
          <t>Renouvellement des équipements des chaines de transmission</t>
        </is>
      </c>
      <c r="L24" s="163" t="inlineStr">
        <is>
          <t>MODIFIÉ : Budget Prévisionnel (TTC) : 8 000 000 → 3 248 000</t>
        </is>
      </c>
    </row>
    <row r="25" ht="60.6" customFormat="1" customHeight="1" s="104">
      <c r="A25" s="121" t="inlineStr">
        <is>
          <t>Formation dans les réseaux informatiques et réseaux de transmission.</t>
        </is>
      </c>
      <c r="B25" s="110" t="inlineStr">
        <is>
          <t>Services</t>
        </is>
      </c>
      <c r="C25" s="165" t="n">
        <v>500000</v>
      </c>
      <c r="D25" s="121" t="inlineStr">
        <is>
          <t>Charges sociales diverses</t>
        </is>
      </c>
      <c r="E25" s="119" t="inlineStr">
        <is>
          <t>AOO</t>
        </is>
      </c>
      <c r="F25" s="112" t="inlineStr">
        <is>
          <t>15 jours</t>
        </is>
      </c>
      <c r="G25" s="112" t="inlineStr">
        <is>
          <t>T4</t>
        </is>
      </c>
      <c r="H25" s="113" t="inlineStr">
        <is>
          <t>RABAT</t>
        </is>
      </c>
      <c r="I25" s="82" t="inlineStr">
        <is>
          <t>Non</t>
        </is>
      </c>
      <c r="J25" s="114" t="inlineStr">
        <is>
          <t>EXPLOITATION</t>
        </is>
      </c>
      <c r="K25" s="82" t="inlineStr">
        <is>
          <t>Pour le suivi de la technologie</t>
        </is>
      </c>
      <c r="L25" s="164" t="inlineStr">
        <is>
          <t>Inchangé</t>
        </is>
      </c>
    </row>
    <row r="26" ht="60.6" customFormat="1" customHeight="1" s="104">
      <c r="A26" s="88" t="inlineStr">
        <is>
          <t>Reconduction Marché 31/2022 PHF COM</t>
        </is>
      </c>
      <c r="B26" s="106" t="inlineStr">
        <is>
          <t>Services</t>
        </is>
      </c>
      <c r="C26" s="165" t="n">
        <v>318960</v>
      </c>
      <c r="D26" s="101" t="inlineStr">
        <is>
          <t>Entretien, réparation et assurance</t>
        </is>
      </c>
      <c r="E26" s="124" t="inlineStr">
        <is>
          <t>AOO</t>
        </is>
      </c>
      <c r="F26" s="106" t="inlineStr">
        <is>
          <t>3 ans</t>
        </is>
      </c>
      <c r="G26" s="106" t="inlineStr">
        <is>
          <t>T2</t>
        </is>
      </c>
      <c r="H26" s="109" t="inlineStr">
        <is>
          <t>RABAT</t>
        </is>
      </c>
      <c r="I26" s="84" t="inlineStr">
        <is>
          <t>Non</t>
        </is>
      </c>
      <c r="J26" s="109" t="inlineStr">
        <is>
          <t>EXPLOITATION</t>
        </is>
      </c>
      <c r="K26" s="109" t="inlineStr">
        <is>
          <t>Assurer le fonctionnement et la disponibilité de la plateforme existante info trafic</t>
        </is>
      </c>
      <c r="L26" s="164" t="inlineStr">
        <is>
          <t>Inchangé</t>
        </is>
      </c>
    </row>
    <row r="27" ht="60.6" customFormat="1" customHeight="1" s="104">
      <c r="A27" s="100" t="inlineStr">
        <is>
          <t>Reconduction Marché 91/2023 Intratel</t>
        </is>
      </c>
      <c r="B27" s="106" t="inlineStr">
        <is>
          <t>Services</t>
        </is>
      </c>
      <c r="C27" s="169" t="n">
        <v>838800</v>
      </c>
      <c r="D27" s="101" t="inlineStr">
        <is>
          <t>Entretien, réparation et assurance</t>
        </is>
      </c>
      <c r="E27" s="124" t="inlineStr">
        <is>
          <t>AOO</t>
        </is>
      </c>
      <c r="F27" s="106" t="inlineStr">
        <is>
          <t>3 ans</t>
        </is>
      </c>
      <c r="G27" s="106" t="inlineStr">
        <is>
          <t>T3</t>
        </is>
      </c>
      <c r="H27" s="109" t="inlineStr">
        <is>
          <t>RABAT - CASA</t>
        </is>
      </c>
      <c r="I27" s="84" t="inlineStr">
        <is>
          <t>Non</t>
        </is>
      </c>
      <c r="J27" s="109" t="inlineStr">
        <is>
          <t>EXPLOITATION</t>
        </is>
      </c>
      <c r="K27" s="109" t="inlineStr">
        <is>
          <t>Assurer le fonctionnement et la disponibilité de la plateforme existante harmonic</t>
        </is>
      </c>
      <c r="L27" s="164" t="inlineStr">
        <is>
          <t>Inchangé</t>
        </is>
      </c>
    </row>
    <row r="28" ht="60.6" customFormat="1" customHeight="1" s="104">
      <c r="A28" s="122" t="inlineStr">
        <is>
          <t>Reconduction marché 82M/SNRT/2023 LPEE</t>
        </is>
      </c>
      <c r="B28" s="110" t="inlineStr">
        <is>
          <t>Services</t>
        </is>
      </c>
      <c r="C28" s="169" t="n">
        <v>984600</v>
      </c>
      <c r="D28" s="123" t="inlineStr">
        <is>
          <t>Prestations de service</t>
        </is>
      </c>
      <c r="E28" s="119" t="n"/>
      <c r="F28" s="112" t="n"/>
      <c r="G28" s="112" t="n"/>
      <c r="H28" s="113" t="n"/>
      <c r="I28" s="82" t="n"/>
      <c r="J28" s="114" t="inlineStr">
        <is>
          <t>EXPLOITATION</t>
        </is>
      </c>
      <c r="K28" s="114" t="inlineStr">
        <is>
          <t>Marché reconduit</t>
        </is>
      </c>
      <c r="L28" s="164" t="inlineStr">
        <is>
          <t>Inchangé</t>
        </is>
      </c>
    </row>
    <row r="29" ht="60.6" customFormat="1" customHeight="1" s="104">
      <c r="A29" s="88" t="inlineStr">
        <is>
          <t>Entretien, réparation et maintenance des équipements de transmission.</t>
        </is>
      </c>
      <c r="B29" s="106" t="inlineStr">
        <is>
          <t>Services</t>
        </is>
      </c>
      <c r="C29" s="165" t="n">
        <v>934000</v>
      </c>
      <c r="D29" s="88" t="inlineStr">
        <is>
          <t>Entretien, réparation et assurance</t>
        </is>
      </c>
      <c r="E29" s="124" t="inlineStr">
        <is>
          <t>AOO</t>
        </is>
      </c>
      <c r="F29" s="106" t="inlineStr">
        <is>
          <t>8 mois</t>
        </is>
      </c>
      <c r="G29" s="106" t="inlineStr">
        <is>
          <t>T2</t>
        </is>
      </c>
      <c r="H29" s="109" t="inlineStr">
        <is>
          <t>SITES DE TRANSMISSION</t>
        </is>
      </c>
      <c r="I29" s="84" t="inlineStr">
        <is>
          <t>Non</t>
        </is>
      </c>
      <c r="J29" s="109" t="inlineStr">
        <is>
          <t>EXPLOITATION</t>
        </is>
      </c>
      <c r="K29" s="109" t="inlineStr">
        <is>
          <t>Assurer le fonctionnement et la disponibilité des réseaux de transmission</t>
        </is>
      </c>
      <c r="L29" s="164" t="inlineStr">
        <is>
          <t>Inchangé</t>
        </is>
      </c>
    </row>
    <row r="30" ht="16.5" customFormat="1" customHeight="1" s="104">
      <c r="A30" s="170" t="inlineStr">
        <is>
          <t xml:space="preserve">Fourniture, installation et mise en service des émetteurs DVB-T/T2 avec combiners pour quelques sites de diffusion </t>
        </is>
      </c>
      <c r="B30" s="171" t="inlineStr">
        <is>
          <t>Fournitures</t>
        </is>
      </c>
      <c r="C30" s="172" t="n">
        <v>5246250.76</v>
      </c>
      <c r="D30" s="171" t="inlineStr">
        <is>
          <t>Equipements de télédiffusion</t>
        </is>
      </c>
      <c r="E30" s="171" t="inlineStr">
        <is>
          <t>19AOM/SNRT/2026</t>
        </is>
      </c>
      <c r="F30" s="171" t="inlineStr">
        <is>
          <t>12 mois</t>
        </is>
      </c>
      <c r="G30" s="171" t="inlineStr">
        <is>
          <t>T1</t>
        </is>
      </c>
      <c r="H30" s="170" t="inlineStr">
        <is>
          <t>JBEL BOUHAYATI - NQOB - TANAQOB - TAWNATE - TOUZARINE - ZALAGH - JBEL EL GARA - ANOUNFEG - GUELMIM - TATAZAGORA - SMARA</t>
        </is>
      </c>
      <c r="I30" s="171" t="inlineStr">
        <is>
          <t>Non</t>
        </is>
      </c>
      <c r="J30" s="171" t="inlineStr">
        <is>
          <t>INVESTISSEMENT</t>
        </is>
      </c>
      <c r="K30" s="170" t="inlineStr">
        <is>
          <t>Renouvellement des équipements TNT</t>
        </is>
      </c>
      <c r="L30" s="173" t="inlineStr">
        <is>
          <t>AJOUTÉ (nouveau dans la version 23-06-2026)</t>
        </is>
      </c>
    </row>
    <row r="31" ht="16.5" customFormat="1" customHeight="1" s="104">
      <c r="A31" s="170" t="inlineStr">
        <is>
          <t>Electricafication/augmentation MT/BT 2éme reseau de quelques sites de diffusion SNRT.</t>
        </is>
      </c>
      <c r="B31" s="171" t="inlineStr">
        <is>
          <t>Travaux</t>
        </is>
      </c>
      <c r="C31" s="172" t="n">
        <v>1714716.81</v>
      </c>
      <c r="D31" s="171" t="inlineStr">
        <is>
          <t>Equipements de télédiffusion</t>
        </is>
      </c>
      <c r="E31" s="171" t="inlineStr">
        <is>
          <t>AOO</t>
        </is>
      </c>
      <c r="F31" s="171" t="n"/>
      <c r="G31" s="171" t="n"/>
      <c r="H31" s="170" t="inlineStr">
        <is>
          <t>AKKA IGHAN</t>
        </is>
      </c>
      <c r="I31" s="171" t="inlineStr">
        <is>
          <t>Oui</t>
        </is>
      </c>
      <c r="J31" s="171" t="inlineStr">
        <is>
          <t>INVESTISSEMENT</t>
        </is>
      </c>
      <c r="K31" s="170" t="inlineStr">
        <is>
          <t>Electrification du nouveau site (AKKA IGHAN)</t>
        </is>
      </c>
      <c r="L31" s="173" t="inlineStr">
        <is>
          <t>AJOUTÉ (nouveau dans la version 23-06-2026)</t>
        </is>
      </c>
    </row>
    <row r="32">
      <c r="A32" s="170" t="inlineStr">
        <is>
          <t>Fourniture, installation, paramétrage et mise en service de batteries pour onduleurs existants de marque Eaton déployés au siège SNRT à RABAT</t>
        </is>
      </c>
      <c r="B32" s="171" t="inlineStr">
        <is>
          <t>Fournitures</t>
        </is>
      </c>
      <c r="C32" s="172" t="n">
        <v>793728</v>
      </c>
      <c r="D32" s="171" t="inlineStr">
        <is>
          <t>Entretien, réparation et assurance</t>
        </is>
      </c>
      <c r="E32" s="171" t="inlineStr">
        <is>
          <t>AOO</t>
        </is>
      </c>
      <c r="F32" s="171" t="inlineStr">
        <is>
          <t>8 mois</t>
        </is>
      </c>
      <c r="G32" s="171" t="inlineStr">
        <is>
          <t>T3</t>
        </is>
      </c>
      <c r="H32" s="170" t="inlineStr">
        <is>
          <t>SNRT SIEGE</t>
        </is>
      </c>
      <c r="I32" s="171" t="inlineStr">
        <is>
          <t>Oui</t>
        </is>
      </c>
      <c r="J32" s="171" t="inlineStr">
        <is>
          <t>EXPLOITATION</t>
        </is>
      </c>
      <c r="K32" s="170" t="inlineStr">
        <is>
          <t>Renouvellement des batteries des onduleurs alimentant le siège de la SNRT</t>
        </is>
      </c>
      <c r="L32" s="173" t="inlineStr">
        <is>
          <t>AJOUTÉ (nouveau dans la version 23-06-2026)</t>
        </is>
      </c>
    </row>
    <row r="33">
      <c r="A33" s="170" t="inlineStr">
        <is>
          <t>Fourniture de récepteurs satellites professionnels multistream avec mode de décryptage BISS-CA et ready pour décryptage DVB-CSAv3</t>
        </is>
      </c>
      <c r="B33" s="171" t="inlineStr">
        <is>
          <t>Fournitures</t>
        </is>
      </c>
      <c r="C33" s="172" t="n">
        <v>4752000</v>
      </c>
      <c r="D33" s="171" t="inlineStr">
        <is>
          <t>Equipements de télédiffusion</t>
        </is>
      </c>
      <c r="E33" s="171" t="inlineStr">
        <is>
          <t>AOO</t>
        </is>
      </c>
      <c r="F33" s="171" t="inlineStr">
        <is>
          <t>8 mois</t>
        </is>
      </c>
      <c r="G33" s="171" t="inlineStr">
        <is>
          <t>T3</t>
        </is>
      </c>
      <c r="H33" s="170" t="inlineStr">
        <is>
          <t>RABAT</t>
        </is>
      </c>
      <c r="I33" s="171" t="inlineStr">
        <is>
          <t>Non</t>
        </is>
      </c>
      <c r="J33" s="171" t="inlineStr">
        <is>
          <t>INVESTISSEMENT</t>
        </is>
      </c>
      <c r="K33" s="170" t="inlineStr">
        <is>
          <t>Renouvellement du parc de réception par satellite et adoption du nouveau cryptage pour la distribution des bouquets TNT.</t>
        </is>
      </c>
      <c r="L33" s="173" t="inlineStr">
        <is>
          <t>AJOUTÉ (nouveau dans la version 23-06-2026)</t>
        </is>
      </c>
    </row>
    <row r="34">
      <c r="A34" s="170" t="inlineStr">
        <is>
          <t>Etude et assistance technique aux travaux d’essais, d’expertises et de contrôle des ouvrages (Pylônes, Tours, bâtiments)</t>
        </is>
      </c>
      <c r="B34" s="171" t="inlineStr">
        <is>
          <t>Services</t>
        </is>
      </c>
      <c r="C34" s="172" t="inlineStr">
        <is>
          <t>920 000 - 1 840 000</t>
        </is>
      </c>
      <c r="D34" s="171" t="n"/>
      <c r="E34" s="171" t="inlineStr">
        <is>
          <t>AOO</t>
        </is>
      </c>
      <c r="F34" s="171" t="inlineStr">
        <is>
          <t>marché cadre</t>
        </is>
      </c>
      <c r="G34" s="171" t="n"/>
      <c r="H34" s="170" t="inlineStr">
        <is>
          <t>SITES SNRT</t>
        </is>
      </c>
      <c r="I34" s="171" t="inlineStr">
        <is>
          <t>Non</t>
        </is>
      </c>
      <c r="J34" s="171" t="n"/>
      <c r="K34" s="170" t="inlineStr">
        <is>
          <t>Assurer le suivi de l'exécution des marchés de construction, d'infrastructure</t>
        </is>
      </c>
      <c r="L34" s="173" t="inlineStr">
        <is>
          <t>AJOUTÉ (nouveau dans la version 23-06-2026)</t>
        </is>
      </c>
    </row>
    <row r="35">
      <c r="A35" s="115" t="n"/>
      <c r="B35" s="110" t="n"/>
      <c r="C35" s="174">
        <f>SUBTOTAL(9,C7:C34)</f>
        <v/>
      </c>
      <c r="D35" s="175" t="n"/>
      <c r="E35" s="120" t="n"/>
      <c r="I35" s="82" t="n"/>
      <c r="J35" s="114" t="n"/>
      <c r="K35" s="82" t="n"/>
    </row>
    <row r="36">
      <c r="A36" s="115" t="n"/>
      <c r="B36" s="110" t="n"/>
      <c r="C36" s="174" t="n"/>
      <c r="D36" s="175" t="n"/>
      <c r="E36" s="120" t="n"/>
      <c r="I36" s="82" t="n"/>
      <c r="J36" s="114" t="n"/>
      <c r="K36" s="82" t="n"/>
    </row>
  </sheetData>
  <autoFilter ref="A6:K29"/>
  <mergeCells count="2">
    <mergeCell ref="B4:K4"/>
    <mergeCell ref="A3:K3"/>
  </mergeCells>
  <dataValidations count="1">
    <dataValidation sqref="B10:B12 B16:B22" showDropDown="0" showInputMessage="1" showErrorMessage="1" allowBlank="1" type="list">
      <formula1>"Travaux,Fournitures,Services,Etudes"</formula1>
    </dataValidation>
  </dataValidations>
  <pageMargins left="0.3149606299212598" right="0.1574803149606299" top="0.53" bottom="0.7480314960629921" header="0.3149606299212598" footer="0.3149606299212598"/>
  <pageSetup orientation="landscape" paperSize="9" scale="42" fitToHeight="0" horizontalDpi="4294967292" verticalDpi="4294967292"/>
</worksheet>
</file>

<file path=xl/worksheets/sheet2.xml><?xml version="1.0" encoding="utf-8"?>
<worksheet xmlns="http://schemas.openxmlformats.org/spreadsheetml/2006/main">
  <sheetPr>
    <outlinePr summaryBelow="1" summaryRight="1"/>
    <pageSetUpPr fitToPage="1"/>
  </sheetPr>
  <dimension ref="A1:AF25"/>
  <sheetViews>
    <sheetView zoomScale="80" zoomScaleNormal="80" zoomScalePageLayoutView="60" workbookViewId="0">
      <selection activeCell="A9" sqref="A9:XFD9"/>
    </sheetView>
  </sheetViews>
  <sheetFormatPr baseColWidth="10" defaultRowHeight="15.75"/>
  <cols>
    <col width="79.140625" customWidth="1" style="32" min="1" max="1"/>
    <col width="12.42578125" bestFit="1" customWidth="1" style="33" min="2" max="2"/>
    <col width="25.28515625" customWidth="1" style="176" min="3" max="3"/>
    <col width="25.28515625" customWidth="1" style="177" min="4" max="4"/>
    <col width="13.42578125" customWidth="1" style="32" min="5" max="5"/>
    <col width="13.85546875" customWidth="1" style="32" min="6" max="6"/>
    <col width="39" customWidth="1" style="32" min="7" max="7"/>
    <col width="25.28515625" customWidth="1" style="73" min="8" max="8"/>
    <col width="93.28515625" customWidth="1" style="32" min="9" max="9"/>
  </cols>
  <sheetData>
    <row r="1">
      <c r="H1" s="138" t="inlineStr">
        <is>
          <t>ANNEE</t>
        </is>
      </c>
      <c r="I1" s="37" t="n">
        <v>2025</v>
      </c>
    </row>
    <row r="3">
      <c r="A3" s="138" t="inlineStr">
        <is>
          <t>PROGRAMME PREVISIONNEL DES ACHATS</t>
        </is>
      </c>
      <c r="B3" s="178" t="n"/>
      <c r="C3" s="178" t="n"/>
      <c r="D3" s="178" t="n"/>
      <c r="E3" s="178" t="n"/>
      <c r="F3" s="178" t="n"/>
      <c r="G3" s="178" t="n"/>
      <c r="H3" s="178" t="n"/>
      <c r="I3" s="179" t="n"/>
    </row>
    <row r="4">
      <c r="A4" s="38" t="inlineStr">
        <is>
          <t>DIRECTION …</t>
        </is>
      </c>
      <c r="B4" s="140" t="n"/>
      <c r="C4" s="178" t="n"/>
      <c r="D4" s="178" t="n"/>
      <c r="E4" s="178" t="n"/>
      <c r="F4" s="178" t="n"/>
      <c r="G4" s="178" t="n"/>
      <c r="H4" s="178" t="n"/>
      <c r="I4" s="179" t="n"/>
    </row>
    <row r="6" ht="61.5" customHeight="1" s="66">
      <c r="A6" s="39" t="inlineStr">
        <is>
          <t>OBJET
(le plus détaillé possible)</t>
        </is>
      </c>
      <c r="B6" s="39" t="inlineStr">
        <is>
          <t xml:space="preserve">Nature de la prestation </t>
        </is>
      </c>
      <c r="C6" s="180" t="inlineStr">
        <is>
          <t>Budget Prévisionnel (TTC)</t>
        </is>
      </c>
      <c r="D6" s="180" t="inlineStr">
        <is>
          <t>INTITULE</t>
        </is>
      </c>
      <c r="E6" s="39" t="inlineStr">
        <is>
          <t>Période d'exécution</t>
        </is>
      </c>
      <c r="F6" s="39" t="inlineStr">
        <is>
          <t>Période prévue 
pour le lancement</t>
        </is>
      </c>
      <c r="G6" s="39" t="inlineStr">
        <is>
          <t>Lieu d'execution</t>
        </is>
      </c>
      <c r="H6" s="39" t="inlineStr">
        <is>
          <t>Nature Budget</t>
        </is>
      </c>
      <c r="I6" s="41" t="inlineStr">
        <is>
          <t>Justification du besoin</t>
        </is>
      </c>
    </row>
    <row r="7" ht="83.45" customFormat="1" customHeight="1" s="50">
      <c r="A7" s="42" t="inlineStr">
        <is>
          <t>Raccordement BT de quelques sites de diffusion SNRT</t>
        </is>
      </c>
      <c r="B7" s="43" t="inlineStr">
        <is>
          <t>Services</t>
        </is>
      </c>
      <c r="C7" s="181" t="n">
        <v>150000</v>
      </c>
      <c r="D7" s="182" t="inlineStr">
        <is>
          <t>Prestations de service</t>
        </is>
      </c>
      <c r="E7" s="61" t="n"/>
      <c r="F7" s="61" t="inlineStr">
        <is>
          <t>T1, T2, T3 et T4</t>
        </is>
      </c>
      <c r="G7" s="62" t="inlineStr">
        <is>
          <t>Quelques sites SNRT</t>
        </is>
      </c>
      <c r="H7" s="48" t="inlineStr">
        <is>
          <t>INVESTISSEMENT</t>
        </is>
      </c>
      <c r="I7" s="63" t="inlineStr">
        <is>
          <t xml:space="preserve">Branchement BT des quelques sites de diffusion SNRT </t>
        </is>
      </c>
    </row>
    <row r="8" ht="84" customHeight="1" s="66">
      <c r="A8" s="42" t="inlineStr">
        <is>
          <t>Entretien et maintenance des équipements électriques (postes MT/BT, régulateurs/stabilisateurs  onduleurs, groupes électrogènes) dans quelques sites SNRT.</t>
        </is>
      </c>
      <c r="B8" s="78" t="inlineStr">
        <is>
          <t>Services</t>
        </is>
      </c>
      <c r="C8" s="181" t="n">
        <v>200000</v>
      </c>
      <c r="D8" s="57" t="inlineStr">
        <is>
          <t>Entretien et réparation matériel&amp;outillage</t>
        </is>
      </c>
      <c r="E8" s="182" t="inlineStr">
        <is>
          <t>2 mois</t>
        </is>
      </c>
      <c r="F8" s="61" t="inlineStr">
        <is>
          <t>T1, T2, T3 et T4</t>
        </is>
      </c>
      <c r="G8" s="62" t="inlineStr">
        <is>
          <t>Sites SNRT</t>
        </is>
      </c>
      <c r="H8" s="61" t="inlineStr">
        <is>
          <t>EXPLOITATION</t>
        </is>
      </c>
      <c r="I8" s="65" t="inlineStr">
        <is>
          <t>Assurer la fiabilité et la durabilité des équipements électriques afin de garantir la continuité de service au niveau de l'alimentation du siège SNRT</t>
        </is>
      </c>
    </row>
    <row r="9" ht="84" customFormat="1" customHeight="1" s="133">
      <c r="A9" s="125" t="inlineStr">
        <is>
          <t>Réparation et maintenance des équipements électriques (postes MT/BT, régulateurs/stabilisateurs  onduleurs, groupes électrogènes) dans quelques sites SNRT.</t>
        </is>
      </c>
      <c r="B9" s="126" t="inlineStr">
        <is>
          <t>Services</t>
        </is>
      </c>
      <c r="C9" s="183" t="n">
        <v>200000</v>
      </c>
      <c r="D9" s="128" t="inlineStr">
        <is>
          <t>Entretien et réparation matériel&amp;outillage</t>
        </is>
      </c>
      <c r="E9" s="184" t="inlineStr">
        <is>
          <t>2 mois</t>
        </is>
      </c>
      <c r="F9" s="130" t="inlineStr">
        <is>
          <t>T1, T2, T3 et T4</t>
        </is>
      </c>
      <c r="G9" s="131" t="inlineStr">
        <is>
          <t>Sites SNRT</t>
        </is>
      </c>
      <c r="H9" s="130" t="inlineStr">
        <is>
          <t>EXPLOITATION</t>
        </is>
      </c>
      <c r="I9" s="132" t="inlineStr">
        <is>
          <t>Assurer la fiabilité et la durabilité des équipements électriques afin de garantir la continuité de service au niveau de l'alimentation du siège SNRT</t>
        </is>
      </c>
    </row>
    <row r="10" ht="84" customHeight="1" s="66">
      <c r="A10" s="42" t="inlineStr">
        <is>
          <t>Acquisition outillage et consommables</t>
        </is>
      </c>
      <c r="B10" s="59" t="inlineStr">
        <is>
          <t>Fournitures</t>
        </is>
      </c>
      <c r="C10" s="181" t="n">
        <v>300000</v>
      </c>
      <c r="D10" s="57" t="inlineStr">
        <is>
          <t>Prestations de service</t>
        </is>
      </c>
      <c r="E10" s="182" t="inlineStr">
        <is>
          <t>2 mois</t>
        </is>
      </c>
      <c r="F10" s="61" t="inlineStr">
        <is>
          <t>T1, T2, T3 et T4</t>
        </is>
      </c>
      <c r="G10" s="62" t="inlineStr">
        <is>
          <t>Magasin SNRT de Temara</t>
        </is>
      </c>
      <c r="H10" s="61" t="inlineStr">
        <is>
          <t>EXPLOITATION</t>
        </is>
      </c>
      <c r="I10" s="63" t="inlineStr">
        <is>
          <t>Equiper l'équipe des électriciens en terme d'outillage nécessaire</t>
        </is>
      </c>
    </row>
    <row r="11" ht="84" customHeight="1" s="66">
      <c r="A11" s="67" t="inlineStr">
        <is>
          <t>Fourniture de carburants et lubrifiants pour groupes électrogènes.</t>
        </is>
      </c>
      <c r="B11" s="68" t="inlineStr">
        <is>
          <t>Fournitures</t>
        </is>
      </c>
      <c r="C11" s="185" t="n">
        <v>100000</v>
      </c>
      <c r="D11" s="57" t="inlineStr">
        <is>
          <t>Prestations de service</t>
        </is>
      </c>
      <c r="E11" s="186" t="inlineStr">
        <is>
          <t>2 mois</t>
        </is>
      </c>
      <c r="F11" s="61" t="inlineStr">
        <is>
          <t>T1, T2, T3 et T4</t>
        </is>
      </c>
      <c r="G11" s="71" t="inlineStr">
        <is>
          <t>Sites SNRT</t>
        </is>
      </c>
      <c r="H11" s="61" t="inlineStr">
        <is>
          <t>EXPLOITATION</t>
        </is>
      </c>
      <c r="I11" s="72" t="inlineStr">
        <is>
          <t>Pour la continuité de service</t>
        </is>
      </c>
    </row>
    <row r="12" ht="84" customHeight="1" s="66">
      <c r="A12" s="67" t="inlineStr">
        <is>
          <t>Transfert de matériel divers (GE, onduleurs, câbles, batteries, pylônes, antennes, émetteurs …)</t>
        </is>
      </c>
      <c r="B12" s="68" t="inlineStr">
        <is>
          <t>Services</t>
        </is>
      </c>
      <c r="C12" s="185" t="n">
        <v>200000</v>
      </c>
      <c r="D12" s="68" t="inlineStr">
        <is>
          <t>Prestations de service</t>
        </is>
      </c>
      <c r="E12" s="186" t="inlineStr">
        <is>
          <t>2 mois</t>
        </is>
      </c>
      <c r="F12" s="61" t="inlineStr">
        <is>
          <t>T1, T2, T3 et T4</t>
        </is>
      </c>
      <c r="G12" s="61" t="inlineStr">
        <is>
          <t>Sites SNRT</t>
        </is>
      </c>
      <c r="H12" s="61" t="inlineStr">
        <is>
          <t>EXPLOITATION</t>
        </is>
      </c>
      <c r="I12" s="72" t="inlineStr">
        <is>
          <t>Pour la continuité de service</t>
        </is>
      </c>
    </row>
    <row r="13" ht="84" customHeight="1" s="66">
      <c r="A13" s="42" t="inlineStr">
        <is>
          <t>Démontge, montage de matériel divers (GE, onduleurs, câbles, batteries, pylônes, antennes, …)</t>
        </is>
      </c>
      <c r="B13" s="59" t="inlineStr">
        <is>
          <t>Services</t>
        </is>
      </c>
      <c r="C13" s="181" t="n">
        <v>200000</v>
      </c>
      <c r="D13" s="68" t="inlineStr">
        <is>
          <t>Prestations de service</t>
        </is>
      </c>
      <c r="E13" s="182" t="inlineStr">
        <is>
          <t>2 mois</t>
        </is>
      </c>
      <c r="F13" s="61" t="inlineStr">
        <is>
          <t>T1, T2, T3 et T4</t>
        </is>
      </c>
      <c r="G13" s="62" t="inlineStr">
        <is>
          <t>Sites SNRT</t>
        </is>
      </c>
      <c r="H13" s="61" t="inlineStr">
        <is>
          <t>EXPLOITATION</t>
        </is>
      </c>
      <c r="I13" s="72" t="inlineStr">
        <is>
          <t>Pour la continuité de service</t>
        </is>
      </c>
    </row>
    <row r="14" ht="114" customHeight="1" s="66" thickBot="1">
      <c r="A14" s="67" t="inlineStr">
        <is>
          <t>Fourniture électrique (batteries de compensation, batteries des groupes, batteries pour onduleurs …)</t>
        </is>
      </c>
      <c r="B14" s="68" t="inlineStr">
        <is>
          <t>Fournitures</t>
        </is>
      </c>
      <c r="C14" s="185" t="n">
        <v>100000</v>
      </c>
      <c r="D14" s="60" t="inlineStr">
        <is>
          <t>Entretien, réparation et assurance</t>
        </is>
      </c>
      <c r="E14" s="186" t="inlineStr">
        <is>
          <t>2 mois</t>
        </is>
      </c>
      <c r="F14" s="61" t="inlineStr">
        <is>
          <t>T1, T2, T3 et T5</t>
        </is>
      </c>
      <c r="G14" s="71" t="inlineStr">
        <is>
          <t>Magasin de la télédiffusion</t>
        </is>
      </c>
      <c r="H14" s="61" t="inlineStr">
        <is>
          <t>EXPLOITATION</t>
        </is>
      </c>
      <c r="I14" s="72" t="inlineStr">
        <is>
          <t>Pour le besoin de maintenance préventive et curative des installations électriques.</t>
        </is>
      </c>
    </row>
    <row r="15" ht="85.15000000000001" customFormat="1" customHeight="1" s="50" thickBot="1">
      <c r="A15" s="77" t="inlineStr">
        <is>
          <t>Travaux d'aménagements des bâtiments techniques</t>
        </is>
      </c>
      <c r="B15" s="187" t="inlineStr">
        <is>
          <t>Travaux</t>
        </is>
      </c>
      <c r="C15" s="188" t="n">
        <v>200000</v>
      </c>
      <c r="D15" s="182" t="inlineStr">
        <is>
          <t>Agencement et aménagement constructions</t>
        </is>
      </c>
      <c r="E15" s="74" t="inlineStr">
        <is>
          <t>3 mois</t>
        </is>
      </c>
      <c r="F15" s="75" t="inlineStr">
        <is>
          <t>T1, T2, T3 et T4</t>
        </is>
      </c>
      <c r="G15" s="76" t="inlineStr">
        <is>
          <t>FES STUDIO , ERFOUD, AIN CHOCK et tout éventuel imprévu</t>
        </is>
      </c>
      <c r="H15" s="48" t="inlineStr">
        <is>
          <t>INVESTISSEMENT</t>
        </is>
      </c>
      <c r="I15" s="53" t="inlineStr">
        <is>
          <t>Pour assurer un bon environnement de fonctionnement des équipements de diffusion, de transmission et d'énergie.</t>
        </is>
      </c>
    </row>
    <row r="16" ht="85.15000000000001" customFormat="1" customHeight="1" s="50">
      <c r="A16" s="54" t="inlineStr">
        <is>
          <t>Fourniture matériel technique de transmission.</t>
        </is>
      </c>
      <c r="B16" s="51" t="inlineStr">
        <is>
          <t>Fournitures</t>
        </is>
      </c>
      <c r="C16" s="189" t="n">
        <v>200000</v>
      </c>
      <c r="D16" s="182" t="inlineStr">
        <is>
          <t>Equipements de télédiffusion</t>
        </is>
      </c>
      <c r="E16" s="61" t="n"/>
      <c r="F16" s="61" t="inlineStr">
        <is>
          <t>T1, T2</t>
        </is>
      </c>
      <c r="G16" s="62" t="inlineStr">
        <is>
          <t>RABAT</t>
        </is>
      </c>
      <c r="H16" s="48" t="inlineStr">
        <is>
          <t>INVESTISSEMENT</t>
        </is>
      </c>
      <c r="I16" s="61" t="inlineStr">
        <is>
          <t>Pour le besoin de service</t>
        </is>
      </c>
    </row>
    <row r="17" ht="85.15000000000001" customFormat="1" customHeight="1" s="50">
      <c r="A17" s="42" t="inlineStr">
        <is>
          <t>Diagnostic des équipements de diffusion/transmission et structures portatives.</t>
        </is>
      </c>
      <c r="B17" s="55" t="inlineStr">
        <is>
          <t>Frais acquisition</t>
        </is>
      </c>
      <c r="C17" s="190" t="n">
        <v>100000</v>
      </c>
      <c r="D17" s="182" t="inlineStr">
        <is>
          <t>Achat prestations de service s locales - sociétés</t>
        </is>
      </c>
      <c r="E17" s="61" t="n"/>
      <c r="F17" s="61" t="inlineStr">
        <is>
          <t>T1, T2, T3 et T4</t>
        </is>
      </c>
      <c r="G17" s="62" t="inlineStr">
        <is>
          <t>SITES SNRT</t>
        </is>
      </c>
      <c r="H17" s="48" t="inlineStr">
        <is>
          <t>INVESTISSEMENT</t>
        </is>
      </c>
      <c r="I17" s="61" t="inlineStr">
        <is>
          <t>Pour le besoin de service</t>
        </is>
      </c>
    </row>
    <row r="18" ht="85.15000000000001" customFormat="1" customHeight="1" s="50">
      <c r="A18" s="42" t="inlineStr">
        <is>
          <t>Etudes topographiques, pilotage des projets</t>
        </is>
      </c>
      <c r="B18" s="55" t="inlineStr">
        <is>
          <t>Frais acquisition</t>
        </is>
      </c>
      <c r="C18" s="190" t="n">
        <v>20000</v>
      </c>
      <c r="D18" s="57" t="inlineStr">
        <is>
          <t>Frais d'acquisition des immobilisations</t>
        </is>
      </c>
      <c r="E18" s="61" t="n"/>
      <c r="F18" s="61" t="inlineStr">
        <is>
          <t>T1, T2, T3 et T4</t>
        </is>
      </c>
      <c r="G18" s="62" t="inlineStr">
        <is>
          <t>SITES SNRT</t>
        </is>
      </c>
      <c r="H18" s="48" t="inlineStr">
        <is>
          <t>INVESTISSEMENT</t>
        </is>
      </c>
      <c r="I18" s="61" t="inlineStr">
        <is>
          <t>Pour le besoin de service</t>
        </is>
      </c>
    </row>
    <row r="19" ht="84" customFormat="1" customHeight="1" s="64">
      <c r="A19" s="58" t="inlineStr">
        <is>
          <t>Fourniture pour matériel technique de transmission.</t>
        </is>
      </c>
      <c r="B19" s="59" t="inlineStr">
        <is>
          <t>Fournitures</t>
        </is>
      </c>
      <c r="C19" s="191" t="n">
        <v>250000</v>
      </c>
      <c r="D19" s="60" t="inlineStr">
        <is>
          <t>Equipements de télédiffusion</t>
        </is>
      </c>
      <c r="E19" s="61" t="inlineStr">
        <is>
          <t>3 mois</t>
        </is>
      </c>
      <c r="F19" s="62" t="inlineStr">
        <is>
          <t>T3</t>
        </is>
      </c>
      <c r="G19" s="62" t="inlineStr">
        <is>
          <t>sites de diffusion</t>
        </is>
      </c>
      <c r="H19" s="61" t="inlineStr">
        <is>
          <t>EXPLOITATION</t>
        </is>
      </c>
      <c r="I19" s="63" t="inlineStr">
        <is>
          <t>Mise en service des stations de diffusion</t>
        </is>
      </c>
    </row>
    <row r="20" ht="114" customHeight="1" s="66">
      <c r="A20" s="67" t="inlineStr">
        <is>
          <t>Fourniture de pièces de rechange pour les installations MT/BT, groupes électrogènes, onduleurs et systèmes de supervision.</t>
        </is>
      </c>
      <c r="B20" s="68" t="inlineStr">
        <is>
          <t>Fournitures</t>
        </is>
      </c>
      <c r="C20" s="185" t="n">
        <v>280000</v>
      </c>
      <c r="D20" s="60" t="inlineStr">
        <is>
          <t>Equipements de télédiffusion</t>
        </is>
      </c>
      <c r="E20" s="186" t="inlineStr">
        <is>
          <t>2 mois</t>
        </is>
      </c>
      <c r="F20" s="61" t="inlineStr">
        <is>
          <t>T1, T2, T3 et T4</t>
        </is>
      </c>
      <c r="G20" s="71" t="inlineStr">
        <is>
          <t>Magasin de la télédiffusion</t>
        </is>
      </c>
      <c r="H20" s="61" t="inlineStr">
        <is>
          <t>EXPLOITATION</t>
        </is>
      </c>
      <c r="I20" s="72" t="inlineStr">
        <is>
          <t>Pour le besoin de maintenance préventive et curative des installations électriques.</t>
        </is>
      </c>
    </row>
    <row r="21" ht="84" customHeight="1" s="66">
      <c r="A21" s="42" t="inlineStr">
        <is>
          <t>Réparation et maintenance des équipements de transmission.</t>
        </is>
      </c>
      <c r="B21" s="97" t="inlineStr">
        <is>
          <t>Services</t>
        </is>
      </c>
      <c r="C21" s="190" t="n">
        <v>100000</v>
      </c>
      <c r="D21" s="57" t="inlineStr">
        <is>
          <t>Entretien et réparation matériel&amp;outillage</t>
        </is>
      </c>
      <c r="E21" s="182" t="inlineStr">
        <is>
          <t>2 mois</t>
        </is>
      </c>
      <c r="F21" s="61" t="inlineStr">
        <is>
          <t>T1, T2, T3 et T4</t>
        </is>
      </c>
      <c r="G21" s="62" t="inlineStr">
        <is>
          <t>Sites SNRT</t>
        </is>
      </c>
      <c r="H21" s="61" t="inlineStr">
        <is>
          <t>EXPLOITATION</t>
        </is>
      </c>
      <c r="I21" s="72" t="inlineStr">
        <is>
          <t>Pour la continuité de service</t>
        </is>
      </c>
    </row>
    <row r="22" ht="84" customHeight="1" s="66">
      <c r="A22" s="42" t="inlineStr">
        <is>
          <t>Entretien et maintenance des équipements de transmission.</t>
        </is>
      </c>
      <c r="B22" s="97" t="inlineStr">
        <is>
          <t>Services</t>
        </is>
      </c>
      <c r="C22" s="176" t="n">
        <v>100000</v>
      </c>
      <c r="D22" s="57" t="inlineStr">
        <is>
          <t>Entretien et réparation matériel&amp;outillage</t>
        </is>
      </c>
      <c r="E22" s="182" t="inlineStr">
        <is>
          <t>8 mois</t>
        </is>
      </c>
      <c r="F22" s="61" t="inlineStr">
        <is>
          <t>T1, T2, T3 et T5</t>
        </is>
      </c>
      <c r="G22" s="62" t="inlineStr">
        <is>
          <t>RABAT - CASA - TEMARA</t>
        </is>
      </c>
      <c r="H22" s="61" t="inlineStr">
        <is>
          <t>EXPLOITATION</t>
        </is>
      </c>
      <c r="I22" s="72" t="inlineStr">
        <is>
          <t>Pour la continuité de service</t>
        </is>
      </c>
    </row>
    <row r="23" ht="84" customHeight="1" s="66">
      <c r="A23" s="30" t="inlineStr">
        <is>
          <t>Acquisition de softwares, licenses, mise à jour et logiciels</t>
        </is>
      </c>
      <c r="B23" s="97" t="inlineStr">
        <is>
          <t>Fournitures</t>
        </is>
      </c>
      <c r="C23" s="176" t="n">
        <v>100000</v>
      </c>
      <c r="D23" s="57" t="inlineStr">
        <is>
          <t>Equipements de télédiffusion</t>
        </is>
      </c>
      <c r="E23" s="182" t="inlineStr">
        <is>
          <t>4 mois</t>
        </is>
      </c>
      <c r="F23" s="61" t="inlineStr">
        <is>
          <t>T3</t>
        </is>
      </c>
      <c r="G23" s="62" t="inlineStr">
        <is>
          <t>RABAT - CASA - TEMARA</t>
        </is>
      </c>
      <c r="H23" s="61" t="inlineStr">
        <is>
          <t>INVESTISSEMENT</t>
        </is>
      </c>
      <c r="I23" s="72" t="inlineStr">
        <is>
          <t>Pour la mise à jour des équipements existants et opérationnels</t>
        </is>
      </c>
    </row>
    <row r="24" ht="84" customHeight="1" s="66">
      <c r="A24" s="30" t="inlineStr">
        <is>
          <t>Acquisition des équipements informatiques</t>
        </is>
      </c>
      <c r="B24" s="97" t="inlineStr">
        <is>
          <t>Fournitures</t>
        </is>
      </c>
      <c r="C24" s="190" t="n">
        <v>100000</v>
      </c>
      <c r="D24" s="57" t="inlineStr">
        <is>
          <t>Equipements de télédiffusion</t>
        </is>
      </c>
      <c r="E24" s="182" t="inlineStr">
        <is>
          <t>6 mois</t>
        </is>
      </c>
      <c r="F24" s="61" t="inlineStr">
        <is>
          <t>T3</t>
        </is>
      </c>
      <c r="G24" s="62" t="inlineStr">
        <is>
          <t>RABAT - CASA - TEMARA</t>
        </is>
      </c>
      <c r="H24" s="61" t="inlineStr">
        <is>
          <t>INVESTISSEMENT</t>
        </is>
      </c>
      <c r="I24" s="72" t="inlineStr">
        <is>
          <t>Pour le besoin des équipements de transmission existants et opérationnels</t>
        </is>
      </c>
    </row>
    <row r="25">
      <c r="C25" s="176">
        <f>SUBTOTAL(9,C7:C24)</f>
        <v/>
      </c>
    </row>
  </sheetData>
  <autoFilter ref="A6:I24"/>
  <mergeCells count="2">
    <mergeCell ref="A3:I3"/>
    <mergeCell ref="B4:I4"/>
  </mergeCells>
  <dataValidations count="1">
    <dataValidation sqref="B7:B12 B14:B15 B19:B20" showDropDown="0" showInputMessage="1" showErrorMessage="1" allowBlank="1" type="list">
      <formula1>"Travaux,Fournitures,Services,Etudes"</formula1>
    </dataValidation>
  </dataValidations>
  <pageMargins left="0.7086614173228347" right="0.7086614173228347" top="0.984251968503937" bottom="0.3937007874015748" header="0.7086614173228347" footer="0.1968503937007874"/>
  <pageSetup orientation="landscape" paperSize="9" scale="40" fitToHeight="0"/>
  <headerFooter>
    <oddHeader/>
    <oddFooter>&amp;R&amp;14 &amp;P/&amp;N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H9"/>
  <sheetViews>
    <sheetView zoomScale="75" zoomScaleNormal="75" zoomScalePageLayoutView="200" workbookViewId="0">
      <selection activeCell="F7" sqref="F7"/>
    </sheetView>
  </sheetViews>
  <sheetFormatPr baseColWidth="10" defaultRowHeight="15"/>
  <cols>
    <col width="82" bestFit="1" customWidth="1" style="66" min="1" max="1"/>
    <col width="14.42578125" bestFit="1" customWidth="1" style="66" min="2" max="2"/>
    <col width="16.85546875" bestFit="1" customWidth="1" style="66" min="3" max="3"/>
    <col width="12" bestFit="1" customWidth="1" style="66" min="4" max="5"/>
    <col width="36" bestFit="1" customWidth="1" style="66" min="6" max="6"/>
    <col width="16.140625" bestFit="1" customWidth="1" style="66" min="7" max="7"/>
    <col width="50.5703125" bestFit="1" customWidth="1" style="66" min="8" max="8"/>
  </cols>
  <sheetData>
    <row r="1">
      <c r="G1" s="6" t="inlineStr">
        <is>
          <t>ANNEE</t>
        </is>
      </c>
      <c r="H1" s="29" t="n">
        <v>2026</v>
      </c>
    </row>
    <row r="3" ht="15.75" customHeight="1" s="66">
      <c r="A3" s="192" t="inlineStr">
        <is>
          <t>PROGRAMME PREVISIONNEL DES ACHATS</t>
        </is>
      </c>
      <c r="B3" s="178" t="n"/>
      <c r="C3" s="178" t="n"/>
      <c r="D3" s="178" t="n"/>
      <c r="E3" s="178" t="n"/>
      <c r="F3" s="178" t="n"/>
      <c r="G3" s="178" t="n"/>
      <c r="H3" s="179" t="n"/>
    </row>
    <row r="4">
      <c r="A4" s="5" t="inlineStr">
        <is>
          <t>DIRECTION …</t>
        </is>
      </c>
      <c r="B4" s="193" t="n"/>
      <c r="C4" s="178" t="n"/>
      <c r="D4" s="178" t="n"/>
      <c r="E4" s="178" t="n"/>
      <c r="F4" s="178" t="n"/>
      <c r="G4" s="178" t="n"/>
      <c r="H4" s="179" t="n"/>
    </row>
    <row r="6" ht="45" customHeight="1" s="66">
      <c r="A6" s="8" t="inlineStr">
        <is>
          <t>OBJET
(le plus détaillé possible)</t>
        </is>
      </c>
      <c r="B6" s="8" t="inlineStr">
        <is>
          <t xml:space="preserve">Nature de la prestation </t>
        </is>
      </c>
      <c r="C6" s="8" t="inlineStr">
        <is>
          <t>Budget Prévisionnel (TTC)</t>
        </is>
      </c>
      <c r="D6" s="8" t="inlineStr">
        <is>
          <t xml:space="preserve">Nature de la prestation </t>
        </is>
      </c>
      <c r="E6" s="8" t="inlineStr">
        <is>
          <t>Période d'exécution</t>
        </is>
      </c>
      <c r="F6" s="8" t="inlineStr">
        <is>
          <t>Lieu d'execution</t>
        </is>
      </c>
      <c r="G6" s="8" t="inlineStr">
        <is>
          <t>Nature Budget</t>
        </is>
      </c>
      <c r="H6" s="3" t="inlineStr">
        <is>
          <t>Justification du besoin</t>
        </is>
      </c>
    </row>
    <row r="7" ht="75" customHeight="1" s="66">
      <c r="A7" s="30" t="inlineStr">
        <is>
          <t>Etude et convention avec SRM</t>
        </is>
      </c>
      <c r="B7" s="2" t="inlineStr">
        <is>
          <t>Frais d'acquisition des immobilisations</t>
        </is>
      </c>
      <c r="C7" s="21" t="n">
        <v>400000</v>
      </c>
      <c r="D7" s="2" t="inlineStr">
        <is>
          <t>Frais d'acquisition des immobilisations</t>
        </is>
      </c>
      <c r="E7" s="10" t="n">
        <v>2026</v>
      </c>
      <c r="F7" s="10" t="inlineStr">
        <is>
          <t>FOGO, ARFOUD, AKKA IGHAN</t>
        </is>
      </c>
      <c r="G7" s="10" t="inlineStr">
        <is>
          <t>INVESTISSEMENT</t>
        </is>
      </c>
      <c r="H7" s="79" t="inlineStr">
        <is>
          <t>Pour honorer les frais des SRM relatifs aux études d'électrification des sites lieux d'exécution</t>
        </is>
      </c>
    </row>
    <row r="8">
      <c r="A8" s="10" t="n"/>
      <c r="B8" s="2" t="n"/>
      <c r="C8" s="21" t="n"/>
      <c r="D8" s="10" t="n"/>
      <c r="E8" s="9" t="n"/>
      <c r="F8" s="9" t="n"/>
      <c r="G8" s="10" t="n"/>
      <c r="H8" s="22" t="n"/>
    </row>
    <row r="9" ht="18" customHeight="1" s="66">
      <c r="F9" s="28" t="n"/>
    </row>
  </sheetData>
  <mergeCells count="2">
    <mergeCell ref="B4:H4"/>
    <mergeCell ref="A3:H3"/>
  </mergeCells>
  <pageMargins left="0.7" right="0.7" top="0.75" bottom="0.75" header="0.3" footer="0.3"/>
  <pageSetup orientation="portrait" paperSize="9" horizontalDpi="4294967292" verticalDpi="4294967292"/>
</worksheet>
</file>

<file path=xl/worksheets/sheet4.xml><?xml version="1.0" encoding="utf-8"?>
<worksheet xmlns="http://schemas.openxmlformats.org/spreadsheetml/2006/main">
  <sheetPr>
    <outlinePr summaryBelow="1" summaryRight="1"/>
    <pageSetUpPr/>
  </sheetPr>
  <dimension ref="A1:N7"/>
  <sheetViews>
    <sheetView zoomScale="84" zoomScaleNormal="84" workbookViewId="0">
      <selection activeCell="A4" sqref="A4:B4"/>
    </sheetView>
  </sheetViews>
  <sheetFormatPr baseColWidth="10" defaultRowHeight="15"/>
  <cols>
    <col width="36.42578125" customWidth="1" style="66" min="1" max="1"/>
    <col width="14.140625" customWidth="1" style="66" min="2" max="2"/>
    <col width="21.85546875" customWidth="1" style="66" min="3" max="3"/>
    <col width="20.5703125" customWidth="1" style="66" min="4" max="4"/>
    <col width="10.42578125" customWidth="1" style="66" min="5" max="5"/>
    <col width="11.42578125" customWidth="1" style="66" min="6" max="6"/>
    <col width="7.42578125" customWidth="1" style="66" min="7" max="7"/>
    <col width="15" customWidth="1" style="66" min="8" max="8"/>
    <col width="15.5703125" customWidth="1" style="66" min="9" max="9"/>
    <col width="14.42578125" customWidth="1" style="66" min="10" max="10"/>
    <col width="15" customWidth="1" style="66" min="13" max="13"/>
    <col width="21.140625" customWidth="1" style="66" min="14" max="14"/>
  </cols>
  <sheetData>
    <row r="1">
      <c r="J1" s="6" t="inlineStr">
        <is>
          <t>ANNEE</t>
        </is>
      </c>
      <c r="K1" s="4" t="n">
        <v>2026</v>
      </c>
    </row>
    <row r="3" ht="15.75" customHeight="1" s="66">
      <c r="A3" s="134" t="inlineStr">
        <is>
          <t>PROGRAMME PREVISIONNEL DES ACHATS</t>
        </is>
      </c>
    </row>
    <row r="4" ht="25.5" customHeight="1" s="66">
      <c r="A4" s="194" t="inlineStr">
        <is>
          <t>DIRECTION DES SITES</t>
        </is>
      </c>
      <c r="B4" s="179" t="n"/>
      <c r="C4" s="136" t="n"/>
    </row>
    <row r="5" ht="60" customHeight="1" s="66">
      <c r="A5" s="1" t="inlineStr">
        <is>
          <t>OBJET
(le plus détaillé possible)</t>
        </is>
      </c>
      <c r="B5" s="1" t="inlineStr">
        <is>
          <t>Nbr de Programmes / Prestation</t>
        </is>
      </c>
      <c r="C5" s="1" t="inlineStr">
        <is>
          <t xml:space="preserve">Nature de la prestation </t>
        </is>
      </c>
      <c r="D5" s="1" t="inlineStr">
        <is>
          <t xml:space="preserve"> Fréquence de diffusion</t>
        </is>
      </c>
      <c r="E5" s="1" t="inlineStr">
        <is>
          <t>Durée de l'épisode en mn</t>
        </is>
      </c>
      <c r="F5" s="1" t="inlineStr">
        <is>
          <t>Type de production</t>
        </is>
      </c>
      <c r="G5" s="1" t="inlineStr">
        <is>
          <t>Nb épisode</t>
        </is>
      </c>
      <c r="H5" s="1" t="inlineStr">
        <is>
          <t>Budget Prévisionnel (TTC) par episode</t>
        </is>
      </c>
      <c r="I5" s="1" t="inlineStr">
        <is>
          <t>Budget Prévisionnel (TTC)</t>
        </is>
      </c>
      <c r="J5" s="1" t="inlineStr">
        <is>
          <t>Mode de passation</t>
        </is>
      </c>
      <c r="K5" s="1" t="inlineStr">
        <is>
          <t>Période d'exécution</t>
        </is>
      </c>
      <c r="L5" s="1" t="inlineStr">
        <is>
          <t>Période prévue 
pour le lancement</t>
        </is>
      </c>
      <c r="M5" s="1" t="inlineStr">
        <is>
          <t>Lieu d'execution</t>
        </is>
      </c>
      <c r="N5" s="1" t="inlineStr">
        <is>
          <t>Justification du besoin</t>
        </is>
      </c>
    </row>
    <row r="6" customFormat="1" s="7">
      <c r="A6" s="23" t="n"/>
      <c r="B6" s="18" t="n"/>
      <c r="C6" s="19" t="n"/>
      <c r="D6" s="24" t="n"/>
      <c r="E6" s="17" t="n"/>
      <c r="F6" s="16" t="n"/>
      <c r="G6" s="14" t="n"/>
      <c r="H6" s="25" t="n"/>
      <c r="I6" s="15" t="n"/>
      <c r="J6" s="18" t="n"/>
      <c r="K6" s="14" t="n"/>
      <c r="L6" s="14" t="n"/>
      <c r="M6" s="2" t="n"/>
      <c r="N6" s="13" t="n"/>
    </row>
    <row r="7" customFormat="1" s="7">
      <c r="A7" s="20" t="n"/>
      <c r="B7" s="18" t="n"/>
      <c r="C7" s="19" t="n"/>
      <c r="D7" s="26" t="n"/>
      <c r="E7" s="17" t="n"/>
      <c r="F7" s="16" t="n"/>
      <c r="G7" s="14" t="n"/>
      <c r="H7" s="27" t="n"/>
      <c r="I7" s="15" t="n"/>
      <c r="J7" s="18" t="n"/>
      <c r="K7" s="14" t="n"/>
      <c r="L7" s="14" t="n"/>
      <c r="M7" s="2" t="n"/>
      <c r="N7" s="13" t="n"/>
    </row>
  </sheetData>
  <mergeCells count="3">
    <mergeCell ref="A4:B4"/>
    <mergeCell ref="A3:N3"/>
    <mergeCell ref="C4:N4"/>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TALEB Nora</dc:creator>
  <dcterms:created xsi:type="dcterms:W3CDTF">2021-01-08T14:23:18Z</dcterms:created>
  <dcterms:modified xsi:type="dcterms:W3CDTF">2026-07-23T11:35:36Z</dcterms:modified>
  <cp:lastModifiedBy>fatimazahra LAMAALMA</cp:lastModifiedBy>
  <cp:lastPrinted>2026-01-06T10:04:42Z</cp:lastPrinted>
</cp:coreProperties>
</file>