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8800" windowHeight="11535"/>
  </bookViews>
  <sheets>
    <sheet name="PPM" sheetId="1" r:id="rId1"/>
  </sheets>
  <externalReferences>
    <externalReference r:id="rId2"/>
  </externalReferences>
  <definedNames>
    <definedName name="_xlnm._FilterDatabase" localSheetId="0" hidden="1">PPM!$A$9:$G$165</definedName>
    <definedName name="ANN">[1]Parametres!$A$116</definedName>
    <definedName name="INF">[1]Parametres!$A$115</definedName>
    <definedName name="NA">[1]Parametres!$A$113</definedName>
  </definedNames>
  <calcPr calcId="152511"/>
</workbook>
</file>

<file path=xl/calcChain.xml><?xml version="1.0" encoding="utf-8"?>
<calcChain xmlns="http://schemas.openxmlformats.org/spreadsheetml/2006/main">
  <c r="H98" i="1" l="1"/>
  <c r="H100" i="1"/>
</calcChain>
</file>

<file path=xl/sharedStrings.xml><?xml version="1.0" encoding="utf-8"?>
<sst xmlns="http://schemas.openxmlformats.org/spreadsheetml/2006/main" count="1115" uniqueCount="250">
  <si>
    <t>Fourniture des  modules  de  traitement audio et RDS  pour les émetteurs FM</t>
  </si>
  <si>
    <t>Fournitures</t>
  </si>
  <si>
    <t>Magasin Temara</t>
  </si>
  <si>
    <t>Non</t>
  </si>
  <si>
    <t>Fourniture, installation et mise en service de systèmes de supervision des antennes de diffusion FM et TV</t>
  </si>
  <si>
    <t>centres de diffusion de la SNRT</t>
  </si>
  <si>
    <t>Fourniture et installation des équipements de contrôle audio et vidéo pour les petits centres de diffusion TV/FM</t>
  </si>
  <si>
    <t>Fourniture, installation et mise en service des climatiseurs aux centres de diffusion de la SNRT</t>
  </si>
  <si>
    <t>Oui</t>
  </si>
  <si>
    <t>Fourniture des analyseurs de réseaux électrique et les appareils de mesure électrique</t>
  </si>
  <si>
    <t>Fourniture,installation et mise en service des commutateurs et distributeurs des signaux ASI et IP pour les centres de diffusion TNT et FM</t>
  </si>
  <si>
    <t>Fourniture et installation des sondes FM et TNT pour le contrôle des signaux audios et vidéo des chaines radio et télevision de la SNRT</t>
  </si>
  <si>
    <t>Fourniture des modules et pièces de rechanges des émetteurs TNT de  des centres de la SNRT</t>
  </si>
  <si>
    <t>Fourniture des modules et pièces de rechanges des émetteurs FM  des centres de la SNRT</t>
  </si>
  <si>
    <t>Fourniture des duplexeurs, filtres, patchs panel , commutateurs RF et adaptateurs</t>
  </si>
  <si>
    <t>Fourniture des distributeurs de puissance UHF et  FM, combiners, feeders et antennes</t>
  </si>
  <si>
    <t>Fourniture des modules et pièces de rechanges hydrauliques et électriques  pour les émetteurs de diffusion TNT et FM</t>
  </si>
  <si>
    <t>L'entretien et la remise en état des systèmes de balisage aux pylônes des centres de diffusion TV/FM</t>
  </si>
  <si>
    <t>Entretien et maintenance du syteme d'antennes du centre radio AM d'Ait Melloul</t>
  </si>
  <si>
    <t>Ait Melloul</t>
  </si>
  <si>
    <t>Entretien et remise en état  du système de verouillage et de protection des cabines d'antennes de  centres AM</t>
  </si>
  <si>
    <t>Entretien des  systèmes de la télésurveillance des centres radio AM.</t>
  </si>
  <si>
    <t>Centre de diffusion AM</t>
  </si>
  <si>
    <t>Entretien et maintenance des équipements électriques, électroniques des climatiseurs aux centres de diffusion, y compris la fourniture des pièces de rechange.</t>
  </si>
  <si>
    <t>Centres de diffusion TV/FM</t>
  </si>
  <si>
    <t xml:space="preserve">Fourniture, installation et mise en service des émetteurs DVB-T/T2 avec combiners pour quelques sites de diffusion </t>
  </si>
  <si>
    <t xml:space="preserve">Fourniture, installation et mise en service des émetteurs FM avec combiners et systèmes d'antennes FM pour quelques sites de diffusion </t>
  </si>
  <si>
    <t>Fourniture, installation et mise en service de nouvelles liaisons de faisceaux hertzien pour un Trafic MPEG-TS/IP et IP.</t>
  </si>
  <si>
    <t>Fourniture, installation et mise en service de nouveaux onduleurs dans quelques sites de diffusion.</t>
  </si>
  <si>
    <t>Fourniture, installation et mise en service des groupes électrogènes dans quelques sites de diffusion.</t>
  </si>
  <si>
    <t>Electricafication/augmentation MT/BT 2éme reseau de quelques sites de diffusion SNRT.</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</si>
  <si>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</si>
  <si>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Acquisition de climatiseurs</t>
  </si>
  <si>
    <t>Construction et achèvement d'installation des pylônes auto-stable aux sites SNRT TANAKOUBE ( P.CHEFCHAOUEN) et TAOURIRT</t>
  </si>
  <si>
    <t>Elaboration des études technique et le suivi des travaux  pour la construction et achèvement d'installation des pylônes auto-stable aux sites SNRT TANAKOUBE ( P.CHEFCHAOUEN) et TAOURIRT</t>
  </si>
  <si>
    <t>Etudes architecturales et le suivi des travaux pour la construction des nouveau sites de diffusion de la SNRT à RICH et MSISSI</t>
  </si>
  <si>
    <t>Elaboration des études technique et le suivi des travaux  pour la construction des nouveau sites de diffusion  à RICH et MSISSI</t>
  </si>
  <si>
    <t>Travaux de construction de nouveaux sites à RICH et MSISSI</t>
  </si>
  <si>
    <t>Travaux d'aménagement des sites de diffusion.</t>
  </si>
  <si>
    <t xml:space="preserve">Entretien des pylônes et tours dessites de diffusion </t>
  </si>
  <si>
    <t>Fourniture, installation et mise en service de plateformes d'encodage et de multiplexage/Mise à niveau des platformes existantes.</t>
  </si>
  <si>
    <t>Fourniture des équipements de transmission pour les réseaux FH, satellite, contribution, tête réseau et NMS des stations terriennes.</t>
  </si>
  <si>
    <t>Formation dans les réseaux informatiques et réseaux de transmission.</t>
  </si>
  <si>
    <t>Entretien, réparation et maintenance des équipements de transmission.</t>
  </si>
  <si>
    <t>Services</t>
  </si>
  <si>
    <t>Travaux</t>
  </si>
  <si>
    <t>T1</t>
  </si>
  <si>
    <t>T2</t>
  </si>
  <si>
    <t>T3</t>
  </si>
  <si>
    <t>T4</t>
  </si>
  <si>
    <t>Laayoune, Palomas, Tazerkount</t>
  </si>
  <si>
    <t>Azougar, Bouarfa,  Figuig, Palomas,  Tizi Azza</t>
  </si>
  <si>
    <t>Zerhoun - Azougar - Tiguelmamine - Takka Tissoufra - Izeft - Errachidia - Rich
Rabat - Zaers - Témara.</t>
  </si>
  <si>
    <t>Rabat</t>
  </si>
  <si>
    <t>JBEL LAHDID (ESSAOUIRA) - ZERHOUNE - OUKEIMEDEN</t>
  </si>
  <si>
    <t>NON</t>
  </si>
  <si>
    <t>Accompagnement du Groupe SNRT dans la production des comptes en IFRS (trois prix distincts : la production des comptes individuels de la SNRT, la production des comptes individuels des filiales, la production des comptes consolidés du groupe)</t>
  </si>
  <si>
    <t>Réalisation d'études qualitatives et quantitatives marketing pour la SNRT</t>
  </si>
  <si>
    <t>Maintenance du portail de la SNRT</t>
  </si>
  <si>
    <t xml:space="preserve">Stratégie Marketing, conseil en communication, exécution et production des campagnes </t>
  </si>
  <si>
    <t>Décor  JT Al Aoula , Laayoune, Tamazight
Habillage chaînes SNRT</t>
  </si>
  <si>
    <t xml:space="preserve">Décors virtuels des chaînes de la SNRT </t>
  </si>
  <si>
    <t>Royaume du 
Maroc</t>
  </si>
  <si>
    <t>Rabat/Casablanca</t>
  </si>
  <si>
    <t>Anexes SNRT</t>
  </si>
  <si>
    <t>Acquisition et installation des caméras dans les locaux de la SNRT y compris serveurs et baie de stockage</t>
  </si>
  <si>
    <t>Travaux d'aménagement des locaux d'archive TV de la SNRT  à Témara.</t>
  </si>
  <si>
    <t xml:space="preserve">Rabat </t>
  </si>
  <si>
    <t>Travaux d'aménagement des  locaux de la SNRT  à Rabat.</t>
  </si>
  <si>
    <t>Travaux d'aménagement de la station régionale Radio de Marrakech</t>
  </si>
  <si>
    <t>Marrakech</t>
  </si>
  <si>
    <t>Travaux de plomberie au niveau des locaux de la SNRT Rabat</t>
  </si>
  <si>
    <t xml:space="preserve">Peinture extérieure pour les façades des bâtiments de la SNRT à Rabat. </t>
  </si>
  <si>
    <t xml:space="preserve">Acquisition et installation de climatiseurs au niveau des locaux techniques des stations regionales radio.
</t>
  </si>
  <si>
    <t>Etanchéité des terrasses des locaux de la SNRT à Rabat et Casablanca.</t>
  </si>
  <si>
    <t>Rabat et Casablanca</t>
  </si>
  <si>
    <t>Aménagement du studio virtuel de la station TV Laayoune.</t>
  </si>
  <si>
    <t>Maintenance des ascenseurs.</t>
  </si>
  <si>
    <t>Maintenance des extincteurs.</t>
  </si>
  <si>
    <t>Maintenance des onduleurs.</t>
  </si>
  <si>
    <t>Rabat, Casablanca et Laayoune</t>
  </si>
  <si>
    <t>Fourniture Matériel Electrique Siége et Annexes</t>
  </si>
  <si>
    <t xml:space="preserve">Acquisition de climatiseurs </t>
  </si>
  <si>
    <t xml:space="preserve">Travaux d'aménagement de la régie et du Studio N°5 de la  Radio </t>
  </si>
  <si>
    <t xml:space="preserve">Acquisition  de mobilier de bureau </t>
  </si>
  <si>
    <t xml:space="preserve">Acquisition de Matériel de Bureau (photocopieurs, Fax, Destructeur Tonners et drums ) </t>
  </si>
  <si>
    <t xml:space="preserve">Achat Fournitures de Bureau </t>
  </si>
  <si>
    <t>Décors Emissions Internes Al Aoula</t>
  </si>
  <si>
    <t>Casablanca / Rabat</t>
  </si>
  <si>
    <t>Location Ecrans &amp; Barres à Led</t>
  </si>
  <si>
    <t>Location Matériel pour les productions internes Al Aoula</t>
  </si>
  <si>
    <t>Décor Virtuel Live News</t>
  </si>
  <si>
    <t>Prestation de blanchisserie du linge et services associés au profit des journalistes présentateurs du journal Télévisés (JT)</t>
  </si>
  <si>
    <t>Elaboration d'une cartographie des risques couvrant les processus de la SNRT</t>
  </si>
  <si>
    <t>Conception et fabrication d'un ensemble de décors comprenant une table et cinq chaises dédiées aux émissions de débat télévisé diffusées sur la chaîne TV8.</t>
  </si>
  <si>
    <t>Habillage général de Radio Amazigh</t>
  </si>
  <si>
    <t>Programmes de formation  au profit du personnel de la SNRT</t>
  </si>
  <si>
    <t>Prestation de blanchisserie du linge et services assiciés au profit des journalistes présentateurs du journal Télévisés (JT) ,</t>
  </si>
  <si>
    <t>Travaux de démolition et de reconstruction d'un mur de cloture de la station Régionale Radio à Oujda</t>
  </si>
  <si>
    <t>Travaux d'aménagement et d'agencement de la régie publicitaire et des solutions digitales</t>
  </si>
  <si>
    <t>Acquisition de systèmes de caméras aériennes sur câbles pour répondre aux besoins de production de la SNRT.</t>
  </si>
  <si>
    <t>Acquisition de matériel audio/vidéo pour le renouvellement des dispositifs des unités mobiles de la SNRT.</t>
  </si>
  <si>
    <t>Acquisition de véhicules « Support Trucks » pour répondre aux besoins des unités mobiles de la SNRT.</t>
  </si>
  <si>
    <t>Acquisition des équipements de machinerie et d'éclairage pour répondre aux besoins de production de la SNRT.</t>
  </si>
  <si>
    <t>Acquisition de véhicules utilitaires aménagés pour abriter les équipements d'éclairage et de machinerie pour répondre aux besoins de production de la SNRT.</t>
  </si>
  <si>
    <t>Renouvellement et mise à niveau des équipements d'enregistrement, de lecture  et de traitement pour les besoins du système News Room de la SNRT.</t>
  </si>
  <si>
    <t>Contrat de support logiciel du système News Room (PAM et NRCS) pour les besoins des chaines TV de la SNRT.</t>
  </si>
  <si>
    <t>Renouvellement des équipements audio/vidéo et des châssis de traitement de signaux pour répondre aux besoins des installations techniques de la SNRT.</t>
  </si>
  <si>
    <t>Mise en place d'un système d'automation TV pour répondre aux besoins de la diffusion des chaines TV de la SNRT.</t>
  </si>
  <si>
    <t>Renouvellement des équipements Audio/Vidéo pour répondre aux besoins des chaines TV de la SNRT.</t>
  </si>
  <si>
    <t>Acquisition et mise à niveau des équipements Audio/vidéo de la régie multidiffusion pour répondre aux besoins de la chaine Arryadia de la SNRT.</t>
  </si>
  <si>
    <t>Renouvellement des équipements Audio/Vidéo du plateau JT pour répondre aux besoins de la chaine Al Aoula de la SNRT.</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</si>
  <si>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</si>
  <si>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</si>
  <si>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</si>
  <si>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Acquisition des équipements audio pour les besoins des chaines radios de la SNRT.</t>
  </si>
  <si>
    <t>Renouvellement et mise à niveau du Centre de Diffusion et de Monitoring (CDM) pour les besoins des chaines Radio de la SNRT. afin d’assurer la supervision centralisée, la redondance et la continuité de service des diffusions.</t>
  </si>
  <si>
    <t>Renouvellement des systèmes d’automation radio des chaînes radios régionales de la SNRT.</t>
  </si>
  <si>
    <t>Acquisition des équipements informatiques Broadcast pour les besoins des chaines radios régionales de la SNRT.</t>
  </si>
  <si>
    <t>Acquisition des supports d’enregistrement et de lecture pour les besoins des chaines TV de la SNRT.</t>
  </si>
  <si>
    <t>Acquisition de lecteurs LTO destinés aux besoins d’archivage de la SNRT.</t>
  </si>
  <si>
    <t>Numérisation des anciennes archives télévisuelles stockées sur des supports analogiques de type U-MATIC, pour les besoins des archives TV de la SNRT.</t>
  </si>
  <si>
    <t>Renouvellement et mise à niveau des systèmes et solutions logicielles de l'infrastructure IT de la SNRT.</t>
  </si>
  <si>
    <t>Souscription à un abonnement annuel de licences logiciels pour les besoins de la SNRT.</t>
  </si>
  <si>
    <t>Acquisition des consommables, accessoires, pièces de rechange et outillage informatiques pour les besoins de la SNRT.</t>
  </si>
  <si>
    <t>Acquisition des serveurs et des équipements Informatiques pour les besoins de la SNRT.</t>
  </si>
  <si>
    <t>Acquisition des équipements pour la mise à niveau de l'infrastructure réseau de la SNRT.</t>
  </si>
  <si>
    <t>Acquisition d’équipements informatiques  pour les besoins de SNRT NEWS.</t>
  </si>
  <si>
    <t>Acquisition d’équipements informatiques et audiovisuels pour la mise à niveau du matériel de SNRT NEWS.</t>
  </si>
  <si>
    <t>Acquisition de licences et de logiciels pour  les besoins de SNRT NEWS.</t>
  </si>
  <si>
    <t>Direction Centrale Technique</t>
  </si>
  <si>
    <t>Prestation de maintenance corrective, maintenance évolutive, d'assistance utilisateur, d'assistance technique et des mises à jour de Media Pilot, Logiciel de gestion de la commercialisation de l'espace publicitaire des supports TV Radio de la SNRT</t>
  </si>
  <si>
    <t>Refonte de la Solution de publicité digitale pour l'ensemble des plateformes digitales de la SNRT</t>
  </si>
  <si>
    <t xml:space="preserve">Réferencement de la plate forme SNRTNEWS et Mise en place de la stratégie digitale </t>
  </si>
  <si>
    <t xml:space="preserve">Accompagnement et Sponsoring des plateformes digitales </t>
  </si>
  <si>
    <t>Solutions relatives au projet d'homologation RSSI</t>
  </si>
  <si>
    <t xml:space="preserve">Développement de projets digitaux </t>
  </si>
  <si>
    <t>Acquisition, installation, mise en service et exploitation d'un système de gestion des informations et des événements de Cybersécurité, dans le cadre de la mise en place du centre opérationnel de cybersécurité interne (CyberSOC &amp; CyberCERT) de la SNRT.</t>
  </si>
  <si>
    <t>Souscription au service de "Cyber Threat Intelligence (CTI)" pour les besoins des équipes CyberSOC et CyberCERT,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</si>
  <si>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</si>
  <si>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</si>
  <si>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</si>
  <si>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</si>
  <si>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Responsable de la Sécurité des Systèmes d’Information (RSSI)</t>
  </si>
  <si>
    <t>Appel d'offres ouvert</t>
  </si>
  <si>
    <r>
      <t>Directio</t>
    </r>
    <r>
      <rPr>
        <sz val="10"/>
        <color theme="1"/>
        <rFont val="Cambria"/>
        <family val="1"/>
        <scheme val="major"/>
      </rPr>
      <t>n Centrale Techniqu</t>
    </r>
    <r>
      <rPr>
        <sz val="11"/>
        <color theme="1"/>
        <rFont val="Cambria"/>
        <family val="1"/>
        <scheme val="major"/>
      </rPr>
      <t>e</t>
    </r>
  </si>
  <si>
    <t xml:space="preserve"> la location de longue durée à la SNRT de véhicules neufs sans option d'achat  ainsi que les prestations qui lui sont accessoires et complémentaire</t>
  </si>
  <si>
    <t>Oujda</t>
  </si>
  <si>
    <t xml:space="preserve">Casablanca </t>
  </si>
  <si>
    <t xml:space="preserve">Maintenance de la messagerie de la DRPSD  </t>
  </si>
  <si>
    <t>Production de flags et bonnettes pour les micros des chaînes TV et radios de la SNRT</t>
  </si>
  <si>
    <t>Production de spots / films publicitaires pour la promotion des produits et services de la SNRT</t>
  </si>
  <si>
    <t>T1-T2</t>
  </si>
  <si>
    <t>T1-T4</t>
  </si>
  <si>
    <t xml:space="preserve">Achat Papier Fort A4
</t>
  </si>
  <si>
    <t xml:space="preserve"> Inventaire physique et fiabilisation du fichier comptable des immobilisations de la SNRT,
</t>
  </si>
  <si>
    <t>Fourniture et installation des Panneaux de signatlisation Bâtiments SNRT</t>
  </si>
  <si>
    <r>
      <t>T</t>
    </r>
    <r>
      <rPr>
        <sz val="11"/>
        <color theme="1"/>
        <rFont val="Cambria"/>
        <family val="1"/>
        <scheme val="major"/>
      </rPr>
      <t>2</t>
    </r>
  </si>
  <si>
    <t>Travaux d'installation électrique au bâtiment administratif de la SNRT à Rabat</t>
  </si>
  <si>
    <t>Aménagement des locaux Techniques (salles machines) des stations régionales radio de la SNRT.</t>
  </si>
  <si>
    <t xml:space="preserve">Prestations de désherbage. </t>
  </si>
  <si>
    <t xml:space="preserve">Maintenance des installations de détection et d'extinction automatique d'incendie .
</t>
  </si>
  <si>
    <t xml:space="preserve">Maintenance des installations de climatisation: 
 Rabat Casablanca </t>
  </si>
  <si>
    <t>Mise à jour de la solution de pointage et de contrôle d'accès</t>
  </si>
  <si>
    <r>
      <t>Installation</t>
    </r>
    <r>
      <rPr>
        <sz val="10"/>
        <color rgb="FFFF0000"/>
        <rFont val="Cambria"/>
        <family val="1"/>
        <scheme val="major"/>
      </rPr>
      <t xml:space="preserve"> </t>
    </r>
    <r>
      <rPr>
        <sz val="10"/>
        <rFont val="Cambria"/>
        <family val="1"/>
        <scheme val="major"/>
      </rPr>
      <t>extracteurs</t>
    </r>
    <r>
      <rPr>
        <sz val="10"/>
        <color theme="1"/>
        <rFont val="Cambria"/>
        <family val="1"/>
        <scheme val="major"/>
      </rPr>
      <t xml:space="preserve"> et détection incendie locaux Archives Finances et Achats</t>
    </r>
  </si>
  <si>
    <t>Extension de l'abri des cars régies à Témara</t>
  </si>
  <si>
    <t>Renouvellement des licences logicielles pour les stations d’habillage et de graphisme pour les besoins des chaînes TV de la SNRT.</t>
  </si>
  <si>
    <t>Laayoune</t>
  </si>
  <si>
    <t>Rabat- Casablanca</t>
  </si>
  <si>
    <t>Témara</t>
  </si>
  <si>
    <t>Casablanca</t>
  </si>
  <si>
    <t>Direction de la Télédiffusion</t>
  </si>
  <si>
    <t>Habillage général de la chaîne Amazighia</t>
  </si>
  <si>
    <t>Direction Financière</t>
  </si>
  <si>
    <t>Direction Centrale Marketing et Programmation TV</t>
  </si>
  <si>
    <t xml:space="preserve">Direction du Patrimoine et Moyens Généraux </t>
  </si>
  <si>
    <t xml:space="preserve">Direction Centrale de la Production et de l'Antenne </t>
  </si>
  <si>
    <t>Direction Al Maghribia</t>
  </si>
  <si>
    <t xml:space="preserve">Direction Audit et Contrôle et de Gestion </t>
  </si>
  <si>
    <t>Assistance et maintenance de lasolution BI etlocation de licences</t>
  </si>
  <si>
    <t>Location de supports d'affichage urbain 4x3 pour la promotion des produits et services de la SNRT</t>
  </si>
  <si>
    <t>Fourniture, installation et mise en service des onduleurs 2x150 KVA type modulaires et d’un système de climatisation au centre SNRT de ZAER (RABAT).</t>
  </si>
  <si>
    <t>Rabat zaer</t>
  </si>
  <si>
    <t>Fourniture de combiners/upconverters.</t>
  </si>
  <si>
    <t xml:space="preserve">Acquisition de matériel technique et informatique pour l'extension de l'outil digital de gestion des ressources techniques et humaines de l'exploitation et de la maintenance. </t>
  </si>
  <si>
    <t>Fourniture installation et mise en service d’un nouveau groupe électrogène  de puissance 200 KW/PRP  pour le centre SNRT de PALOMAS (P.EL HOCEIMA), ainsi que le transfert de quelques groupes électrogènes entre des centres SNRT y compris leurs mise à niveau.</t>
  </si>
  <si>
    <t>Al Houceima</t>
  </si>
  <si>
    <t xml:space="preserve">Non </t>
  </si>
  <si>
    <t>"Acquisition d'une Solution Multifonction visant la gestion de projets, la mise en place de la chaine Devops et l’acquisition des Outils de développement : éditeur de code".</t>
  </si>
  <si>
    <t>Mise en place d’une plateforme de gestion de données : Data management platorm: (DMP) pour la collecte et l’analyse de données sociodémographiques et comportementales, afin d'optimiser les campagnes publicitaires sur les plateformes digitales de la régie.</t>
  </si>
  <si>
    <t>Lancement d'une Analyse de l'impact  de l'engagement et de l'attention des téléspectateurs sur les programmes TV : De la mémorisation à l’attractivité pour les marques ( Efficacité publicitaire TV (linéaire + Broadcaster Video On Demand).</t>
  </si>
  <si>
    <t xml:space="preserve">Acquisition d'une Solution visant l'Automatisation et la Digitalisation de la Gestion des Campagnes Publicitaires 
( Annonceurs - Agences- Régie Publicitaire ) </t>
  </si>
  <si>
    <t xml:space="preserve">Lancement d'une étude "Return on investment": ( ROI) permettant l'évaluation de l'effiicacité des camapgnes publicitaires </t>
  </si>
  <si>
    <t>Direction chargée des programmes Amazigh Radio et TV</t>
  </si>
  <si>
    <t>Direction des  Ressources Humaines</t>
  </si>
  <si>
    <t>Direction de l'Information TV</t>
  </si>
  <si>
    <t>Direction Centrale de la Régie publicitaire et des Solutions Digitales</t>
  </si>
  <si>
    <t xml:space="preserve">DIRECTION </t>
  </si>
  <si>
    <t xml:space="preserve">OBJET
 </t>
  </si>
  <si>
    <t>NATURE DE LA PRESTATION</t>
  </si>
  <si>
    <t>MODE DE PASSATION</t>
  </si>
  <si>
    <t>ESTIMATION</t>
  </si>
  <si>
    <t>PERIODE PREVUE POUR LE LANCEMENT</t>
  </si>
  <si>
    <t>Prestation de blanchisserie du linge et services associés au profit des journalistes présentateurs</t>
  </si>
  <si>
    <t>Direction Attakafia</t>
  </si>
  <si>
    <t>LIEU D'EXECUTION</t>
  </si>
  <si>
    <t xml:space="preserve">Achat d'habillement au profit des journalistes présentateurs des évenements sportifs, </t>
  </si>
  <si>
    <t>Achat d'habillement au profit des journalistes présentateurs des JTV ,</t>
  </si>
  <si>
    <r>
      <t>Conception et réalisation d'un décor du plateau de télévision professionnel aux standards internationaux</t>
    </r>
    <r>
      <rPr>
        <sz val="10"/>
        <rFont val="Cambria"/>
        <family val="1"/>
        <scheme val="major"/>
      </rPr>
      <t xml:space="preserve"> pour la couverture de la CAN 2026 </t>
    </r>
    <r>
      <rPr>
        <sz val="10"/>
        <color theme="1"/>
        <rFont val="Cambria"/>
        <family val="1"/>
        <scheme val="major"/>
      </rPr>
      <t>(femmes)</t>
    </r>
  </si>
  <si>
    <r>
      <rPr>
        <sz val="10"/>
        <rFont val="Cambria"/>
        <family val="1"/>
        <scheme val="major"/>
      </rPr>
      <t xml:space="preserve">Conception et fabrication de décor </t>
    </r>
    <r>
      <rPr>
        <sz val="10"/>
        <color theme="1"/>
        <rFont val="Cambria"/>
        <family val="1"/>
        <scheme val="major"/>
      </rPr>
      <t>pour une émission grand débat  politique 2026</t>
    </r>
  </si>
  <si>
    <t>Acquisition des produits de maquillage pour les présentateurs des  JT e t des émissions TV,</t>
  </si>
  <si>
    <t>Réalisation d'un décor plateau de télévision professionnel aux standards internationaux pour l'émission" نقطة الى السطر"</t>
  </si>
  <si>
    <t>Akka Ighan + tout besoin ponctuel</t>
  </si>
  <si>
    <t>Magasin Témara</t>
  </si>
  <si>
    <t>Tanakoube ( (P,Chefchaouen) et Taourirt)</t>
  </si>
  <si>
    <t>Tanakoube
 ( P,Chefchaouen) et Taourirt</t>
  </si>
  <si>
    <t>Rich  et Msissi</t>
  </si>
  <si>
    <t>Hafa Safa, Zerhoune,  Figuig, Izeft, Safi</t>
  </si>
  <si>
    <t>Cap Spartel, Hafa Safa, Zerhoune, Safi, Ain Chock, Mirchich et Lakhiar</t>
  </si>
  <si>
    <t>Centres de diffusion de la SNRT</t>
  </si>
  <si>
    <t>Sites de Transmission</t>
  </si>
  <si>
    <t>Tarfaya - Akhfennir - Abtih - Sidi IfniI - Sidi Bounouara</t>
  </si>
  <si>
    <t>Fogo (Guelmim) - Akka Ighan (Tata) - Arfoud (Errachidia)</t>
  </si>
  <si>
    <t>Rabat - Tanger</t>
  </si>
  <si>
    <t>Sites SNRT</t>
  </si>
  <si>
    <t>Travaux d'aménagement des locaux techniques à Rabat Aménagement et Agencement</t>
  </si>
  <si>
    <t>Travaux d'aménagement des locaux techniques à Rabat  Electricité-Lustreries-Climatisation</t>
  </si>
  <si>
    <t>Travaux d'aménagement de la station régionale Radio d'AL Houceima</t>
  </si>
  <si>
    <t>Travaux d'aménagement de la station régionale Radio de Tetouane,</t>
  </si>
  <si>
    <r>
      <t>Acquisition et travaux d'installation de deux ascenseurs aux bâtiments  de la Radio SNRT-Rabat et de Radio-</t>
    </r>
    <r>
      <rPr>
        <sz val="10"/>
        <rFont val="Cambria"/>
        <family val="1"/>
        <scheme val="major"/>
      </rPr>
      <t>TV coranique Assadissa</t>
    </r>
  </si>
  <si>
    <t xml:space="preserve">AOO RESERVES AUX PME </t>
  </si>
  <si>
    <t xml:space="preserve">PROGRAMME PREVISIONNEL DES MARCHES PAR APPELS D'PFFRES </t>
  </si>
  <si>
    <t>Rabat et Laayoune</t>
  </si>
  <si>
    <t>Rabat - Casablanca</t>
  </si>
  <si>
    <t>Rabat - Casablanca - Témara</t>
  </si>
  <si>
    <t>Rabat Temara casablanca</t>
  </si>
  <si>
    <t>Radios régionales</t>
  </si>
  <si>
    <t>Direction de la Chaîne TV Laayoune</t>
  </si>
  <si>
    <t>Fabrication de décor et conception d'habillage  de l'émission "AL FADAA ARIYADI".</t>
  </si>
  <si>
    <t>Fabrication de décor et conception d'habillage  de l'émission "AAOYON ALMAGHRIB ".</t>
  </si>
  <si>
    <r>
      <t>T</t>
    </r>
    <r>
      <rPr>
        <sz val="10"/>
        <rFont val="Cambria"/>
        <family val="1"/>
        <scheme val="major"/>
      </rPr>
      <t>2</t>
    </r>
  </si>
  <si>
    <t>SNRT et Filiales</t>
  </si>
  <si>
    <t>Commissarit aux apports - Expertise d'évaluation du foncier transféré par l'Etat à la SNRT</t>
  </si>
  <si>
    <t xml:space="preserve">Audit fiscal de la SNRT au titre des exercices non prescrits (2022 - 2025) </t>
  </si>
  <si>
    <t>Siège SNRT</t>
  </si>
  <si>
    <t xml:space="preserve">Siège SNRT </t>
  </si>
  <si>
    <t>T2 - T3 - T4</t>
  </si>
  <si>
    <t>Sites de la SNRT</t>
  </si>
  <si>
    <t>Stations régionales Radio</t>
  </si>
  <si>
    <t>Annexes SNRT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</si>
</sst>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_-;\-* #,##0.00\ _€_-;_-* &quot;-&quot;??\ _€_-;_-@_-"/>
    <numFmt numFmtId="164" formatCode="_-* #,##0.00\ _D_H_-;\-* #,##0.00\ _D_H_-;_-* &quot;-&quot;??\ _D_H_-;_-@_-"/>
  </numFmts>
  <fonts count="16" x14ac:knownFonts="1">
    <font>
      <sz val="11"/>
      <color theme="1"/>
      <name val="Calibri"/>
      <family val="2"/>
      <scheme val="minor"/>
    </font>
    <font>
      <sz val="11"/>
      <color theme="1"/>
      <name val="Calibri"/>
      <family val="2"/>
      <scheme val="minor"/>
    </font>
    <font>
      <sz val="10"/>
      <color theme="1"/>
      <name val="Cambria"/>
      <family val="2"/>
      <scheme val="major"/>
    </font>
    <font>
      <sz val="9"/>
      <color theme="1"/>
      <name val="Cambria"/>
      <family val="2"/>
      <scheme val="major"/>
    </font>
    <font>
      <sz val="10"/>
      <color theme="1"/>
      <name val="Calibri"/>
      <family val="2"/>
      <scheme val="minor"/>
    </font>
    <font>
      <sz val="10"/>
      <color theme="3"/>
      <name val="Calibri"/>
      <family val="2"/>
      <scheme val="minor"/>
    </font>
    <font>
      <sz val="10"/>
      <name val="Arial"/>
      <family val="2"/>
    </font>
    <font>
      <sz val="10"/>
      <color theme="1"/>
      <name val="Cambria"/>
      <family val="1"/>
      <scheme val="major"/>
    </font>
    <font>
      <b/>
      <sz val="10"/>
      <color theme="0"/>
      <name val="Cambria"/>
      <family val="1"/>
      <scheme val="major"/>
    </font>
    <font>
      <sz val="10"/>
      <color rgb="FF333333"/>
      <name val="Cambria"/>
      <family val="1"/>
      <scheme val="major"/>
    </font>
    <font>
      <sz val="10"/>
      <name val="Cambria"/>
      <family val="1"/>
      <scheme val="major"/>
    </font>
    <font>
      <sz val="11"/>
      <color theme="1"/>
      <name val="Cambria"/>
      <family val="1"/>
      <scheme val="major"/>
    </font>
    <font>
      <sz val="12"/>
      <color theme="1"/>
      <name val="Cambria"/>
      <family val="1"/>
      <scheme val="major"/>
    </font>
    <font>
      <sz val="11"/>
      <name val="Cambria"/>
      <family val="1"/>
      <scheme val="major"/>
    </font>
    <font>
      <sz val="10"/>
      <color rgb="FFFF0000"/>
      <name val="Cambria"/>
      <family val="1"/>
      <scheme val="major"/>
    </font>
    <font>
      <b/>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3" tint="0.39997558519241921"/>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diagonal/>
    </border>
    <border>
      <left/>
      <right/>
      <top/>
      <bottom style="thin">
        <color auto="1"/>
      </bottom>
      <diagonal/>
    </border>
  </borders>
  <cellStyleXfs count="8">
    <xf numFmtId="0" fontId="0" fillId="0" borderId="0"/>
    <xf numFmtId="0" fontId="1" fillId="0" borderId="0"/>
    <xf numFmtId="43" fontId="1" fillId="0" borderId="0" applyFont="0" applyFill="0" applyBorder="0" applyAlignment="0" applyProtection="0"/>
    <xf numFmtId="0" fontId="5" fillId="0" borderId="0" applyNumberFormat="0" applyFill="0">
      <alignment horizontal="center" vertical="center" wrapText="1"/>
    </xf>
    <xf numFmtId="164" fontId="6" fillId="0" borderId="0" applyFont="0" applyFill="0" applyBorder="0" applyAlignment="0" applyProtection="0"/>
    <xf numFmtId="0" fontId="5" fillId="0" borderId="0" applyNumberFormat="0" applyFill="0">
      <alignment horizontal="center" vertical="center" wrapText="1"/>
    </xf>
    <xf numFmtId="43" fontId="1" fillId="0" borderId="0" applyFont="0" applyFill="0" applyBorder="0" applyAlignment="0" applyProtection="0"/>
    <xf numFmtId="43" fontId="1" fillId="0" borderId="0" applyFont="0" applyFill="0" applyBorder="0" applyAlignment="0" applyProtection="0"/>
  </cellStyleXfs>
  <cellXfs count="69">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left" vertical="center" wrapText="1"/>
    </xf>
    <xf numFmtId="0" fontId="2" fillId="0" borderId="0" xfId="0" applyFont="1" applyBorder="1" applyAlignment="1">
      <alignment horizontal="left" vertical="center" wrapText="1"/>
    </xf>
    <xf numFmtId="0" fontId="3" fillId="2"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4" fillId="0" borderId="0" xfId="0" applyFont="1"/>
    <xf numFmtId="0" fontId="7" fillId="2" borderId="2" xfId="0" applyFont="1" applyFill="1" applyBorder="1" applyAlignment="1">
      <alignment horizontal="left" vertical="top" wrapText="1"/>
    </xf>
    <xf numFmtId="0" fontId="4" fillId="0" borderId="0" xfId="0" applyFont="1" applyAlignment="1">
      <alignment vertical="center"/>
    </xf>
    <xf numFmtId="0" fontId="0" fillId="0" borderId="2" xfId="0" applyBorder="1"/>
    <xf numFmtId="0" fontId="0" fillId="0" borderId="0" xfId="0" applyFill="1" applyBorder="1" applyAlignment="1">
      <alignment horizontal="center" vertical="center" wrapText="1"/>
    </xf>
    <xf numFmtId="0" fontId="0" fillId="0" borderId="0" xfId="0" applyBorder="1"/>
    <xf numFmtId="0" fontId="0" fillId="0" borderId="0" xfId="0" applyFill="1" applyBorder="1" applyAlignment="1">
      <alignment horizontal="left" vertical="center" wrapText="1"/>
    </xf>
    <xf numFmtId="0" fontId="2"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0" fillId="0" borderId="0" xfId="0" applyFill="1" applyBorder="1"/>
    <xf numFmtId="17" fontId="13" fillId="0" borderId="2" xfId="0" applyNumberFormat="1" applyFont="1" applyBorder="1" applyAlignment="1">
      <alignment horizontal="center" vertical="center"/>
    </xf>
    <xf numFmtId="17" fontId="11" fillId="0" borderId="2" xfId="0" applyNumberFormat="1" applyFont="1" applyBorder="1" applyAlignment="1">
      <alignment horizontal="center" vertical="center"/>
    </xf>
    <xf numFmtId="0" fontId="7"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7" fillId="0" borderId="2" xfId="0" applyFont="1" applyBorder="1" applyAlignment="1">
      <alignment horizontal="center" vertical="center"/>
    </xf>
    <xf numFmtId="0" fontId="9" fillId="2" borderId="2"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43" fontId="7" fillId="2" borderId="2" xfId="7" applyFont="1" applyFill="1" applyBorder="1" applyAlignment="1">
      <alignment horizontal="right" vertical="center" wrapText="1"/>
    </xf>
    <xf numFmtId="43" fontId="7" fillId="2" borderId="2" xfId="7" applyFont="1" applyFill="1" applyBorder="1" applyAlignment="1">
      <alignment horizontal="left" vertical="center" wrapText="1"/>
    </xf>
    <xf numFmtId="43" fontId="7" fillId="2" borderId="2" xfId="7" applyFont="1" applyFill="1" applyBorder="1" applyAlignment="1">
      <alignment vertical="center" wrapText="1"/>
    </xf>
    <xf numFmtId="0" fontId="7" fillId="0" borderId="2" xfId="0" applyFont="1" applyBorder="1" applyAlignment="1">
      <alignment horizontal="left" vertical="center" wrapText="1"/>
    </xf>
    <xf numFmtId="0" fontId="7" fillId="0" borderId="2" xfId="0" applyFont="1" applyFill="1" applyBorder="1" applyAlignment="1">
      <alignment horizontal="left" vertical="center" wrapText="1"/>
    </xf>
    <xf numFmtId="0" fontId="7" fillId="0" borderId="2" xfId="0" applyFont="1" applyBorder="1" applyAlignment="1">
      <alignment horizontal="center" vertical="center" wrapText="1"/>
    </xf>
    <xf numFmtId="4" fontId="10" fillId="4" borderId="2" xfId="0" applyNumberFormat="1" applyFont="1" applyFill="1" applyBorder="1" applyAlignment="1">
      <alignment horizontal="right" vertical="center" wrapText="1"/>
    </xf>
    <xf numFmtId="4" fontId="10" fillId="2" borderId="2" xfId="0" applyNumberFormat="1" applyFont="1" applyFill="1" applyBorder="1" applyAlignment="1">
      <alignment horizontal="right" vertical="center" wrapText="1"/>
    </xf>
    <xf numFmtId="0" fontId="10" fillId="4" borderId="3"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7" fillId="0" borderId="1" xfId="0" applyFont="1" applyBorder="1" applyAlignment="1">
      <alignment horizontal="center" vertical="center" wrapText="1"/>
    </xf>
    <xf numFmtId="0" fontId="7"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11" fillId="2" borderId="2" xfId="0" applyFont="1" applyFill="1" applyBorder="1" applyAlignment="1">
      <alignment horizontal="center" vertical="center"/>
    </xf>
    <xf numFmtId="0" fontId="10" fillId="0" borderId="2" xfId="0" applyFont="1" applyBorder="1" applyAlignment="1">
      <alignment horizontal="center" vertical="center" wrapText="1"/>
    </xf>
    <xf numFmtId="0" fontId="10" fillId="2" borderId="2" xfId="0" applyFont="1" applyFill="1" applyBorder="1" applyAlignment="1">
      <alignment horizontal="center" vertical="center" wrapText="1"/>
    </xf>
    <xf numFmtId="43" fontId="10" fillId="2" borderId="2" xfId="7" applyFont="1" applyFill="1" applyBorder="1" applyAlignment="1">
      <alignment horizontal="left" vertical="center" wrapText="1"/>
    </xf>
    <xf numFmtId="4" fontId="7" fillId="2" borderId="2" xfId="7" applyNumberFormat="1" applyFont="1" applyFill="1" applyBorder="1" applyAlignment="1">
      <alignment horizontal="right" vertical="center" wrapText="1"/>
    </xf>
    <xf numFmtId="4" fontId="7" fillId="0" borderId="2" xfId="7" applyNumberFormat="1" applyFont="1" applyFill="1" applyBorder="1" applyAlignment="1">
      <alignment horizontal="right" vertical="center" wrapText="1"/>
    </xf>
    <xf numFmtId="4" fontId="7" fillId="0" borderId="1" xfId="0" applyNumberFormat="1" applyFont="1" applyBorder="1" applyAlignment="1">
      <alignment horizontal="right" vertical="center" wrapText="1"/>
    </xf>
    <xf numFmtId="4" fontId="7" fillId="0" borderId="2" xfId="0" applyNumberFormat="1" applyFont="1" applyBorder="1" applyAlignment="1">
      <alignment horizontal="right" vertical="center" wrapText="1"/>
    </xf>
    <xf numFmtId="43" fontId="7" fillId="2" borderId="2" xfId="7" applyNumberFormat="1" applyFont="1" applyFill="1" applyBorder="1" applyAlignment="1">
      <alignment horizontal="right" vertical="center"/>
    </xf>
    <xf numFmtId="4" fontId="7" fillId="2" borderId="2" xfId="0" applyNumberFormat="1" applyFont="1" applyFill="1" applyBorder="1" applyAlignment="1">
      <alignment horizontal="right" vertical="center" wrapText="1"/>
    </xf>
    <xf numFmtId="4" fontId="7" fillId="2" borderId="5" xfId="0" applyNumberFormat="1" applyFont="1" applyFill="1" applyBorder="1" applyAlignment="1">
      <alignment horizontal="right" vertical="center" wrapText="1"/>
    </xf>
    <xf numFmtId="43" fontId="7" fillId="0" borderId="2" xfId="7" applyFont="1" applyFill="1" applyBorder="1" applyAlignment="1">
      <alignment horizontal="right" vertical="center" wrapText="1"/>
    </xf>
    <xf numFmtId="0" fontId="10" fillId="0" borderId="2" xfId="0" applyFont="1" applyBorder="1" applyAlignment="1">
      <alignment horizontal="left" vertical="center" wrapText="1"/>
    </xf>
    <xf numFmtId="14" fontId="10" fillId="0" borderId="2" xfId="1" applyNumberFormat="1" applyFont="1" applyFill="1" applyBorder="1" applyAlignment="1">
      <alignment horizontal="left" vertical="center" wrapText="1"/>
    </xf>
    <xf numFmtId="0" fontId="10" fillId="0"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43" fontId="7" fillId="2" borderId="1" xfId="7" applyFont="1" applyFill="1" applyBorder="1" applyAlignment="1">
      <alignment vertical="center" wrapText="1"/>
    </xf>
    <xf numFmtId="17" fontId="13" fillId="2" borderId="2" xfId="0" applyNumberFormat="1" applyFont="1" applyFill="1" applyBorder="1" applyAlignment="1">
      <alignment horizontal="center" vertical="center"/>
    </xf>
    <xf numFmtId="43" fontId="0" fillId="2" borderId="0" xfId="7" applyFont="1" applyFill="1" applyBorder="1" applyAlignment="1">
      <alignment vertical="center"/>
    </xf>
    <xf numFmtId="0" fontId="0" fillId="0" borderId="0" xfId="0" applyAlignment="1"/>
    <xf numFmtId="0" fontId="8" fillId="5" borderId="1" xfId="0" applyFont="1" applyFill="1" applyBorder="1" applyAlignment="1">
      <alignment horizontal="center" vertical="center" wrapText="1"/>
    </xf>
    <xf numFmtId="4" fontId="0" fillId="0" borderId="0" xfId="0" applyNumberFormat="1" applyBorder="1"/>
    <xf numFmtId="0" fontId="0" fillId="6" borderId="0" xfId="0" applyFill="1" applyAlignment="1"/>
    <xf numFmtId="0" fontId="0" fillId="6" borderId="6" xfId="0" applyFill="1" applyBorder="1" applyAlignment="1"/>
    <xf numFmtId="0" fontId="15" fillId="6" borderId="0" xfId="0" applyFont="1" applyFill="1" applyAlignment="1">
      <alignment horizontal="center"/>
    </xf>
  </cellXfs>
  <cellStyles count="8">
    <cellStyle name="Milliers" xfId="7" builtinId="3"/>
    <cellStyle name="Milliers 10" xfId="6"/>
    <cellStyle name="Milliers 2" xfId="2"/>
    <cellStyle name="Milliers 7" xfId="4"/>
    <cellStyle name="Normal" xfId="0" builtinId="0"/>
    <cellStyle name="Normal 13" xfId="3"/>
    <cellStyle name="Normal 5" xfId="1"/>
    <cellStyle name="Normal 8" xfId="5"/>
  </cellStyles>
  <dxfs count="8">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2676550</xdr:colOff>
      <xdr:row>1</xdr:row>
      <xdr:rowOff>47625</xdr:rowOff>
    </xdr:from>
    <xdr:to>
      <xdr:col>3</xdr:col>
      <xdr:colOff>96167</xdr:colOff>
      <xdr:row>7</xdr:row>
      <xdr:rowOff>128625</xdr:rowOff>
    </xdr:to>
    <xdr:pic>
      <xdr:nvPicPr>
        <xdr:cNvPr id="6" name="Imag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8200" y="238125"/>
          <a:ext cx="1572517" cy="1224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taleb\Desktop\MENU%20PROFESSIONNEL\BUDGET%20AOO\SUIVI%20BUDGETAIRE%202025\BUDGET%20ENGAGEMENTS%20AOO-M-BC-CT%2017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ENGAGEMENTS 2025"/>
      <sheetName val="Archive 2023"/>
      <sheetName val="Archive 2022"/>
      <sheetName val="Archive 2021-2022"/>
      <sheetName val="BUDGET 2024"/>
      <sheetName val="Fiche FONC"/>
      <sheetName val="Fiche INV"/>
      <sheetName val="Fiche INV-DTSI"/>
    </sheetNames>
    <sheetDataSet>
      <sheetData sheetId="0">
        <row r="7">
          <cell r="A7" t="str">
            <v>FONCTIONNEMENT</v>
          </cell>
        </row>
        <row r="113">
          <cell r="A113" t="str">
            <v>NON ATTRIBUE</v>
          </cell>
        </row>
        <row r="115">
          <cell r="A115" t="str">
            <v>INFRUCTUEUX</v>
          </cell>
        </row>
        <row r="116">
          <cell r="A116" t="str">
            <v>ANNULE</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59"/>
  <sheetViews>
    <sheetView tabSelected="1" zoomScaleNormal="100" workbookViewId="0">
      <selection activeCell="F32" sqref="F32"/>
    </sheetView>
  </sheetViews>
  <sheetFormatPr baseColWidth="10" defaultColWidth="9.140625" defaultRowHeight="15" x14ac:dyDescent="0.25"/>
  <cols>
    <col min="1" max="1" width="26.5703125" customWidth="1"/>
    <col min="2" max="2" width="48.5703125" style="7" customWidth="1"/>
    <col min="3" max="3" width="13.7109375" style="9" customWidth="1"/>
    <col min="4" max="4" width="19.28515625" customWidth="1"/>
    <col min="5" max="5" width="16.7109375" style="7" customWidth="1"/>
    <col min="6" max="6" width="19.140625" customWidth="1"/>
    <col min="7" max="7" width="14.140625" customWidth="1"/>
    <col min="8" max="8" width="14.5703125" style="16" customWidth="1"/>
    <col min="9" max="9" width="10.7109375" style="16" bestFit="1" customWidth="1"/>
    <col min="10" max="22" width="9.140625" style="16"/>
  </cols>
  <sheetData>
    <row r="1" spans="1:22" x14ac:dyDescent="0.25">
      <c r="A1" s="68" t="s">
        <v>231</v>
      </c>
      <c r="B1" s="68"/>
      <c r="C1" s="68"/>
      <c r="D1" s="68"/>
      <c r="E1" s="68"/>
      <c r="F1" s="68"/>
      <c r="G1" s="68"/>
      <c r="H1" s="63"/>
    </row>
    <row r="2" spans="1:22" x14ac:dyDescent="0.25">
      <c r="A2" s="66"/>
      <c r="B2" s="66"/>
      <c r="C2" s="66"/>
      <c r="D2" s="66"/>
      <c r="E2" s="66"/>
      <c r="F2" s="66"/>
      <c r="G2" s="66"/>
    </row>
    <row r="3" spans="1:22" x14ac:dyDescent="0.25">
      <c r="A3" s="66"/>
      <c r="B3" s="66"/>
      <c r="C3" s="66"/>
      <c r="D3" s="66"/>
      <c r="E3" s="66"/>
      <c r="F3" s="66"/>
      <c r="G3" s="66"/>
    </row>
    <row r="4" spans="1:22" x14ac:dyDescent="0.25">
      <c r="A4" s="66"/>
      <c r="B4" s="66"/>
      <c r="C4" s="66"/>
      <c r="D4" s="66"/>
      <c r="E4" s="66"/>
      <c r="F4" s="66"/>
      <c r="G4" s="66"/>
    </row>
    <row r="5" spans="1:22" x14ac:dyDescent="0.25">
      <c r="A5" s="66"/>
      <c r="B5" s="66"/>
      <c r="C5" s="66"/>
      <c r="D5" s="66"/>
      <c r="E5" s="66"/>
      <c r="F5" s="66"/>
      <c r="G5" s="66"/>
    </row>
    <row r="6" spans="1:22" x14ac:dyDescent="0.25">
      <c r="A6" s="66"/>
      <c r="B6" s="66"/>
      <c r="C6" s="66"/>
      <c r="D6" s="66"/>
      <c r="E6" s="66"/>
      <c r="F6" s="66"/>
      <c r="G6" s="66"/>
    </row>
    <row r="7" spans="1:22" x14ac:dyDescent="0.25">
      <c r="A7" s="66"/>
      <c r="B7" s="66"/>
      <c r="C7" s="66"/>
      <c r="D7" s="66"/>
      <c r="E7" s="66"/>
      <c r="F7" s="66"/>
      <c r="G7" s="66"/>
    </row>
    <row r="8" spans="1:22" x14ac:dyDescent="0.25">
      <c r="A8" s="67"/>
      <c r="B8" s="67"/>
      <c r="C8" s="67"/>
      <c r="D8" s="67"/>
      <c r="E8" s="67"/>
      <c r="F8" s="67"/>
      <c r="G8" s="67"/>
    </row>
    <row r="9" spans="1:22" s="1" customFormat="1" ht="47.25" customHeight="1" x14ac:dyDescent="0.25">
      <c r="A9" s="64" t="s">
        <v>197</v>
      </c>
      <c r="B9" s="64" t="s">
        <v>198</v>
      </c>
      <c r="C9" s="64" t="s">
        <v>199</v>
      </c>
      <c r="D9" s="64" t="s">
        <v>200</v>
      </c>
      <c r="E9" s="64" t="s">
        <v>202</v>
      </c>
      <c r="F9" s="64" t="s">
        <v>205</v>
      </c>
      <c r="G9" s="64" t="s">
        <v>230</v>
      </c>
      <c r="H9" s="64" t="s">
        <v>201</v>
      </c>
      <c r="I9" s="11"/>
      <c r="J9" s="11"/>
      <c r="K9" s="11"/>
      <c r="L9" s="11"/>
      <c r="M9" s="11"/>
      <c r="N9" s="11"/>
      <c r="O9" s="11"/>
      <c r="P9" s="11"/>
      <c r="Q9" s="11"/>
      <c r="R9" s="11"/>
      <c r="S9" s="11"/>
      <c r="T9" s="11"/>
      <c r="U9" s="11"/>
      <c r="V9" s="11"/>
    </row>
    <row r="10" spans="1:22" s="2" customFormat="1" ht="37.5" customHeight="1" x14ac:dyDescent="0.25">
      <c r="A10" s="23" t="s">
        <v>171</v>
      </c>
      <c r="B10" s="23" t="s">
        <v>0</v>
      </c>
      <c r="C10" s="19" t="s">
        <v>1</v>
      </c>
      <c r="D10" s="20" t="s">
        <v>144</v>
      </c>
      <c r="E10" s="19" t="s">
        <v>48</v>
      </c>
      <c r="F10" s="19" t="s">
        <v>2</v>
      </c>
      <c r="G10" s="19" t="s">
        <v>3</v>
      </c>
      <c r="H10" s="45">
        <v>1800000</v>
      </c>
      <c r="I10" s="11"/>
      <c r="J10" s="11"/>
      <c r="K10" s="11"/>
      <c r="L10" s="11"/>
      <c r="M10" s="11"/>
      <c r="N10" s="11"/>
      <c r="O10" s="11"/>
      <c r="P10" s="11"/>
      <c r="Q10" s="11"/>
      <c r="R10" s="11"/>
      <c r="S10" s="11"/>
      <c r="T10" s="11"/>
      <c r="U10" s="11"/>
      <c r="V10" s="11"/>
    </row>
    <row r="11" spans="1:22" s="3" customFormat="1" ht="39.75" customHeight="1" x14ac:dyDescent="0.25">
      <c r="A11" s="23" t="s">
        <v>171</v>
      </c>
      <c r="B11" s="23" t="s">
        <v>4</v>
      </c>
      <c r="C11" s="19" t="s">
        <v>1</v>
      </c>
      <c r="D11" s="20" t="s">
        <v>144</v>
      </c>
      <c r="E11" s="19" t="s">
        <v>47</v>
      </c>
      <c r="F11" s="19" t="s">
        <v>219</v>
      </c>
      <c r="G11" s="19" t="s">
        <v>3</v>
      </c>
      <c r="H11" s="45">
        <v>2755000</v>
      </c>
      <c r="I11" s="13"/>
      <c r="J11" s="13"/>
      <c r="K11" s="13"/>
      <c r="L11" s="13"/>
      <c r="M11" s="13"/>
      <c r="N11" s="13"/>
      <c r="O11" s="13"/>
      <c r="P11" s="13"/>
      <c r="Q11" s="13"/>
      <c r="R11" s="13"/>
      <c r="S11" s="13"/>
      <c r="T11" s="13"/>
      <c r="U11" s="13"/>
      <c r="V11" s="13"/>
    </row>
    <row r="12" spans="1:22" s="3" customFormat="1" ht="41.25" customHeight="1" x14ac:dyDescent="0.25">
      <c r="A12" s="23" t="s">
        <v>171</v>
      </c>
      <c r="B12" s="23" t="s">
        <v>6</v>
      </c>
      <c r="C12" s="19" t="s">
        <v>1</v>
      </c>
      <c r="D12" s="20" t="s">
        <v>144</v>
      </c>
      <c r="E12" s="19" t="s">
        <v>47</v>
      </c>
      <c r="F12" s="19" t="s">
        <v>219</v>
      </c>
      <c r="G12" s="19" t="s">
        <v>3</v>
      </c>
      <c r="H12" s="45">
        <v>1000000</v>
      </c>
      <c r="I12" s="13"/>
      <c r="J12" s="13"/>
      <c r="K12" s="13"/>
      <c r="L12" s="13"/>
      <c r="M12" s="13"/>
      <c r="N12" s="13"/>
      <c r="O12" s="13"/>
      <c r="P12" s="13"/>
      <c r="Q12" s="13"/>
      <c r="R12" s="13"/>
      <c r="S12" s="13"/>
      <c r="T12" s="13"/>
      <c r="U12" s="13"/>
      <c r="V12" s="13"/>
    </row>
    <row r="13" spans="1:22" s="2" customFormat="1" ht="38.25" customHeight="1" x14ac:dyDescent="0.25">
      <c r="A13" s="23" t="s">
        <v>171</v>
      </c>
      <c r="B13" s="54" t="s">
        <v>7</v>
      </c>
      <c r="C13" s="19" t="s">
        <v>1</v>
      </c>
      <c r="D13" s="20" t="s">
        <v>144</v>
      </c>
      <c r="E13" s="19" t="s">
        <v>48</v>
      </c>
      <c r="F13" s="19" t="s">
        <v>219</v>
      </c>
      <c r="G13" s="19" t="s">
        <v>8</v>
      </c>
      <c r="H13" s="45">
        <v>3500000</v>
      </c>
      <c r="I13" s="11"/>
      <c r="J13" s="11"/>
      <c r="K13" s="11"/>
      <c r="L13" s="11"/>
      <c r="M13" s="11"/>
      <c r="N13" s="11"/>
      <c r="O13" s="11"/>
      <c r="P13" s="11"/>
      <c r="Q13" s="11"/>
      <c r="R13" s="11"/>
      <c r="S13" s="11"/>
      <c r="T13" s="11"/>
      <c r="U13" s="11"/>
      <c r="V13" s="11"/>
    </row>
    <row r="14" spans="1:22" s="3" customFormat="1" ht="31.5" customHeight="1" x14ac:dyDescent="0.25">
      <c r="A14" s="23" t="s">
        <v>171</v>
      </c>
      <c r="B14" s="29" t="s">
        <v>9</v>
      </c>
      <c r="C14" s="30" t="s">
        <v>1</v>
      </c>
      <c r="D14" s="20" t="s">
        <v>144</v>
      </c>
      <c r="E14" s="30" t="s">
        <v>47</v>
      </c>
      <c r="F14" s="30" t="s">
        <v>2</v>
      </c>
      <c r="G14" s="30" t="s">
        <v>3</v>
      </c>
      <c r="H14" s="46">
        <v>800000</v>
      </c>
      <c r="I14" s="13"/>
      <c r="J14" s="13"/>
      <c r="K14" s="13"/>
      <c r="L14" s="13"/>
      <c r="M14" s="13"/>
      <c r="N14" s="13"/>
      <c r="O14" s="13"/>
      <c r="P14" s="13"/>
      <c r="Q14" s="13"/>
      <c r="R14" s="13"/>
      <c r="S14" s="13"/>
      <c r="T14" s="13"/>
      <c r="U14" s="13"/>
      <c r="V14" s="13"/>
    </row>
    <row r="15" spans="1:22" s="3" customFormat="1" ht="39.75" customHeight="1" x14ac:dyDescent="0.25">
      <c r="A15" s="23" t="s">
        <v>171</v>
      </c>
      <c r="B15" s="23" t="s">
        <v>10</v>
      </c>
      <c r="C15" s="19" t="s">
        <v>1</v>
      </c>
      <c r="D15" s="20" t="s">
        <v>144</v>
      </c>
      <c r="E15" s="19" t="s">
        <v>48</v>
      </c>
      <c r="F15" s="19" t="s">
        <v>219</v>
      </c>
      <c r="G15" s="30" t="s">
        <v>3</v>
      </c>
      <c r="H15" s="45">
        <v>1000000</v>
      </c>
      <c r="I15" s="13"/>
      <c r="J15" s="13"/>
      <c r="K15" s="13"/>
      <c r="L15" s="13"/>
      <c r="M15" s="13"/>
      <c r="N15" s="13"/>
      <c r="O15" s="13"/>
      <c r="P15" s="13"/>
      <c r="Q15" s="13"/>
      <c r="R15" s="13"/>
      <c r="S15" s="13"/>
      <c r="T15" s="13"/>
      <c r="U15" s="13"/>
      <c r="V15" s="13"/>
    </row>
    <row r="16" spans="1:22" s="3" customFormat="1" ht="40.5" customHeight="1" x14ac:dyDescent="0.25">
      <c r="A16" s="23" t="s">
        <v>171</v>
      </c>
      <c r="B16" s="28" t="s">
        <v>11</v>
      </c>
      <c r="C16" s="38" t="s">
        <v>1</v>
      </c>
      <c r="D16" s="20" t="s">
        <v>144</v>
      </c>
      <c r="E16" s="38" t="s">
        <v>48</v>
      </c>
      <c r="F16" s="38" t="s">
        <v>2</v>
      </c>
      <c r="G16" s="30" t="s">
        <v>3</v>
      </c>
      <c r="H16" s="47">
        <v>1200000</v>
      </c>
      <c r="I16" s="13"/>
      <c r="J16" s="13"/>
      <c r="K16" s="13"/>
      <c r="L16" s="13"/>
      <c r="M16" s="13"/>
      <c r="N16" s="13"/>
      <c r="O16" s="13"/>
      <c r="P16" s="13"/>
      <c r="Q16" s="13"/>
      <c r="R16" s="13"/>
      <c r="S16" s="13"/>
      <c r="T16" s="13"/>
      <c r="U16" s="13"/>
      <c r="V16" s="13"/>
    </row>
    <row r="17" spans="1:22" s="3" customFormat="1" ht="25.5" x14ac:dyDescent="0.25">
      <c r="A17" s="23" t="s">
        <v>171</v>
      </c>
      <c r="B17" s="23" t="s">
        <v>12</v>
      </c>
      <c r="C17" s="19" t="s">
        <v>1</v>
      </c>
      <c r="D17" s="20" t="s">
        <v>144</v>
      </c>
      <c r="E17" s="19" t="s">
        <v>47</v>
      </c>
      <c r="F17" s="19" t="s">
        <v>2</v>
      </c>
      <c r="G17" s="30" t="s">
        <v>3</v>
      </c>
      <c r="H17" s="45">
        <v>6500000</v>
      </c>
      <c r="I17" s="13"/>
      <c r="J17" s="13"/>
      <c r="K17" s="13"/>
      <c r="L17" s="13"/>
      <c r="M17" s="13"/>
      <c r="N17" s="13"/>
      <c r="O17" s="13"/>
      <c r="P17" s="13"/>
      <c r="Q17" s="13"/>
      <c r="R17" s="13"/>
      <c r="S17" s="13"/>
      <c r="T17" s="13"/>
      <c r="U17" s="13"/>
      <c r="V17" s="13"/>
    </row>
    <row r="18" spans="1:22" s="3" customFormat="1" ht="25.5" x14ac:dyDescent="0.25">
      <c r="A18" s="23" t="s">
        <v>171</v>
      </c>
      <c r="B18" s="23" t="s">
        <v>13</v>
      </c>
      <c r="C18" s="19" t="s">
        <v>1</v>
      </c>
      <c r="D18" s="20" t="s">
        <v>144</v>
      </c>
      <c r="E18" s="19" t="s">
        <v>47</v>
      </c>
      <c r="F18" s="19" t="s">
        <v>2</v>
      </c>
      <c r="G18" s="30" t="s">
        <v>3</v>
      </c>
      <c r="H18" s="45">
        <v>6500000</v>
      </c>
      <c r="I18" s="13"/>
      <c r="J18" s="13"/>
      <c r="K18" s="13"/>
      <c r="L18" s="13"/>
      <c r="M18" s="13"/>
      <c r="N18" s="13"/>
      <c r="O18" s="13"/>
      <c r="P18" s="13"/>
      <c r="Q18" s="13"/>
      <c r="R18" s="13"/>
      <c r="S18" s="13"/>
      <c r="T18" s="13"/>
      <c r="U18" s="13"/>
      <c r="V18" s="13"/>
    </row>
    <row r="19" spans="1:22" s="3" customFormat="1" ht="25.5" x14ac:dyDescent="0.25">
      <c r="A19" s="23" t="s">
        <v>171</v>
      </c>
      <c r="B19" s="23" t="s">
        <v>14</v>
      </c>
      <c r="C19" s="19" t="s">
        <v>1</v>
      </c>
      <c r="D19" s="20" t="s">
        <v>144</v>
      </c>
      <c r="E19" s="19" t="s">
        <v>48</v>
      </c>
      <c r="F19" s="19" t="s">
        <v>2</v>
      </c>
      <c r="G19" s="30" t="s">
        <v>3</v>
      </c>
      <c r="H19" s="45">
        <v>1600000</v>
      </c>
      <c r="I19" s="13"/>
      <c r="J19" s="13"/>
      <c r="K19" s="13"/>
      <c r="L19" s="13"/>
      <c r="M19" s="13"/>
      <c r="N19" s="13"/>
      <c r="O19" s="13"/>
      <c r="P19" s="13"/>
      <c r="Q19" s="13"/>
      <c r="R19" s="13"/>
      <c r="S19" s="13"/>
      <c r="T19" s="13"/>
      <c r="U19" s="13"/>
      <c r="V19" s="13"/>
    </row>
    <row r="20" spans="1:22" s="3" customFormat="1" ht="25.5" x14ac:dyDescent="0.25">
      <c r="A20" s="23" t="s">
        <v>171</v>
      </c>
      <c r="B20" s="28" t="s">
        <v>15</v>
      </c>
      <c r="C20" s="30" t="s">
        <v>1</v>
      </c>
      <c r="D20" s="20" t="s">
        <v>144</v>
      </c>
      <c r="E20" s="30" t="s">
        <v>48</v>
      </c>
      <c r="F20" s="30" t="s">
        <v>2</v>
      </c>
      <c r="G20" s="30" t="s">
        <v>3</v>
      </c>
      <c r="H20" s="48">
        <v>3500000</v>
      </c>
      <c r="I20" s="13"/>
      <c r="J20" s="13"/>
      <c r="K20" s="13"/>
      <c r="L20" s="13"/>
      <c r="M20" s="13"/>
      <c r="N20" s="13"/>
      <c r="O20" s="13"/>
      <c r="P20" s="13"/>
      <c r="Q20" s="13"/>
      <c r="R20" s="13"/>
      <c r="S20" s="13"/>
      <c r="T20" s="13"/>
      <c r="U20" s="13"/>
      <c r="V20" s="13"/>
    </row>
    <row r="21" spans="1:22" s="3" customFormat="1" ht="38.25" x14ac:dyDescent="0.25">
      <c r="A21" s="23" t="s">
        <v>171</v>
      </c>
      <c r="B21" s="23" t="s">
        <v>16</v>
      </c>
      <c r="C21" s="19" t="s">
        <v>1</v>
      </c>
      <c r="D21" s="20" t="s">
        <v>144</v>
      </c>
      <c r="E21" s="19" t="s">
        <v>47</v>
      </c>
      <c r="F21" s="19" t="s">
        <v>2</v>
      </c>
      <c r="G21" s="30" t="s">
        <v>3</v>
      </c>
      <c r="H21" s="45">
        <v>1100000</v>
      </c>
      <c r="I21" s="13"/>
      <c r="J21" s="13"/>
      <c r="K21" s="13"/>
      <c r="L21" s="13"/>
      <c r="M21" s="13"/>
      <c r="N21" s="13"/>
      <c r="O21" s="13"/>
      <c r="P21" s="13"/>
      <c r="Q21" s="13"/>
      <c r="R21" s="13"/>
      <c r="S21" s="13"/>
      <c r="T21" s="13"/>
      <c r="U21" s="13"/>
      <c r="V21" s="13"/>
    </row>
    <row r="22" spans="1:22" s="3" customFormat="1" ht="44.25" customHeight="1" x14ac:dyDescent="0.25">
      <c r="A22" s="23" t="s">
        <v>171</v>
      </c>
      <c r="B22" s="23" t="s">
        <v>17</v>
      </c>
      <c r="C22" s="19" t="s">
        <v>44</v>
      </c>
      <c r="D22" s="20" t="s">
        <v>144</v>
      </c>
      <c r="E22" s="19" t="s">
        <v>47</v>
      </c>
      <c r="F22" s="19" t="s">
        <v>5</v>
      </c>
      <c r="G22" s="19" t="s">
        <v>8</v>
      </c>
      <c r="H22" s="45">
        <v>500000</v>
      </c>
      <c r="I22" s="13"/>
      <c r="J22" s="13"/>
      <c r="K22" s="13"/>
      <c r="L22" s="13"/>
      <c r="M22" s="13"/>
      <c r="N22" s="13"/>
      <c r="O22" s="13"/>
      <c r="P22" s="13"/>
      <c r="Q22" s="13"/>
      <c r="R22" s="13"/>
      <c r="S22" s="13"/>
      <c r="T22" s="13"/>
      <c r="U22" s="13"/>
      <c r="V22" s="13"/>
    </row>
    <row r="23" spans="1:22" s="4" customFormat="1" ht="37.5" customHeight="1" x14ac:dyDescent="0.25">
      <c r="A23" s="23" t="s">
        <v>171</v>
      </c>
      <c r="B23" s="28" t="s">
        <v>18</v>
      </c>
      <c r="C23" s="30" t="s">
        <v>44</v>
      </c>
      <c r="D23" s="20" t="s">
        <v>144</v>
      </c>
      <c r="E23" s="19" t="s">
        <v>47</v>
      </c>
      <c r="F23" s="30" t="s">
        <v>19</v>
      </c>
      <c r="G23" s="19" t="s">
        <v>8</v>
      </c>
      <c r="H23" s="48">
        <v>2600000</v>
      </c>
      <c r="I23" s="14"/>
      <c r="J23" s="14"/>
      <c r="K23" s="14"/>
      <c r="L23" s="14"/>
      <c r="M23" s="14"/>
      <c r="N23" s="14"/>
      <c r="O23" s="14"/>
      <c r="P23" s="14"/>
      <c r="Q23" s="14"/>
      <c r="R23" s="14"/>
      <c r="S23" s="14"/>
      <c r="T23" s="14"/>
      <c r="U23" s="14"/>
      <c r="V23" s="14"/>
    </row>
    <row r="24" spans="1:22" s="3" customFormat="1" ht="43.5" customHeight="1" x14ac:dyDescent="0.25">
      <c r="A24" s="23" t="s">
        <v>171</v>
      </c>
      <c r="B24" s="28" t="s">
        <v>20</v>
      </c>
      <c r="C24" s="30" t="s">
        <v>44</v>
      </c>
      <c r="D24" s="20" t="s">
        <v>144</v>
      </c>
      <c r="E24" s="30" t="s">
        <v>48</v>
      </c>
      <c r="F24" s="19" t="s">
        <v>5</v>
      </c>
      <c r="G24" s="19" t="s">
        <v>8</v>
      </c>
      <c r="H24" s="48">
        <v>1800000</v>
      </c>
      <c r="I24" s="13"/>
      <c r="J24" s="13"/>
      <c r="K24" s="13"/>
      <c r="L24" s="13"/>
      <c r="M24" s="13"/>
      <c r="N24" s="13"/>
      <c r="O24" s="13"/>
      <c r="P24" s="13"/>
      <c r="Q24" s="13"/>
      <c r="R24" s="13"/>
      <c r="S24" s="13"/>
      <c r="T24" s="13"/>
      <c r="U24" s="13"/>
      <c r="V24" s="13"/>
    </row>
    <row r="25" spans="1:22" s="3" customFormat="1" ht="25.5" x14ac:dyDescent="0.25">
      <c r="A25" s="23" t="s">
        <v>171</v>
      </c>
      <c r="B25" s="23" t="s">
        <v>21</v>
      </c>
      <c r="C25" s="30" t="s">
        <v>44</v>
      </c>
      <c r="D25" s="20" t="s">
        <v>144</v>
      </c>
      <c r="E25" s="30" t="s">
        <v>47</v>
      </c>
      <c r="F25" s="19" t="s">
        <v>22</v>
      </c>
      <c r="G25" s="19" t="s">
        <v>8</v>
      </c>
      <c r="H25" s="48">
        <v>180000</v>
      </c>
      <c r="I25" s="13"/>
      <c r="J25" s="13"/>
      <c r="K25" s="13"/>
      <c r="L25" s="13"/>
      <c r="M25" s="13"/>
      <c r="N25" s="13"/>
      <c r="O25" s="13"/>
      <c r="P25" s="13"/>
      <c r="Q25" s="13"/>
      <c r="R25" s="13"/>
      <c r="S25" s="13"/>
      <c r="T25" s="13"/>
      <c r="U25" s="13"/>
      <c r="V25" s="13"/>
    </row>
    <row r="26" spans="1:22" s="3" customFormat="1" ht="38.25" x14ac:dyDescent="0.25">
      <c r="A26" s="23" t="s">
        <v>171</v>
      </c>
      <c r="B26" s="23" t="s">
        <v>23</v>
      </c>
      <c r="C26" s="39" t="s">
        <v>44</v>
      </c>
      <c r="D26" s="20" t="s">
        <v>144</v>
      </c>
      <c r="E26" s="39" t="s">
        <v>47</v>
      </c>
      <c r="F26" s="19" t="s">
        <v>24</v>
      </c>
      <c r="G26" s="19" t="s">
        <v>8</v>
      </c>
      <c r="H26" s="49">
        <v>4500000</v>
      </c>
      <c r="I26" s="13"/>
      <c r="J26" s="13"/>
      <c r="K26" s="13"/>
      <c r="L26" s="13"/>
      <c r="M26" s="13"/>
      <c r="N26" s="13"/>
      <c r="O26" s="13"/>
      <c r="P26" s="13"/>
      <c r="Q26" s="13"/>
      <c r="R26" s="13"/>
      <c r="S26" s="13"/>
      <c r="T26" s="13"/>
      <c r="U26" s="13"/>
      <c r="V26" s="13"/>
    </row>
    <row r="27" spans="1:22" s="5" customFormat="1" ht="38.25" x14ac:dyDescent="0.25">
      <c r="A27" s="23" t="s">
        <v>171</v>
      </c>
      <c r="B27" s="23" t="s">
        <v>25</v>
      </c>
      <c r="C27" s="19" t="s">
        <v>1</v>
      </c>
      <c r="D27" s="20" t="s">
        <v>144</v>
      </c>
      <c r="E27" s="19" t="s">
        <v>47</v>
      </c>
      <c r="F27" s="19" t="s">
        <v>50</v>
      </c>
      <c r="G27" s="19" t="s">
        <v>3</v>
      </c>
      <c r="H27" s="48">
        <v>4000000</v>
      </c>
      <c r="I27" s="15"/>
      <c r="J27" s="15"/>
      <c r="K27" s="15"/>
      <c r="L27" s="15"/>
      <c r="M27" s="15"/>
      <c r="N27" s="15"/>
      <c r="O27" s="15"/>
      <c r="P27" s="15"/>
      <c r="Q27" s="15"/>
      <c r="R27" s="15"/>
      <c r="S27" s="15"/>
      <c r="T27" s="15"/>
      <c r="U27" s="15"/>
      <c r="V27" s="15"/>
    </row>
    <row r="28" spans="1:22" s="5" customFormat="1" ht="38.25" x14ac:dyDescent="0.25">
      <c r="A28" s="23" t="s">
        <v>171</v>
      </c>
      <c r="B28" s="23" t="s">
        <v>26</v>
      </c>
      <c r="C28" s="19" t="s">
        <v>1</v>
      </c>
      <c r="D28" s="20" t="s">
        <v>144</v>
      </c>
      <c r="E28" s="19" t="s">
        <v>47</v>
      </c>
      <c r="F28" s="19" t="s">
        <v>51</v>
      </c>
      <c r="G28" s="19" t="s">
        <v>3</v>
      </c>
      <c r="H28" s="48">
        <v>4400000</v>
      </c>
      <c r="I28" s="15"/>
      <c r="J28" s="15"/>
      <c r="K28" s="15"/>
      <c r="L28" s="15"/>
      <c r="M28" s="15"/>
      <c r="N28" s="15"/>
      <c r="O28" s="15"/>
      <c r="P28" s="15"/>
      <c r="Q28" s="15"/>
      <c r="R28" s="15"/>
      <c r="S28" s="15"/>
      <c r="T28" s="15"/>
      <c r="U28" s="15"/>
      <c r="V28" s="15"/>
    </row>
    <row r="29" spans="1:22" s="5" customFormat="1" ht="75" customHeight="1" x14ac:dyDescent="0.25">
      <c r="A29" s="23" t="s">
        <v>171</v>
      </c>
      <c r="B29" s="23" t="s">
        <v>27</v>
      </c>
      <c r="C29" s="19" t="s">
        <v>1</v>
      </c>
      <c r="D29" s="20" t="s">
        <v>144</v>
      </c>
      <c r="E29" s="19" t="s">
        <v>48</v>
      </c>
      <c r="F29" s="19" t="s">
        <v>52</v>
      </c>
      <c r="G29" s="19" t="s">
        <v>3</v>
      </c>
      <c r="H29" s="48">
        <v>8000000</v>
      </c>
      <c r="I29" s="15"/>
      <c r="J29" s="15"/>
      <c r="K29" s="15"/>
      <c r="L29" s="15"/>
      <c r="M29" s="15"/>
      <c r="N29" s="15"/>
      <c r="O29" s="15"/>
      <c r="P29" s="15"/>
      <c r="Q29" s="15"/>
      <c r="R29" s="15"/>
      <c r="S29" s="15"/>
      <c r="T29" s="15"/>
      <c r="U29" s="15"/>
      <c r="V29" s="15"/>
    </row>
    <row r="30" spans="1:22" s="5" customFormat="1" ht="34.5" customHeight="1" x14ac:dyDescent="0.25">
      <c r="A30" s="23" t="s">
        <v>171</v>
      </c>
      <c r="B30" s="23" t="s">
        <v>183</v>
      </c>
      <c r="C30" s="21" t="s">
        <v>1</v>
      </c>
      <c r="D30" s="20" t="s">
        <v>144</v>
      </c>
      <c r="E30" s="19" t="s">
        <v>46</v>
      </c>
      <c r="F30" s="19" t="s">
        <v>53</v>
      </c>
      <c r="G30" s="19" t="s">
        <v>3</v>
      </c>
      <c r="H30" s="48">
        <v>979200</v>
      </c>
      <c r="I30" s="15"/>
      <c r="J30" s="15"/>
      <c r="K30" s="15"/>
      <c r="L30" s="15"/>
      <c r="M30" s="15"/>
      <c r="N30" s="15"/>
      <c r="O30" s="15"/>
      <c r="P30" s="15"/>
      <c r="Q30" s="15"/>
      <c r="R30" s="15"/>
      <c r="S30" s="15"/>
      <c r="T30" s="15"/>
      <c r="U30" s="15"/>
      <c r="V30" s="15"/>
    </row>
    <row r="31" spans="1:22" s="5" customFormat="1" ht="47.25" customHeight="1" x14ac:dyDescent="0.25">
      <c r="A31" s="23" t="s">
        <v>171</v>
      </c>
      <c r="B31" s="23" t="s">
        <v>181</v>
      </c>
      <c r="C31" s="21" t="s">
        <v>1</v>
      </c>
      <c r="D31" s="20" t="s">
        <v>144</v>
      </c>
      <c r="E31" s="19" t="s">
        <v>46</v>
      </c>
      <c r="F31" s="19" t="s">
        <v>182</v>
      </c>
      <c r="G31" s="19" t="s">
        <v>8</v>
      </c>
      <c r="H31" s="48">
        <v>3301704</v>
      </c>
      <c r="I31" s="15"/>
      <c r="J31" s="15"/>
      <c r="K31" s="15"/>
      <c r="L31" s="15"/>
      <c r="M31" s="15"/>
      <c r="N31" s="15"/>
      <c r="O31" s="15"/>
      <c r="P31" s="15"/>
      <c r="Q31" s="15"/>
      <c r="R31" s="15"/>
      <c r="S31" s="15"/>
      <c r="T31" s="15"/>
      <c r="U31" s="15"/>
      <c r="V31" s="15"/>
    </row>
    <row r="32" spans="1:22" s="5" customFormat="1" ht="52.5" customHeight="1" x14ac:dyDescent="0.25">
      <c r="A32" s="23" t="s">
        <v>171</v>
      </c>
      <c r="B32" s="23" t="s">
        <v>184</v>
      </c>
      <c r="C32" s="21" t="s">
        <v>1</v>
      </c>
      <c r="D32" s="20" t="s">
        <v>144</v>
      </c>
      <c r="E32" s="19" t="s">
        <v>46</v>
      </c>
      <c r="F32" s="19" t="s">
        <v>169</v>
      </c>
      <c r="G32" s="19" t="s">
        <v>3</v>
      </c>
      <c r="H32" s="48">
        <v>540000</v>
      </c>
      <c r="I32" s="15"/>
      <c r="J32" s="15"/>
      <c r="K32" s="15"/>
      <c r="L32" s="15"/>
      <c r="M32" s="15"/>
      <c r="N32" s="15"/>
      <c r="O32" s="15"/>
      <c r="P32" s="15"/>
      <c r="Q32" s="15"/>
      <c r="R32" s="15"/>
      <c r="S32" s="15"/>
      <c r="T32" s="15"/>
      <c r="U32" s="15"/>
      <c r="V32" s="15"/>
    </row>
    <row r="33" spans="1:22" s="5" customFormat="1" ht="75.75" customHeight="1" x14ac:dyDescent="0.25">
      <c r="A33" s="23" t="s">
        <v>171</v>
      </c>
      <c r="B33" s="23" t="s">
        <v>185</v>
      </c>
      <c r="C33" s="21" t="s">
        <v>45</v>
      </c>
      <c r="D33" s="20" t="s">
        <v>144</v>
      </c>
      <c r="E33" s="19" t="s">
        <v>46</v>
      </c>
      <c r="F33" s="19" t="s">
        <v>186</v>
      </c>
      <c r="G33" s="19" t="s">
        <v>8</v>
      </c>
      <c r="H33" s="48">
        <v>1200000</v>
      </c>
      <c r="I33" s="15"/>
      <c r="J33" s="15"/>
      <c r="K33" s="15"/>
      <c r="L33" s="15"/>
      <c r="M33" s="15"/>
      <c r="N33" s="15"/>
      <c r="O33" s="15"/>
      <c r="P33" s="15"/>
      <c r="Q33" s="15"/>
      <c r="R33" s="15"/>
      <c r="S33" s="15"/>
      <c r="T33" s="15"/>
      <c r="U33" s="15"/>
      <c r="V33" s="15"/>
    </row>
    <row r="34" spans="1:22" s="5" customFormat="1" ht="51" x14ac:dyDescent="0.25">
      <c r="A34" s="23" t="s">
        <v>171</v>
      </c>
      <c r="B34" s="23" t="s">
        <v>28</v>
      </c>
      <c r="C34" s="19" t="s">
        <v>1</v>
      </c>
      <c r="D34" s="20" t="s">
        <v>144</v>
      </c>
      <c r="E34" s="19" t="s">
        <v>47</v>
      </c>
      <c r="F34" s="19" t="s">
        <v>54</v>
      </c>
      <c r="G34" s="19" t="s">
        <v>8</v>
      </c>
      <c r="H34" s="48">
        <v>4000000</v>
      </c>
      <c r="I34" s="15"/>
      <c r="J34" s="15"/>
      <c r="K34" s="15"/>
      <c r="L34" s="15"/>
      <c r="M34" s="15"/>
      <c r="N34" s="15"/>
      <c r="O34" s="15"/>
      <c r="P34" s="15"/>
      <c r="Q34" s="15"/>
      <c r="R34" s="15"/>
      <c r="S34" s="15"/>
      <c r="T34" s="15"/>
      <c r="U34" s="15"/>
      <c r="V34" s="15"/>
    </row>
    <row r="35" spans="1:22" s="5" customFormat="1" ht="38.25" x14ac:dyDescent="0.25">
      <c r="A35" s="23" t="s">
        <v>171</v>
      </c>
      <c r="B35" s="23" t="s">
        <v>29</v>
      </c>
      <c r="C35" s="19" t="s">
        <v>45</v>
      </c>
      <c r="D35" s="20" t="s">
        <v>144</v>
      </c>
      <c r="E35" s="19" t="s">
        <v>47</v>
      </c>
      <c r="F35" s="19" t="s">
        <v>221</v>
      </c>
      <c r="G35" s="19" t="s">
        <v>8</v>
      </c>
      <c r="H35" s="48">
        <v>3000000</v>
      </c>
      <c r="I35" s="15"/>
      <c r="J35" s="15"/>
      <c r="K35" s="15"/>
      <c r="L35" s="15"/>
      <c r="M35" s="15"/>
      <c r="N35" s="15"/>
      <c r="O35" s="15"/>
      <c r="P35" s="15"/>
      <c r="Q35" s="15"/>
      <c r="R35" s="15"/>
      <c r="S35" s="15"/>
      <c r="T35" s="15"/>
      <c r="U35" s="15"/>
      <c r="V35" s="15"/>
    </row>
    <row r="36" spans="1:22" s="5" customFormat="1" ht="48.75" customHeight="1" x14ac:dyDescent="0.25">
      <c r="A36" s="23" t="s">
        <v>171</v>
      </c>
      <c r="B36" s="23" t="s">
        <v>30</v>
      </c>
      <c r="C36" s="19" t="s">
        <v>45</v>
      </c>
      <c r="D36" s="20" t="s">
        <v>144</v>
      </c>
      <c r="E36" s="19" t="s">
        <v>48</v>
      </c>
      <c r="F36" s="19" t="s">
        <v>222</v>
      </c>
      <c r="G36" s="19" t="s">
        <v>8</v>
      </c>
      <c r="H36" s="48">
        <v>4000000</v>
      </c>
      <c r="I36" s="15"/>
      <c r="J36" s="15"/>
      <c r="K36" s="15"/>
      <c r="L36" s="15"/>
      <c r="M36" s="15"/>
      <c r="N36" s="15"/>
      <c r="O36" s="15"/>
      <c r="P36" s="15"/>
      <c r="Q36" s="15"/>
      <c r="R36" s="15"/>
      <c r="S36" s="15"/>
      <c r="T36" s="15"/>
      <c r="U36" s="15"/>
      <c r="V36" s="15"/>
    </row>
    <row r="37" spans="1:22" s="5" customFormat="1" ht="76.5" x14ac:dyDescent="0.25">
      <c r="A37" s="23" t="s">
        <v>171</v>
      </c>
      <c r="B37" s="23" t="s">
        <v>31</v>
      </c>
      <c r="C37" s="19" t="s">
        <v>1</v>
      </c>
      <c r="D37" s="20" t="s">
        <v>144</v>
      </c>
      <c r="E37" s="19" t="s">
        <v>47</v>
      </c>
      <c r="F37" s="19" t="s">
        <v>213</v>
      </c>
      <c r="G37" s="19" t="s">
        <v>8</v>
      </c>
      <c r="H37" s="48">
        <v>900000</v>
      </c>
      <c r="I37" s="15"/>
      <c r="J37" s="15"/>
      <c r="K37" s="15"/>
      <c r="L37" s="15"/>
      <c r="M37" s="15"/>
      <c r="N37" s="15"/>
      <c r="O37" s="15"/>
      <c r="P37" s="15"/>
      <c r="Q37" s="15"/>
      <c r="R37" s="15"/>
      <c r="S37" s="15"/>
      <c r="T37" s="15"/>
      <c r="U37" s="15"/>
      <c r="V37" s="15"/>
    </row>
    <row r="38" spans="1:22" s="5" customFormat="1" ht="25.5" x14ac:dyDescent="0.25">
      <c r="A38" s="23" t="s">
        <v>171</v>
      </c>
      <c r="B38" s="23" t="s">
        <v>32</v>
      </c>
      <c r="C38" s="19" t="s">
        <v>1</v>
      </c>
      <c r="D38" s="20" t="s">
        <v>144</v>
      </c>
      <c r="E38" s="19" t="s">
        <v>49</v>
      </c>
      <c r="F38" s="19" t="s">
        <v>212</v>
      </c>
      <c r="G38" s="19" t="s">
        <v>8</v>
      </c>
      <c r="H38" s="48">
        <v>200000</v>
      </c>
      <c r="I38" s="15"/>
      <c r="J38" s="15"/>
      <c r="K38" s="15"/>
      <c r="L38" s="15"/>
      <c r="M38" s="15"/>
      <c r="N38" s="15"/>
      <c r="O38" s="15"/>
      <c r="P38" s="15"/>
      <c r="Q38" s="15"/>
      <c r="R38" s="15"/>
      <c r="S38" s="15"/>
      <c r="T38" s="15"/>
      <c r="U38" s="15"/>
      <c r="V38" s="15"/>
    </row>
    <row r="39" spans="1:22" s="5" customFormat="1" ht="38.25" x14ac:dyDescent="0.25">
      <c r="A39" s="23" t="s">
        <v>171</v>
      </c>
      <c r="B39" s="23" t="s">
        <v>33</v>
      </c>
      <c r="C39" s="19" t="s">
        <v>45</v>
      </c>
      <c r="D39" s="20" t="s">
        <v>144</v>
      </c>
      <c r="E39" s="19" t="s">
        <v>48</v>
      </c>
      <c r="F39" s="19" t="s">
        <v>214</v>
      </c>
      <c r="G39" s="19" t="s">
        <v>8</v>
      </c>
      <c r="H39" s="48">
        <v>2000000</v>
      </c>
      <c r="I39" s="15"/>
      <c r="J39" s="15"/>
      <c r="K39" s="15"/>
      <c r="L39" s="15"/>
      <c r="M39" s="15"/>
      <c r="N39" s="15"/>
      <c r="O39" s="15"/>
      <c r="P39" s="15"/>
      <c r="Q39" s="15"/>
      <c r="R39" s="15"/>
      <c r="S39" s="15"/>
      <c r="T39" s="15"/>
      <c r="U39" s="15"/>
      <c r="V39" s="15"/>
    </row>
    <row r="40" spans="1:22" s="6" customFormat="1" ht="68.25" customHeight="1" x14ac:dyDescent="0.25">
      <c r="A40" s="23" t="s">
        <v>171</v>
      </c>
      <c r="B40" s="23" t="s">
        <v>34</v>
      </c>
      <c r="C40" s="19" t="s">
        <v>44</v>
      </c>
      <c r="D40" s="20" t="s">
        <v>144</v>
      </c>
      <c r="E40" s="19" t="s">
        <v>47</v>
      </c>
      <c r="F40" s="19" t="s">
        <v>215</v>
      </c>
      <c r="G40" s="19" t="s">
        <v>3</v>
      </c>
      <c r="H40" s="50">
        <v>120000</v>
      </c>
      <c r="I40" s="15"/>
      <c r="J40" s="15"/>
      <c r="K40" s="15"/>
      <c r="L40" s="15"/>
      <c r="M40" s="15"/>
      <c r="N40" s="15"/>
      <c r="O40" s="15"/>
      <c r="P40" s="15"/>
      <c r="Q40" s="15"/>
      <c r="R40" s="15"/>
      <c r="S40" s="15"/>
      <c r="T40" s="15"/>
      <c r="U40" s="15"/>
      <c r="V40" s="15"/>
    </row>
    <row r="41" spans="1:22" s="6" customFormat="1" ht="51.75" customHeight="1" x14ac:dyDescent="0.25">
      <c r="A41" s="23" t="s">
        <v>171</v>
      </c>
      <c r="B41" s="23" t="s">
        <v>35</v>
      </c>
      <c r="C41" s="19" t="s">
        <v>44</v>
      </c>
      <c r="D41" s="20" t="s">
        <v>144</v>
      </c>
      <c r="E41" s="19" t="s">
        <v>47</v>
      </c>
      <c r="F41" s="19" t="s">
        <v>216</v>
      </c>
      <c r="G41" s="19" t="s">
        <v>3</v>
      </c>
      <c r="H41" s="50">
        <v>180000</v>
      </c>
      <c r="I41" s="15"/>
      <c r="J41" s="15"/>
      <c r="K41" s="15"/>
      <c r="L41" s="15"/>
      <c r="M41" s="15"/>
      <c r="N41" s="15"/>
      <c r="O41" s="15"/>
      <c r="P41" s="15"/>
      <c r="Q41" s="15"/>
      <c r="R41" s="15"/>
      <c r="S41" s="15"/>
      <c r="T41" s="15"/>
      <c r="U41" s="15"/>
      <c r="V41" s="15"/>
    </row>
    <row r="42" spans="1:22" s="6" customFormat="1" ht="58.5" customHeight="1" x14ac:dyDescent="0.25">
      <c r="A42" s="23" t="s">
        <v>171</v>
      </c>
      <c r="B42" s="23" t="s">
        <v>36</v>
      </c>
      <c r="C42" s="19" t="s">
        <v>44</v>
      </c>
      <c r="D42" s="20" t="s">
        <v>144</v>
      </c>
      <c r="E42" s="19" t="s">
        <v>47</v>
      </c>
      <c r="F42" s="19" t="s">
        <v>216</v>
      </c>
      <c r="G42" s="19" t="s">
        <v>3</v>
      </c>
      <c r="H42" s="50">
        <v>150000</v>
      </c>
      <c r="I42" s="15"/>
      <c r="J42" s="15"/>
      <c r="K42" s="15"/>
      <c r="L42" s="15"/>
      <c r="M42" s="15"/>
      <c r="N42" s="15"/>
      <c r="O42" s="15"/>
      <c r="P42" s="15"/>
      <c r="Q42" s="15"/>
      <c r="R42" s="15"/>
      <c r="S42" s="15"/>
      <c r="T42" s="15"/>
      <c r="U42" s="15"/>
      <c r="V42" s="15"/>
    </row>
    <row r="43" spans="1:22" s="5" customFormat="1" ht="25.5" x14ac:dyDescent="0.25">
      <c r="A43" s="23" t="s">
        <v>171</v>
      </c>
      <c r="B43" s="23" t="s">
        <v>37</v>
      </c>
      <c r="C43" s="19" t="s">
        <v>45</v>
      </c>
      <c r="D43" s="20" t="s">
        <v>144</v>
      </c>
      <c r="E43" s="19" t="s">
        <v>48</v>
      </c>
      <c r="F43" s="19" t="s">
        <v>216</v>
      </c>
      <c r="G43" s="19" t="s">
        <v>8</v>
      </c>
      <c r="H43" s="48">
        <v>3000000</v>
      </c>
      <c r="I43" s="15"/>
      <c r="J43" s="15"/>
      <c r="K43" s="15"/>
      <c r="L43" s="15"/>
      <c r="M43" s="15"/>
      <c r="N43" s="15"/>
      <c r="O43" s="15"/>
      <c r="P43" s="15"/>
      <c r="Q43" s="15"/>
      <c r="R43" s="15"/>
      <c r="S43" s="15"/>
      <c r="T43" s="15"/>
      <c r="U43" s="15"/>
      <c r="V43" s="15"/>
    </row>
    <row r="44" spans="1:22" s="6" customFormat="1" ht="55.5" customHeight="1" x14ac:dyDescent="0.25">
      <c r="A44" s="23" t="s">
        <v>171</v>
      </c>
      <c r="B44" s="23" t="s">
        <v>38</v>
      </c>
      <c r="C44" s="19" t="s">
        <v>45</v>
      </c>
      <c r="D44" s="20" t="s">
        <v>144</v>
      </c>
      <c r="E44" s="19" t="s">
        <v>246</v>
      </c>
      <c r="F44" s="19" t="s">
        <v>217</v>
      </c>
      <c r="G44" s="19" t="s">
        <v>8</v>
      </c>
      <c r="H44" s="50">
        <v>4800000</v>
      </c>
      <c r="I44" s="15"/>
      <c r="J44" s="15"/>
      <c r="K44" s="15"/>
      <c r="L44" s="15"/>
      <c r="M44" s="15"/>
      <c r="N44" s="15"/>
      <c r="O44" s="15"/>
      <c r="P44" s="15"/>
      <c r="Q44" s="15"/>
      <c r="R44" s="15"/>
      <c r="S44" s="15"/>
      <c r="T44" s="15"/>
      <c r="U44" s="15"/>
      <c r="V44" s="15"/>
    </row>
    <row r="45" spans="1:22" s="5" customFormat="1" ht="51" x14ac:dyDescent="0.25">
      <c r="A45" s="23" t="s">
        <v>171</v>
      </c>
      <c r="B45" s="23" t="s">
        <v>39</v>
      </c>
      <c r="C45" s="19" t="s">
        <v>45</v>
      </c>
      <c r="D45" s="20" t="s">
        <v>144</v>
      </c>
      <c r="E45" s="19" t="s">
        <v>48</v>
      </c>
      <c r="F45" s="19" t="s">
        <v>218</v>
      </c>
      <c r="G45" s="19" t="s">
        <v>8</v>
      </c>
      <c r="H45" s="48">
        <v>2000000</v>
      </c>
      <c r="I45" s="15"/>
      <c r="J45" s="15"/>
      <c r="K45" s="15"/>
      <c r="L45" s="15"/>
      <c r="M45" s="15"/>
      <c r="N45" s="15"/>
      <c r="O45" s="15"/>
      <c r="P45" s="15"/>
      <c r="Q45" s="15"/>
      <c r="R45" s="15"/>
      <c r="S45" s="15"/>
      <c r="T45" s="15"/>
      <c r="U45" s="15"/>
      <c r="V45" s="15"/>
    </row>
    <row r="46" spans="1:22" s="5" customFormat="1" ht="38.25" x14ac:dyDescent="0.25">
      <c r="A46" s="23" t="s">
        <v>171</v>
      </c>
      <c r="B46" s="23" t="s">
        <v>40</v>
      </c>
      <c r="C46" s="19" t="s">
        <v>1</v>
      </c>
      <c r="D46" s="20" t="s">
        <v>144</v>
      </c>
      <c r="E46" s="19" t="s">
        <v>47</v>
      </c>
      <c r="F46" s="19" t="s">
        <v>233</v>
      </c>
      <c r="G46" s="19" t="s">
        <v>3</v>
      </c>
      <c r="H46" s="48">
        <v>5000000</v>
      </c>
      <c r="I46" s="15"/>
      <c r="J46" s="15"/>
      <c r="K46" s="15"/>
      <c r="L46" s="15"/>
      <c r="M46" s="15"/>
      <c r="N46" s="15"/>
      <c r="O46" s="15"/>
      <c r="P46" s="15"/>
      <c r="Q46" s="15"/>
      <c r="R46" s="15"/>
      <c r="S46" s="15"/>
      <c r="T46" s="15"/>
      <c r="U46" s="15"/>
      <c r="V46" s="15"/>
    </row>
    <row r="47" spans="1:22" s="5" customFormat="1" ht="38.25" x14ac:dyDescent="0.25">
      <c r="A47" s="23" t="s">
        <v>171</v>
      </c>
      <c r="B47" s="23" t="s">
        <v>41</v>
      </c>
      <c r="C47" s="19" t="s">
        <v>1</v>
      </c>
      <c r="D47" s="20" t="s">
        <v>144</v>
      </c>
      <c r="E47" s="19" t="s">
        <v>47</v>
      </c>
      <c r="F47" s="19" t="s">
        <v>234</v>
      </c>
      <c r="G47" s="19" t="s">
        <v>3</v>
      </c>
      <c r="H47" s="48">
        <v>8000000</v>
      </c>
      <c r="I47" s="15"/>
      <c r="J47" s="15"/>
      <c r="K47" s="15"/>
      <c r="L47" s="15"/>
      <c r="M47" s="15"/>
      <c r="N47" s="15"/>
      <c r="O47" s="15"/>
      <c r="P47" s="15"/>
      <c r="Q47" s="15"/>
      <c r="R47" s="15"/>
      <c r="S47" s="15"/>
      <c r="T47" s="15"/>
      <c r="U47" s="15"/>
      <c r="V47" s="15"/>
    </row>
    <row r="48" spans="1:22" s="5" customFormat="1" ht="25.5" x14ac:dyDescent="0.25">
      <c r="A48" s="23" t="s">
        <v>171</v>
      </c>
      <c r="B48" s="23" t="s">
        <v>42</v>
      </c>
      <c r="C48" s="19" t="s">
        <v>44</v>
      </c>
      <c r="D48" s="20" t="s">
        <v>144</v>
      </c>
      <c r="E48" s="19" t="s">
        <v>49</v>
      </c>
      <c r="F48" s="19" t="s">
        <v>53</v>
      </c>
      <c r="G48" s="19" t="s">
        <v>3</v>
      </c>
      <c r="H48" s="50">
        <v>500000</v>
      </c>
      <c r="I48" s="15"/>
      <c r="J48" s="15"/>
      <c r="K48" s="15"/>
      <c r="L48" s="15"/>
      <c r="M48" s="15"/>
      <c r="N48" s="15"/>
      <c r="O48" s="15"/>
      <c r="P48" s="15"/>
      <c r="Q48" s="15"/>
      <c r="R48" s="15"/>
      <c r="S48" s="15"/>
      <c r="T48" s="15"/>
      <c r="U48" s="15"/>
      <c r="V48" s="15"/>
    </row>
    <row r="49" spans="1:22" s="5" customFormat="1" ht="25.5" x14ac:dyDescent="0.25">
      <c r="A49" s="23" t="s">
        <v>171</v>
      </c>
      <c r="B49" s="8" t="s">
        <v>43</v>
      </c>
      <c r="C49" s="19" t="s">
        <v>44</v>
      </c>
      <c r="D49" s="20" t="s">
        <v>144</v>
      </c>
      <c r="E49" s="19" t="s">
        <v>47</v>
      </c>
      <c r="F49" s="19" t="s">
        <v>220</v>
      </c>
      <c r="G49" s="19" t="s">
        <v>3</v>
      </c>
      <c r="H49" s="50">
        <v>934000</v>
      </c>
      <c r="I49" s="15"/>
      <c r="J49" s="15"/>
      <c r="K49" s="15"/>
      <c r="L49" s="15"/>
      <c r="M49" s="15"/>
      <c r="N49" s="15"/>
      <c r="O49" s="15"/>
      <c r="P49" s="15"/>
      <c r="Q49" s="15"/>
      <c r="R49" s="15"/>
      <c r="S49" s="15"/>
      <c r="T49" s="15"/>
      <c r="U49" s="15"/>
      <c r="V49" s="15"/>
    </row>
    <row r="50" spans="1:22" ht="25.5" x14ac:dyDescent="0.25">
      <c r="A50" s="23" t="s">
        <v>173</v>
      </c>
      <c r="B50" s="8" t="s">
        <v>242</v>
      </c>
      <c r="C50" s="19" t="s">
        <v>44</v>
      </c>
      <c r="D50" s="20" t="s">
        <v>144</v>
      </c>
      <c r="E50" s="19" t="s">
        <v>47</v>
      </c>
      <c r="F50" s="19" t="s">
        <v>245</v>
      </c>
      <c r="G50" s="19" t="s">
        <v>3</v>
      </c>
      <c r="H50" s="25">
        <v>360000</v>
      </c>
    </row>
    <row r="51" spans="1:22" ht="25.5" x14ac:dyDescent="0.25">
      <c r="A51" s="23" t="s">
        <v>173</v>
      </c>
      <c r="B51" s="8" t="s">
        <v>243</v>
      </c>
      <c r="C51" s="19" t="s">
        <v>44</v>
      </c>
      <c r="D51" s="20" t="s">
        <v>144</v>
      </c>
      <c r="E51" s="19" t="s">
        <v>47</v>
      </c>
      <c r="F51" s="19" t="s">
        <v>244</v>
      </c>
      <c r="G51" s="19" t="s">
        <v>3</v>
      </c>
      <c r="H51" s="25">
        <v>600000</v>
      </c>
    </row>
    <row r="52" spans="1:22" ht="63.75" x14ac:dyDescent="0.25">
      <c r="A52" s="23" t="s">
        <v>173</v>
      </c>
      <c r="B52" s="8" t="s">
        <v>56</v>
      </c>
      <c r="C52" s="19" t="s">
        <v>44</v>
      </c>
      <c r="D52" s="20" t="s">
        <v>144</v>
      </c>
      <c r="E52" s="19" t="s">
        <v>240</v>
      </c>
      <c r="F52" s="19" t="s">
        <v>241</v>
      </c>
      <c r="G52" s="19" t="s">
        <v>3</v>
      </c>
      <c r="H52" s="25">
        <v>2600000</v>
      </c>
    </row>
    <row r="53" spans="1:22" ht="25.5" x14ac:dyDescent="0.25">
      <c r="A53" s="23" t="s">
        <v>174</v>
      </c>
      <c r="B53" s="8" t="s">
        <v>57</v>
      </c>
      <c r="C53" s="57" t="s">
        <v>44</v>
      </c>
      <c r="D53" s="20" t="s">
        <v>144</v>
      </c>
      <c r="E53" s="19" t="s">
        <v>49</v>
      </c>
      <c r="F53" s="19" t="s">
        <v>62</v>
      </c>
      <c r="G53" s="19" t="s">
        <v>3</v>
      </c>
      <c r="H53" s="25">
        <v>800000</v>
      </c>
    </row>
    <row r="54" spans="1:22" ht="25.5" x14ac:dyDescent="0.25">
      <c r="A54" s="23" t="s">
        <v>174</v>
      </c>
      <c r="B54" s="23" t="s">
        <v>58</v>
      </c>
      <c r="C54" s="30" t="s">
        <v>44</v>
      </c>
      <c r="D54" s="28" t="s">
        <v>144</v>
      </c>
      <c r="E54" s="19" t="s">
        <v>47</v>
      </c>
      <c r="F54" s="30" t="s">
        <v>53</v>
      </c>
      <c r="G54" s="30" t="s">
        <v>3</v>
      </c>
      <c r="H54" s="26">
        <v>730000</v>
      </c>
    </row>
    <row r="55" spans="1:22" ht="25.5" x14ac:dyDescent="0.25">
      <c r="A55" s="23" t="s">
        <v>174</v>
      </c>
      <c r="B55" s="23" t="s">
        <v>150</v>
      </c>
      <c r="C55" s="30" t="s">
        <v>1</v>
      </c>
      <c r="D55" s="28" t="s">
        <v>144</v>
      </c>
      <c r="E55" s="19" t="s">
        <v>47</v>
      </c>
      <c r="F55" s="30" t="s">
        <v>53</v>
      </c>
      <c r="G55" s="30" t="s">
        <v>3</v>
      </c>
      <c r="H55" s="26">
        <v>500000</v>
      </c>
    </row>
    <row r="56" spans="1:22" ht="25.5" x14ac:dyDescent="0.25">
      <c r="A56" s="23" t="s">
        <v>174</v>
      </c>
      <c r="B56" s="23" t="s">
        <v>59</v>
      </c>
      <c r="C56" s="30" t="s">
        <v>44</v>
      </c>
      <c r="D56" s="28" t="s">
        <v>144</v>
      </c>
      <c r="E56" s="19" t="s">
        <v>49</v>
      </c>
      <c r="F56" s="30" t="s">
        <v>53</v>
      </c>
      <c r="G56" s="30" t="s">
        <v>3</v>
      </c>
      <c r="H56" s="26">
        <v>4000000</v>
      </c>
    </row>
    <row r="57" spans="1:22" ht="25.5" x14ac:dyDescent="0.25">
      <c r="A57" s="23" t="s">
        <v>174</v>
      </c>
      <c r="B57" s="23" t="s">
        <v>180</v>
      </c>
      <c r="C57" s="30" t="s">
        <v>44</v>
      </c>
      <c r="D57" s="28" t="s">
        <v>144</v>
      </c>
      <c r="E57" s="19" t="s">
        <v>47</v>
      </c>
      <c r="F57" s="30" t="s">
        <v>53</v>
      </c>
      <c r="G57" s="30" t="s">
        <v>3</v>
      </c>
      <c r="H57" s="26">
        <v>11700000</v>
      </c>
    </row>
    <row r="58" spans="1:22" ht="25.5" x14ac:dyDescent="0.25">
      <c r="A58" s="23" t="s">
        <v>174</v>
      </c>
      <c r="B58" s="23" t="s">
        <v>151</v>
      </c>
      <c r="C58" s="30" t="s">
        <v>44</v>
      </c>
      <c r="D58" s="28" t="s">
        <v>144</v>
      </c>
      <c r="E58" s="19" t="s">
        <v>47</v>
      </c>
      <c r="F58" s="30" t="s">
        <v>62</v>
      </c>
      <c r="G58" s="30" t="s">
        <v>3</v>
      </c>
      <c r="H58" s="26">
        <v>2750000</v>
      </c>
    </row>
    <row r="59" spans="1:22" ht="25.5" x14ac:dyDescent="0.25">
      <c r="A59" s="23" t="s">
        <v>174</v>
      </c>
      <c r="B59" s="23" t="s">
        <v>60</v>
      </c>
      <c r="C59" s="30" t="s">
        <v>1</v>
      </c>
      <c r="D59" s="28" t="s">
        <v>144</v>
      </c>
      <c r="E59" s="19" t="s">
        <v>47</v>
      </c>
      <c r="F59" s="30" t="s">
        <v>232</v>
      </c>
      <c r="G59" s="30" t="s">
        <v>3</v>
      </c>
      <c r="H59" s="26">
        <v>5500000</v>
      </c>
    </row>
    <row r="60" spans="1:22" ht="25.5" x14ac:dyDescent="0.25">
      <c r="A60" s="23" t="s">
        <v>174</v>
      </c>
      <c r="B60" s="36" t="s">
        <v>61</v>
      </c>
      <c r="C60" s="42" t="s">
        <v>44</v>
      </c>
      <c r="D60" s="53" t="s">
        <v>144</v>
      </c>
      <c r="E60" s="43" t="s">
        <v>47</v>
      </c>
      <c r="F60" s="42" t="s">
        <v>63</v>
      </c>
      <c r="G60" s="42" t="s">
        <v>3</v>
      </c>
      <c r="H60" s="44">
        <v>2000000</v>
      </c>
    </row>
    <row r="61" spans="1:22" ht="25.5" x14ac:dyDescent="0.25">
      <c r="A61" s="23" t="s">
        <v>175</v>
      </c>
      <c r="B61" s="23" t="s">
        <v>65</v>
      </c>
      <c r="C61" s="39" t="s">
        <v>1</v>
      </c>
      <c r="D61" s="22" t="s">
        <v>144</v>
      </c>
      <c r="E61" s="19" t="s">
        <v>152</v>
      </c>
      <c r="F61" s="19" t="s">
        <v>249</v>
      </c>
      <c r="G61" s="19" t="s">
        <v>8</v>
      </c>
      <c r="H61" s="50">
        <v>6838480</v>
      </c>
    </row>
    <row r="62" spans="1:22" ht="25.5" x14ac:dyDescent="0.25">
      <c r="A62" s="23" t="s">
        <v>175</v>
      </c>
      <c r="B62" s="23" t="s">
        <v>66</v>
      </c>
      <c r="C62" s="21" t="s">
        <v>45</v>
      </c>
      <c r="D62" s="22" t="s">
        <v>144</v>
      </c>
      <c r="E62" s="19" t="s">
        <v>47</v>
      </c>
      <c r="F62" s="19" t="s">
        <v>67</v>
      </c>
      <c r="G62" s="19" t="s">
        <v>8</v>
      </c>
      <c r="H62" s="50">
        <v>600000</v>
      </c>
    </row>
    <row r="63" spans="1:22" ht="25.5" x14ac:dyDescent="0.25">
      <c r="A63" s="23" t="s">
        <v>175</v>
      </c>
      <c r="B63" s="23" t="s">
        <v>68</v>
      </c>
      <c r="C63" s="21" t="s">
        <v>45</v>
      </c>
      <c r="D63" s="22" t="s">
        <v>144</v>
      </c>
      <c r="E63" s="19" t="s">
        <v>48</v>
      </c>
      <c r="F63" s="19" t="s">
        <v>67</v>
      </c>
      <c r="G63" s="19" t="s">
        <v>8</v>
      </c>
      <c r="H63" s="50">
        <v>3000000</v>
      </c>
    </row>
    <row r="64" spans="1:22" ht="25.5" x14ac:dyDescent="0.25">
      <c r="A64" s="23" t="s">
        <v>175</v>
      </c>
      <c r="B64" s="23" t="s">
        <v>69</v>
      </c>
      <c r="C64" s="21" t="s">
        <v>45</v>
      </c>
      <c r="D64" s="22" t="s">
        <v>144</v>
      </c>
      <c r="E64" s="19" t="s">
        <v>47</v>
      </c>
      <c r="F64" s="19" t="s">
        <v>70</v>
      </c>
      <c r="G64" s="19" t="s">
        <v>8</v>
      </c>
      <c r="H64" s="50">
        <v>1400000</v>
      </c>
    </row>
    <row r="65" spans="1:8" ht="25.5" x14ac:dyDescent="0.25">
      <c r="A65" s="23" t="s">
        <v>175</v>
      </c>
      <c r="B65" s="23" t="s">
        <v>227</v>
      </c>
      <c r="C65" s="21" t="s">
        <v>45</v>
      </c>
      <c r="D65" s="22" t="s">
        <v>144</v>
      </c>
      <c r="E65" s="19" t="s">
        <v>48</v>
      </c>
      <c r="F65" s="19" t="s">
        <v>186</v>
      </c>
      <c r="G65" s="19" t="s">
        <v>8</v>
      </c>
      <c r="H65" s="50">
        <v>800000</v>
      </c>
    </row>
    <row r="66" spans="1:8" ht="25.5" x14ac:dyDescent="0.25">
      <c r="A66" s="23" t="s">
        <v>175</v>
      </c>
      <c r="B66" s="23" t="s">
        <v>228</v>
      </c>
      <c r="C66" s="21" t="s">
        <v>45</v>
      </c>
      <c r="D66" s="22" t="s">
        <v>144</v>
      </c>
      <c r="E66" s="19" t="s">
        <v>47</v>
      </c>
      <c r="F66" s="19" t="s">
        <v>186</v>
      </c>
      <c r="G66" s="19" t="s">
        <v>8</v>
      </c>
      <c r="H66" s="50">
        <v>1000000</v>
      </c>
    </row>
    <row r="67" spans="1:8" ht="25.5" x14ac:dyDescent="0.25">
      <c r="A67" s="23" t="s">
        <v>175</v>
      </c>
      <c r="B67" s="36" t="s">
        <v>158</v>
      </c>
      <c r="C67" s="21" t="s">
        <v>45</v>
      </c>
      <c r="D67" s="22" t="s">
        <v>144</v>
      </c>
      <c r="E67" s="19" t="s">
        <v>47</v>
      </c>
      <c r="F67" s="19" t="s">
        <v>67</v>
      </c>
      <c r="G67" s="19" t="s">
        <v>3</v>
      </c>
      <c r="H67" s="50">
        <v>450000</v>
      </c>
    </row>
    <row r="68" spans="1:8" ht="25.5" x14ac:dyDescent="0.25">
      <c r="A68" s="23" t="s">
        <v>175</v>
      </c>
      <c r="B68" s="23" t="s">
        <v>71</v>
      </c>
      <c r="C68" s="21" t="s">
        <v>45</v>
      </c>
      <c r="D68" s="22" t="s">
        <v>144</v>
      </c>
      <c r="E68" s="19" t="s">
        <v>48</v>
      </c>
      <c r="F68" s="19" t="s">
        <v>67</v>
      </c>
      <c r="G68" s="19" t="s">
        <v>8</v>
      </c>
      <c r="H68" s="50">
        <v>600000</v>
      </c>
    </row>
    <row r="69" spans="1:8" ht="25.5" x14ac:dyDescent="0.25">
      <c r="A69" s="23" t="s">
        <v>175</v>
      </c>
      <c r="B69" s="23" t="s">
        <v>72</v>
      </c>
      <c r="C69" s="21" t="s">
        <v>45</v>
      </c>
      <c r="D69" s="22" t="s">
        <v>144</v>
      </c>
      <c r="E69" s="19" t="s">
        <v>47</v>
      </c>
      <c r="F69" s="19" t="s">
        <v>67</v>
      </c>
      <c r="G69" s="19" t="s">
        <v>8</v>
      </c>
      <c r="H69" s="50">
        <v>650000</v>
      </c>
    </row>
    <row r="70" spans="1:8" ht="25.5" x14ac:dyDescent="0.25">
      <c r="A70" s="23" t="s">
        <v>175</v>
      </c>
      <c r="B70" s="23" t="s">
        <v>159</v>
      </c>
      <c r="C70" s="21" t="s">
        <v>45</v>
      </c>
      <c r="D70" s="22" t="s">
        <v>144</v>
      </c>
      <c r="E70" s="19" t="s">
        <v>47</v>
      </c>
      <c r="F70" s="19" t="s">
        <v>248</v>
      </c>
      <c r="G70" s="19" t="s">
        <v>3</v>
      </c>
      <c r="H70" s="50">
        <v>1000000</v>
      </c>
    </row>
    <row r="71" spans="1:8" ht="38.25" x14ac:dyDescent="0.25">
      <c r="A71" s="23" t="s">
        <v>175</v>
      </c>
      <c r="B71" s="23" t="s">
        <v>73</v>
      </c>
      <c r="C71" s="21" t="s">
        <v>45</v>
      </c>
      <c r="D71" s="22" t="s">
        <v>144</v>
      </c>
      <c r="E71" s="19" t="s">
        <v>47</v>
      </c>
      <c r="F71" s="19" t="s">
        <v>248</v>
      </c>
      <c r="G71" s="19" t="s">
        <v>3</v>
      </c>
      <c r="H71" s="50">
        <v>2420000</v>
      </c>
    </row>
    <row r="72" spans="1:8" ht="25.5" x14ac:dyDescent="0.25">
      <c r="A72" s="23" t="s">
        <v>175</v>
      </c>
      <c r="B72" s="23" t="s">
        <v>74</v>
      </c>
      <c r="C72" s="21" t="s">
        <v>45</v>
      </c>
      <c r="D72" s="22" t="s">
        <v>144</v>
      </c>
      <c r="E72" s="19" t="s">
        <v>47</v>
      </c>
      <c r="F72" s="19" t="s">
        <v>75</v>
      </c>
      <c r="G72" s="19" t="s">
        <v>8</v>
      </c>
      <c r="H72" s="50">
        <v>400000</v>
      </c>
    </row>
    <row r="73" spans="1:8" ht="25.5" x14ac:dyDescent="0.25">
      <c r="A73" s="23" t="s">
        <v>175</v>
      </c>
      <c r="B73" s="23" t="s">
        <v>76</v>
      </c>
      <c r="C73" s="21" t="s">
        <v>45</v>
      </c>
      <c r="D73" s="22" t="s">
        <v>144</v>
      </c>
      <c r="E73" s="19" t="s">
        <v>48</v>
      </c>
      <c r="F73" s="19" t="s">
        <v>167</v>
      </c>
      <c r="G73" s="19" t="s">
        <v>3</v>
      </c>
      <c r="H73" s="50">
        <v>1000000</v>
      </c>
    </row>
    <row r="74" spans="1:8" ht="25.5" x14ac:dyDescent="0.25">
      <c r="A74" s="23" t="s">
        <v>175</v>
      </c>
      <c r="B74" s="23" t="s">
        <v>160</v>
      </c>
      <c r="C74" s="21" t="s">
        <v>44</v>
      </c>
      <c r="D74" s="22" t="s">
        <v>144</v>
      </c>
      <c r="E74" s="19" t="s">
        <v>46</v>
      </c>
      <c r="F74" s="19" t="s">
        <v>235</v>
      </c>
      <c r="G74" s="19" t="s">
        <v>8</v>
      </c>
      <c r="H74" s="50">
        <v>400000</v>
      </c>
    </row>
    <row r="75" spans="1:8" ht="25.5" x14ac:dyDescent="0.25">
      <c r="A75" s="23" t="s">
        <v>175</v>
      </c>
      <c r="B75" s="23" t="s">
        <v>77</v>
      </c>
      <c r="C75" s="21" t="s">
        <v>44</v>
      </c>
      <c r="D75" s="22" t="s">
        <v>144</v>
      </c>
      <c r="E75" s="19" t="s">
        <v>49</v>
      </c>
      <c r="F75" s="19" t="s">
        <v>168</v>
      </c>
      <c r="G75" s="19" t="s">
        <v>3</v>
      </c>
      <c r="H75" s="50">
        <v>200000</v>
      </c>
    </row>
    <row r="76" spans="1:8" ht="25.5" x14ac:dyDescent="0.25">
      <c r="A76" s="23" t="s">
        <v>175</v>
      </c>
      <c r="B76" s="23" t="s">
        <v>78</v>
      </c>
      <c r="C76" s="21" t="s">
        <v>44</v>
      </c>
      <c r="D76" s="22" t="s">
        <v>144</v>
      </c>
      <c r="E76" s="19" t="s">
        <v>49</v>
      </c>
      <c r="F76" s="19" t="s">
        <v>64</v>
      </c>
      <c r="G76" s="19" t="s">
        <v>8</v>
      </c>
      <c r="H76" s="50">
        <v>150000</v>
      </c>
    </row>
    <row r="77" spans="1:8" ht="25.5" x14ac:dyDescent="0.25">
      <c r="A77" s="23" t="s">
        <v>175</v>
      </c>
      <c r="B77" s="23" t="s">
        <v>79</v>
      </c>
      <c r="C77" s="21" t="s">
        <v>44</v>
      </c>
      <c r="D77" s="22" t="s">
        <v>144</v>
      </c>
      <c r="E77" s="19" t="s">
        <v>47</v>
      </c>
      <c r="F77" s="19" t="s">
        <v>75</v>
      </c>
      <c r="G77" s="19" t="s">
        <v>3</v>
      </c>
      <c r="H77" s="50">
        <v>600000</v>
      </c>
    </row>
    <row r="78" spans="1:8" ht="38.25" x14ac:dyDescent="0.25">
      <c r="A78" s="23" t="s">
        <v>175</v>
      </c>
      <c r="B78" s="23" t="s">
        <v>161</v>
      </c>
      <c r="C78" s="21" t="s">
        <v>44</v>
      </c>
      <c r="D78" s="22" t="s">
        <v>144</v>
      </c>
      <c r="E78" s="19" t="s">
        <v>47</v>
      </c>
      <c r="F78" s="19" t="s">
        <v>75</v>
      </c>
      <c r="G78" s="19" t="s">
        <v>8</v>
      </c>
      <c r="H78" s="50">
        <v>650000</v>
      </c>
    </row>
    <row r="79" spans="1:8" ht="25.5" x14ac:dyDescent="0.25">
      <c r="A79" s="23" t="s">
        <v>175</v>
      </c>
      <c r="B79" s="23" t="s">
        <v>162</v>
      </c>
      <c r="C79" s="21" t="s">
        <v>44</v>
      </c>
      <c r="D79" s="22" t="s">
        <v>144</v>
      </c>
      <c r="E79" s="19" t="s">
        <v>47</v>
      </c>
      <c r="F79" s="19" t="s">
        <v>64</v>
      </c>
      <c r="G79" s="19" t="s">
        <v>3</v>
      </c>
      <c r="H79" s="50">
        <v>590000</v>
      </c>
    </row>
    <row r="80" spans="1:8" ht="25.5" x14ac:dyDescent="0.25">
      <c r="A80" s="23" t="s">
        <v>175</v>
      </c>
      <c r="B80" s="23" t="s">
        <v>163</v>
      </c>
      <c r="C80" s="21" t="s">
        <v>44</v>
      </c>
      <c r="D80" s="22" t="s">
        <v>144</v>
      </c>
      <c r="E80" s="19" t="s">
        <v>48</v>
      </c>
      <c r="F80" s="19" t="s">
        <v>80</v>
      </c>
      <c r="G80" s="19" t="s">
        <v>3</v>
      </c>
      <c r="H80" s="50">
        <v>500000</v>
      </c>
    </row>
    <row r="81" spans="1:8" ht="25.5" x14ac:dyDescent="0.25">
      <c r="A81" s="23" t="s">
        <v>175</v>
      </c>
      <c r="B81" s="23" t="s">
        <v>81</v>
      </c>
      <c r="C81" s="21" t="s">
        <v>1</v>
      </c>
      <c r="D81" s="22" t="s">
        <v>144</v>
      </c>
      <c r="E81" s="19" t="s">
        <v>48</v>
      </c>
      <c r="F81" s="19" t="s">
        <v>64</v>
      </c>
      <c r="G81" s="19" t="s">
        <v>8</v>
      </c>
      <c r="H81" s="50">
        <v>200000</v>
      </c>
    </row>
    <row r="82" spans="1:8" ht="25.5" x14ac:dyDescent="0.25">
      <c r="A82" s="23" t="s">
        <v>175</v>
      </c>
      <c r="B82" s="23" t="s">
        <v>164</v>
      </c>
      <c r="C82" s="21" t="s">
        <v>1</v>
      </c>
      <c r="D82" s="22" t="s">
        <v>144</v>
      </c>
      <c r="E82" s="19" t="s">
        <v>47</v>
      </c>
      <c r="F82" s="19" t="s">
        <v>53</v>
      </c>
      <c r="G82" s="19" t="s">
        <v>8</v>
      </c>
      <c r="H82" s="50">
        <v>800000</v>
      </c>
    </row>
    <row r="83" spans="1:8" ht="25.5" x14ac:dyDescent="0.25">
      <c r="A83" s="23" t="s">
        <v>175</v>
      </c>
      <c r="B83" s="23" t="s">
        <v>82</v>
      </c>
      <c r="C83" s="21" t="s">
        <v>1</v>
      </c>
      <c r="D83" s="22" t="s">
        <v>144</v>
      </c>
      <c r="E83" s="19" t="s">
        <v>48</v>
      </c>
      <c r="F83" s="19" t="s">
        <v>64</v>
      </c>
      <c r="G83" s="19" t="s">
        <v>8</v>
      </c>
      <c r="H83" s="50">
        <v>1500000</v>
      </c>
    </row>
    <row r="84" spans="1:8" ht="25.5" x14ac:dyDescent="0.25">
      <c r="A84" s="23" t="s">
        <v>175</v>
      </c>
      <c r="B84" s="23" t="s">
        <v>83</v>
      </c>
      <c r="C84" s="21" t="s">
        <v>45</v>
      </c>
      <c r="D84" s="22" t="s">
        <v>144</v>
      </c>
      <c r="E84" s="19" t="s">
        <v>48</v>
      </c>
      <c r="F84" s="19" t="s">
        <v>53</v>
      </c>
      <c r="G84" s="19" t="s">
        <v>3</v>
      </c>
      <c r="H84" s="50">
        <v>800000</v>
      </c>
    </row>
    <row r="85" spans="1:8" ht="45" customHeight="1" x14ac:dyDescent="0.25">
      <c r="A85" s="23" t="s">
        <v>175</v>
      </c>
      <c r="B85" s="23" t="s">
        <v>229</v>
      </c>
      <c r="C85" s="21" t="s">
        <v>45</v>
      </c>
      <c r="D85" s="22" t="s">
        <v>144</v>
      </c>
      <c r="E85" s="19" t="s">
        <v>47</v>
      </c>
      <c r="F85" s="19" t="s">
        <v>53</v>
      </c>
      <c r="G85" s="19" t="s">
        <v>8</v>
      </c>
      <c r="H85" s="51">
        <v>1076000</v>
      </c>
    </row>
    <row r="86" spans="1:8" ht="38.25" x14ac:dyDescent="0.25">
      <c r="A86" s="23" t="s">
        <v>175</v>
      </c>
      <c r="B86" s="23" t="s">
        <v>146</v>
      </c>
      <c r="C86" s="21" t="s">
        <v>44</v>
      </c>
      <c r="D86" s="22" t="s">
        <v>144</v>
      </c>
      <c r="E86" s="19" t="s">
        <v>46</v>
      </c>
      <c r="F86" s="19" t="s">
        <v>53</v>
      </c>
      <c r="G86" s="19" t="s">
        <v>3</v>
      </c>
      <c r="H86" s="50">
        <v>8234049.5999999996</v>
      </c>
    </row>
    <row r="87" spans="1:8" ht="35.25" customHeight="1" x14ac:dyDescent="0.25">
      <c r="A87" s="23" t="s">
        <v>175</v>
      </c>
      <c r="B87" s="23" t="s">
        <v>84</v>
      </c>
      <c r="C87" s="21" t="s">
        <v>1</v>
      </c>
      <c r="D87" s="22" t="s">
        <v>144</v>
      </c>
      <c r="E87" s="19" t="s">
        <v>47</v>
      </c>
      <c r="F87" s="19" t="s">
        <v>53</v>
      </c>
      <c r="G87" s="19" t="s">
        <v>3</v>
      </c>
      <c r="H87" s="50">
        <v>2000000</v>
      </c>
    </row>
    <row r="88" spans="1:8" ht="25.5" x14ac:dyDescent="0.25">
      <c r="A88" s="23" t="s">
        <v>175</v>
      </c>
      <c r="B88" s="23" t="s">
        <v>85</v>
      </c>
      <c r="C88" s="21" t="s">
        <v>1</v>
      </c>
      <c r="D88" s="22" t="s">
        <v>144</v>
      </c>
      <c r="E88" s="19" t="s">
        <v>153</v>
      </c>
      <c r="F88" s="19" t="s">
        <v>53</v>
      </c>
      <c r="G88" s="19" t="s">
        <v>8</v>
      </c>
      <c r="H88" s="50">
        <v>2028592</v>
      </c>
    </row>
    <row r="89" spans="1:8" ht="25.5" x14ac:dyDescent="0.25">
      <c r="A89" s="23" t="s">
        <v>175</v>
      </c>
      <c r="B89" s="23" t="s">
        <v>86</v>
      </c>
      <c r="C89" s="21" t="s">
        <v>1</v>
      </c>
      <c r="D89" s="22" t="s">
        <v>144</v>
      </c>
      <c r="E89" s="19" t="s">
        <v>46</v>
      </c>
      <c r="F89" s="19" t="s">
        <v>53</v>
      </c>
      <c r="G89" s="19" t="s">
        <v>8</v>
      </c>
      <c r="H89" s="50">
        <v>300000</v>
      </c>
    </row>
    <row r="90" spans="1:8" ht="25.5" x14ac:dyDescent="0.25">
      <c r="A90" s="23" t="s">
        <v>175</v>
      </c>
      <c r="B90" s="23" t="s">
        <v>154</v>
      </c>
      <c r="C90" s="21" t="s">
        <v>1</v>
      </c>
      <c r="D90" s="22" t="s">
        <v>144</v>
      </c>
      <c r="E90" s="19" t="s">
        <v>46</v>
      </c>
      <c r="F90" s="19" t="s">
        <v>53</v>
      </c>
      <c r="G90" s="19" t="s">
        <v>8</v>
      </c>
      <c r="H90" s="50">
        <v>3000000</v>
      </c>
    </row>
    <row r="91" spans="1:8" ht="41.25" customHeight="1" x14ac:dyDescent="0.25">
      <c r="A91" s="23" t="s">
        <v>175</v>
      </c>
      <c r="B91" s="23" t="s">
        <v>155</v>
      </c>
      <c r="C91" s="21" t="s">
        <v>44</v>
      </c>
      <c r="D91" s="22" t="s">
        <v>144</v>
      </c>
      <c r="E91" s="19" t="s">
        <v>47</v>
      </c>
      <c r="F91" s="19" t="s">
        <v>247</v>
      </c>
      <c r="G91" s="19" t="s">
        <v>3</v>
      </c>
      <c r="H91" s="50">
        <v>3000000</v>
      </c>
    </row>
    <row r="92" spans="1:8" ht="29.25" customHeight="1" x14ac:dyDescent="0.25">
      <c r="A92" s="23" t="s">
        <v>175</v>
      </c>
      <c r="B92" s="23" t="s">
        <v>165</v>
      </c>
      <c r="C92" s="21" t="s">
        <v>45</v>
      </c>
      <c r="D92" s="22" t="s">
        <v>144</v>
      </c>
      <c r="E92" s="19" t="s">
        <v>47</v>
      </c>
      <c r="F92" s="19" t="s">
        <v>169</v>
      </c>
      <c r="G92" s="19" t="s">
        <v>8</v>
      </c>
      <c r="H92" s="50">
        <v>7792000</v>
      </c>
    </row>
    <row r="93" spans="1:8" ht="25.5" x14ac:dyDescent="0.25">
      <c r="A93" s="23" t="s">
        <v>175</v>
      </c>
      <c r="B93" s="23" t="s">
        <v>98</v>
      </c>
      <c r="C93" s="21" t="s">
        <v>45</v>
      </c>
      <c r="D93" s="22" t="s">
        <v>144</v>
      </c>
      <c r="E93" s="19" t="s">
        <v>46</v>
      </c>
      <c r="F93" s="19" t="s">
        <v>147</v>
      </c>
      <c r="G93" s="19" t="s">
        <v>8</v>
      </c>
      <c r="H93" s="50">
        <v>1050000</v>
      </c>
    </row>
    <row r="94" spans="1:8" ht="25.5" x14ac:dyDescent="0.25">
      <c r="A94" s="23" t="s">
        <v>175</v>
      </c>
      <c r="B94" s="23" t="s">
        <v>99</v>
      </c>
      <c r="C94" s="21" t="s">
        <v>45</v>
      </c>
      <c r="D94" s="22" t="s">
        <v>144</v>
      </c>
      <c r="E94" s="19" t="s">
        <v>47</v>
      </c>
      <c r="F94" s="19" t="s">
        <v>148</v>
      </c>
      <c r="G94" s="19" t="s">
        <v>8</v>
      </c>
      <c r="H94" s="50">
        <v>2551240.7999999998</v>
      </c>
    </row>
    <row r="95" spans="1:8" ht="35.25" customHeight="1" x14ac:dyDescent="0.25">
      <c r="A95" s="23" t="s">
        <v>175</v>
      </c>
      <c r="B95" s="23" t="s">
        <v>225</v>
      </c>
      <c r="C95" s="21" t="s">
        <v>45</v>
      </c>
      <c r="D95" s="22" t="s">
        <v>144</v>
      </c>
      <c r="E95" s="19" t="s">
        <v>47</v>
      </c>
      <c r="F95" s="19" t="s">
        <v>53</v>
      </c>
      <c r="G95" s="19" t="s">
        <v>8</v>
      </c>
      <c r="H95" s="50">
        <v>3248928</v>
      </c>
    </row>
    <row r="96" spans="1:8" ht="25.5" x14ac:dyDescent="0.25">
      <c r="A96" s="23" t="s">
        <v>175</v>
      </c>
      <c r="B96" s="23" t="s">
        <v>226</v>
      </c>
      <c r="C96" s="21" t="s">
        <v>45</v>
      </c>
      <c r="D96" s="22" t="s">
        <v>144</v>
      </c>
      <c r="E96" s="19" t="s">
        <v>47</v>
      </c>
      <c r="F96" s="19" t="s">
        <v>53</v>
      </c>
      <c r="G96" s="19" t="s">
        <v>8</v>
      </c>
      <c r="H96" s="50">
        <v>587419.19999999995</v>
      </c>
    </row>
    <row r="97" spans="1:8" ht="36" customHeight="1" x14ac:dyDescent="0.25">
      <c r="A97" s="23" t="s">
        <v>175</v>
      </c>
      <c r="B97" s="23" t="s">
        <v>156</v>
      </c>
      <c r="C97" s="21" t="s">
        <v>1</v>
      </c>
      <c r="D97" s="22" t="s">
        <v>144</v>
      </c>
      <c r="E97" s="19" t="s">
        <v>48</v>
      </c>
      <c r="F97" s="19" t="s">
        <v>224</v>
      </c>
      <c r="G97" s="19" t="s">
        <v>3</v>
      </c>
      <c r="H97" s="50">
        <v>300000</v>
      </c>
    </row>
    <row r="98" spans="1:8" ht="25.5" x14ac:dyDescent="0.25">
      <c r="A98" s="23" t="s">
        <v>176</v>
      </c>
      <c r="B98" s="23" t="s">
        <v>87</v>
      </c>
      <c r="C98" s="19" t="s">
        <v>44</v>
      </c>
      <c r="D98" s="20" t="s">
        <v>144</v>
      </c>
      <c r="E98" s="19" t="s">
        <v>47</v>
      </c>
      <c r="F98" s="19" t="s">
        <v>88</v>
      </c>
      <c r="G98" s="19" t="s">
        <v>8</v>
      </c>
      <c r="H98" s="25">
        <f>60000+500000+60000+1000000</f>
        <v>1620000</v>
      </c>
    </row>
    <row r="99" spans="1:8" ht="25.5" x14ac:dyDescent="0.25">
      <c r="A99" s="23" t="s">
        <v>176</v>
      </c>
      <c r="B99" s="23" t="s">
        <v>89</v>
      </c>
      <c r="C99" s="19" t="s">
        <v>44</v>
      </c>
      <c r="D99" s="20" t="s">
        <v>144</v>
      </c>
      <c r="E99" s="19" t="s">
        <v>47</v>
      </c>
      <c r="F99" s="19" t="s">
        <v>88</v>
      </c>
      <c r="G99" s="19" t="s">
        <v>8</v>
      </c>
      <c r="H99" s="25">
        <v>360000</v>
      </c>
    </row>
    <row r="100" spans="1:8" ht="25.5" x14ac:dyDescent="0.25">
      <c r="A100" s="23" t="s">
        <v>176</v>
      </c>
      <c r="B100" s="23" t="s">
        <v>90</v>
      </c>
      <c r="C100" s="19" t="s">
        <v>44</v>
      </c>
      <c r="D100" s="20" t="s">
        <v>144</v>
      </c>
      <c r="E100" s="19" t="s">
        <v>47</v>
      </c>
      <c r="F100" s="19" t="s">
        <v>88</v>
      </c>
      <c r="G100" s="19" t="s">
        <v>8</v>
      </c>
      <c r="H100" s="25">
        <f>660000+572000</f>
        <v>1232000</v>
      </c>
    </row>
    <row r="101" spans="1:8" ht="38.25" x14ac:dyDescent="0.25">
      <c r="A101" s="23" t="s">
        <v>177</v>
      </c>
      <c r="B101" s="23" t="s">
        <v>92</v>
      </c>
      <c r="C101" s="19" t="s">
        <v>44</v>
      </c>
      <c r="D101" s="20" t="s">
        <v>144</v>
      </c>
      <c r="E101" s="19" t="s">
        <v>47</v>
      </c>
      <c r="F101" s="19" t="s">
        <v>53</v>
      </c>
      <c r="G101" s="19" t="s">
        <v>8</v>
      </c>
      <c r="H101" s="25">
        <v>60000</v>
      </c>
    </row>
    <row r="102" spans="1:8" x14ac:dyDescent="0.25">
      <c r="A102" s="23" t="s">
        <v>177</v>
      </c>
      <c r="B102" s="23" t="s">
        <v>91</v>
      </c>
      <c r="C102" s="19" t="s">
        <v>44</v>
      </c>
      <c r="D102" s="20" t="s">
        <v>144</v>
      </c>
      <c r="E102" s="19" t="s">
        <v>47</v>
      </c>
      <c r="F102" s="19" t="s">
        <v>53</v>
      </c>
      <c r="G102" s="19" t="s">
        <v>8</v>
      </c>
      <c r="H102" s="25">
        <v>150000</v>
      </c>
    </row>
    <row r="103" spans="1:8" ht="25.5" x14ac:dyDescent="0.25">
      <c r="A103" s="23" t="s">
        <v>178</v>
      </c>
      <c r="B103" s="23" t="s">
        <v>93</v>
      </c>
      <c r="C103" s="19" t="s">
        <v>44</v>
      </c>
      <c r="D103" s="20" t="s">
        <v>144</v>
      </c>
      <c r="E103" s="19" t="s">
        <v>47</v>
      </c>
      <c r="F103" s="19" t="s">
        <v>53</v>
      </c>
      <c r="G103" s="19" t="s">
        <v>3</v>
      </c>
      <c r="H103" s="62">
        <v>840000</v>
      </c>
    </row>
    <row r="104" spans="1:8" ht="38.25" x14ac:dyDescent="0.25">
      <c r="A104" s="23" t="s">
        <v>193</v>
      </c>
      <c r="B104" s="36" t="s">
        <v>172</v>
      </c>
      <c r="C104" s="19" t="s">
        <v>44</v>
      </c>
      <c r="D104" s="20" t="s">
        <v>144</v>
      </c>
      <c r="E104" s="19" t="s">
        <v>47</v>
      </c>
      <c r="F104" s="19" t="s">
        <v>53</v>
      </c>
      <c r="G104" s="19" t="s">
        <v>3</v>
      </c>
      <c r="H104" s="25">
        <v>1500000</v>
      </c>
    </row>
    <row r="105" spans="1:8" ht="38.25" x14ac:dyDescent="0.25">
      <c r="A105" s="23" t="s">
        <v>193</v>
      </c>
      <c r="B105" s="23" t="s">
        <v>94</v>
      </c>
      <c r="C105" s="19" t="s">
        <v>44</v>
      </c>
      <c r="D105" s="20" t="s">
        <v>144</v>
      </c>
      <c r="E105" s="19" t="s">
        <v>47</v>
      </c>
      <c r="F105" s="19" t="s">
        <v>53</v>
      </c>
      <c r="G105" s="19" t="s">
        <v>8</v>
      </c>
      <c r="H105" s="25">
        <v>600000</v>
      </c>
    </row>
    <row r="106" spans="1:8" ht="38.25" x14ac:dyDescent="0.25">
      <c r="A106" s="23" t="s">
        <v>193</v>
      </c>
      <c r="B106" s="23" t="s">
        <v>95</v>
      </c>
      <c r="C106" s="19" t="s">
        <v>44</v>
      </c>
      <c r="D106" s="20" t="s">
        <v>144</v>
      </c>
      <c r="E106" s="19" t="s">
        <v>48</v>
      </c>
      <c r="F106" s="19" t="s">
        <v>53</v>
      </c>
      <c r="G106" s="19" t="s">
        <v>3</v>
      </c>
      <c r="H106" s="25">
        <v>500000</v>
      </c>
    </row>
    <row r="107" spans="1:8" ht="25.5" x14ac:dyDescent="0.25">
      <c r="A107" s="23" t="s">
        <v>194</v>
      </c>
      <c r="B107" s="23" t="s">
        <v>96</v>
      </c>
      <c r="C107" s="19" t="s">
        <v>44</v>
      </c>
      <c r="D107" s="20" t="s">
        <v>144</v>
      </c>
      <c r="E107" s="39" t="s">
        <v>47</v>
      </c>
      <c r="F107" s="19" t="s">
        <v>53</v>
      </c>
      <c r="G107" s="41" t="s">
        <v>3</v>
      </c>
      <c r="H107" s="25">
        <v>1208041.3999999999</v>
      </c>
    </row>
    <row r="108" spans="1:8" ht="45.75" customHeight="1" x14ac:dyDescent="0.25">
      <c r="A108" s="23" t="s">
        <v>195</v>
      </c>
      <c r="B108" s="23" t="s">
        <v>97</v>
      </c>
      <c r="C108" s="19" t="s">
        <v>44</v>
      </c>
      <c r="D108" s="20" t="s">
        <v>144</v>
      </c>
      <c r="E108" s="39" t="s">
        <v>47</v>
      </c>
      <c r="F108" s="19" t="s">
        <v>53</v>
      </c>
      <c r="G108" s="19" t="s">
        <v>8</v>
      </c>
      <c r="H108" s="25">
        <v>100000</v>
      </c>
    </row>
    <row r="109" spans="1:8" ht="25.5" x14ac:dyDescent="0.25">
      <c r="A109" s="23" t="s">
        <v>195</v>
      </c>
      <c r="B109" s="23" t="s">
        <v>206</v>
      </c>
      <c r="C109" s="21" t="s">
        <v>1</v>
      </c>
      <c r="D109" s="20" t="s">
        <v>144</v>
      </c>
      <c r="E109" s="39" t="s">
        <v>47</v>
      </c>
      <c r="F109" s="19" t="s">
        <v>53</v>
      </c>
      <c r="G109" s="19" t="s">
        <v>3</v>
      </c>
      <c r="H109" s="25">
        <v>300000</v>
      </c>
    </row>
    <row r="110" spans="1:8" ht="25.5" x14ac:dyDescent="0.25">
      <c r="A110" s="23" t="s">
        <v>195</v>
      </c>
      <c r="B110" s="23" t="s">
        <v>207</v>
      </c>
      <c r="C110" s="21" t="s">
        <v>1</v>
      </c>
      <c r="D110" s="20" t="s">
        <v>144</v>
      </c>
      <c r="E110" s="39" t="s">
        <v>47</v>
      </c>
      <c r="F110" s="19" t="s">
        <v>53</v>
      </c>
      <c r="G110" s="19" t="s">
        <v>3</v>
      </c>
      <c r="H110" s="25">
        <v>700000</v>
      </c>
    </row>
    <row r="111" spans="1:8" ht="38.25" x14ac:dyDescent="0.25">
      <c r="A111" s="23" t="s">
        <v>195</v>
      </c>
      <c r="B111" s="23" t="s">
        <v>208</v>
      </c>
      <c r="C111" s="21" t="s">
        <v>1</v>
      </c>
      <c r="D111" s="20" t="s">
        <v>144</v>
      </c>
      <c r="E111" s="39" t="s">
        <v>47</v>
      </c>
      <c r="F111" s="19" t="s">
        <v>53</v>
      </c>
      <c r="G111" s="19" t="s">
        <v>3</v>
      </c>
      <c r="H111" s="25">
        <v>400000</v>
      </c>
    </row>
    <row r="112" spans="1:8" ht="38.25" x14ac:dyDescent="0.25">
      <c r="A112" s="23" t="s">
        <v>195</v>
      </c>
      <c r="B112" s="36" t="s">
        <v>211</v>
      </c>
      <c r="C112" s="21" t="s">
        <v>44</v>
      </c>
      <c r="D112" s="20" t="s">
        <v>144</v>
      </c>
      <c r="E112" s="39" t="s">
        <v>47</v>
      </c>
      <c r="F112" s="19" t="s">
        <v>53</v>
      </c>
      <c r="G112" s="19" t="s">
        <v>3</v>
      </c>
      <c r="H112" s="25">
        <v>500000</v>
      </c>
    </row>
    <row r="113" spans="1:22" ht="25.5" x14ac:dyDescent="0.25">
      <c r="A113" s="23" t="s">
        <v>195</v>
      </c>
      <c r="B113" s="23" t="s">
        <v>209</v>
      </c>
      <c r="C113" s="21" t="s">
        <v>1</v>
      </c>
      <c r="D113" s="20" t="s">
        <v>144</v>
      </c>
      <c r="E113" s="39" t="s">
        <v>47</v>
      </c>
      <c r="F113" s="19" t="s">
        <v>53</v>
      </c>
      <c r="G113" s="19" t="s">
        <v>3</v>
      </c>
      <c r="H113" s="25">
        <v>400000</v>
      </c>
    </row>
    <row r="114" spans="1:22" ht="25.5" x14ac:dyDescent="0.25">
      <c r="A114" s="23" t="s">
        <v>195</v>
      </c>
      <c r="B114" s="36" t="s">
        <v>210</v>
      </c>
      <c r="C114" s="21" t="s">
        <v>1</v>
      </c>
      <c r="D114" s="20" t="s">
        <v>144</v>
      </c>
      <c r="E114" s="39" t="s">
        <v>47</v>
      </c>
      <c r="F114" s="22" t="s">
        <v>53</v>
      </c>
      <c r="G114" s="19" t="s">
        <v>3</v>
      </c>
      <c r="H114" s="25">
        <v>300000</v>
      </c>
    </row>
    <row r="115" spans="1:22" s="10" customFormat="1" ht="38.25" customHeight="1" x14ac:dyDescent="0.25">
      <c r="A115" s="23" t="s">
        <v>145</v>
      </c>
      <c r="B115" s="34" t="s">
        <v>100</v>
      </c>
      <c r="C115" s="39" t="s">
        <v>1</v>
      </c>
      <c r="D115" s="22" t="s">
        <v>144</v>
      </c>
      <c r="E115" s="22" t="s">
        <v>47</v>
      </c>
      <c r="F115" s="22" t="s">
        <v>223</v>
      </c>
      <c r="G115" s="22" t="s">
        <v>3</v>
      </c>
      <c r="H115" s="32">
        <v>13200000</v>
      </c>
      <c r="I115" s="16"/>
      <c r="J115" s="16"/>
      <c r="K115" s="16"/>
      <c r="L115" s="16"/>
      <c r="M115" s="16"/>
      <c r="N115" s="16"/>
      <c r="O115" s="16"/>
      <c r="P115" s="16"/>
      <c r="Q115" s="16"/>
      <c r="R115" s="16"/>
      <c r="S115" s="16"/>
      <c r="T115" s="16"/>
      <c r="U115" s="16"/>
      <c r="V115" s="16"/>
    </row>
    <row r="116" spans="1:22" s="10" customFormat="1" ht="33.75" customHeight="1" x14ac:dyDescent="0.25">
      <c r="A116" s="23" t="s">
        <v>130</v>
      </c>
      <c r="B116" s="33" t="s">
        <v>101</v>
      </c>
      <c r="C116" s="21" t="s">
        <v>1</v>
      </c>
      <c r="D116" s="22" t="s">
        <v>144</v>
      </c>
      <c r="E116" s="22" t="s">
        <v>47</v>
      </c>
      <c r="F116" s="22" t="s">
        <v>169</v>
      </c>
      <c r="G116" s="22" t="s">
        <v>3</v>
      </c>
      <c r="H116" s="31">
        <v>6000000</v>
      </c>
      <c r="I116" s="16"/>
      <c r="J116" s="16"/>
      <c r="K116" s="16"/>
      <c r="L116" s="16"/>
      <c r="M116" s="16"/>
      <c r="N116" s="16"/>
      <c r="O116" s="16"/>
      <c r="P116" s="16"/>
      <c r="Q116" s="16"/>
      <c r="R116" s="16"/>
      <c r="S116" s="16"/>
      <c r="T116" s="16"/>
      <c r="U116" s="16"/>
      <c r="V116" s="16"/>
    </row>
    <row r="117" spans="1:22" s="10" customFormat="1" ht="33" customHeight="1" x14ac:dyDescent="0.25">
      <c r="A117" s="23" t="s">
        <v>130</v>
      </c>
      <c r="B117" s="34" t="s">
        <v>102</v>
      </c>
      <c r="C117" s="21" t="s">
        <v>1</v>
      </c>
      <c r="D117" s="22" t="s">
        <v>144</v>
      </c>
      <c r="E117" s="22" t="s">
        <v>47</v>
      </c>
      <c r="F117" s="22" t="s">
        <v>169</v>
      </c>
      <c r="G117" s="22" t="s">
        <v>3</v>
      </c>
      <c r="H117" s="32">
        <v>7200000</v>
      </c>
      <c r="I117" s="16"/>
      <c r="J117" s="16"/>
      <c r="K117" s="16"/>
      <c r="L117" s="16"/>
      <c r="M117" s="16"/>
      <c r="N117" s="16"/>
      <c r="O117" s="16"/>
      <c r="P117" s="16"/>
      <c r="Q117" s="16"/>
      <c r="R117" s="16"/>
      <c r="S117" s="16"/>
      <c r="T117" s="16"/>
      <c r="U117" s="16"/>
      <c r="V117" s="16"/>
    </row>
    <row r="118" spans="1:22" s="10" customFormat="1" ht="44.25" customHeight="1" x14ac:dyDescent="0.25">
      <c r="A118" s="23" t="s">
        <v>130</v>
      </c>
      <c r="B118" s="33" t="s">
        <v>103</v>
      </c>
      <c r="C118" s="21" t="s">
        <v>1</v>
      </c>
      <c r="D118" s="22" t="s">
        <v>144</v>
      </c>
      <c r="E118" s="22" t="s">
        <v>47</v>
      </c>
      <c r="F118" s="22" t="s">
        <v>169</v>
      </c>
      <c r="G118" s="22" t="s">
        <v>3</v>
      </c>
      <c r="H118" s="31">
        <v>2400000</v>
      </c>
      <c r="I118" s="16"/>
      <c r="J118" s="16"/>
      <c r="K118" s="16"/>
      <c r="L118" s="16"/>
      <c r="M118" s="16"/>
      <c r="N118" s="16"/>
      <c r="O118" s="16"/>
      <c r="P118" s="16"/>
      <c r="Q118" s="16"/>
      <c r="R118" s="16"/>
      <c r="S118" s="16"/>
      <c r="T118" s="16"/>
      <c r="U118" s="16"/>
      <c r="V118" s="16"/>
    </row>
    <row r="119" spans="1:22" s="10" customFormat="1" ht="41.25" customHeight="1" x14ac:dyDescent="0.25">
      <c r="A119" s="23" t="s">
        <v>130</v>
      </c>
      <c r="B119" s="35" t="s">
        <v>104</v>
      </c>
      <c r="C119" s="21" t="s">
        <v>1</v>
      </c>
      <c r="D119" s="22" t="s">
        <v>144</v>
      </c>
      <c r="E119" s="22" t="s">
        <v>47</v>
      </c>
      <c r="F119" s="22" t="s">
        <v>169</v>
      </c>
      <c r="G119" s="22" t="s">
        <v>3</v>
      </c>
      <c r="H119" s="32">
        <v>4800000</v>
      </c>
      <c r="I119" s="16"/>
      <c r="J119" s="16"/>
      <c r="K119" s="16"/>
      <c r="L119" s="16"/>
      <c r="M119" s="16"/>
      <c r="N119" s="16"/>
      <c r="O119" s="16"/>
      <c r="P119" s="16"/>
      <c r="Q119" s="16"/>
      <c r="R119" s="16"/>
      <c r="S119" s="16"/>
      <c r="T119" s="16"/>
      <c r="U119" s="16"/>
      <c r="V119" s="16"/>
    </row>
    <row r="120" spans="1:22" s="10" customFormat="1" ht="42.75" customHeight="1" x14ac:dyDescent="0.25">
      <c r="A120" s="23" t="s">
        <v>130</v>
      </c>
      <c r="B120" s="34" t="s">
        <v>105</v>
      </c>
      <c r="C120" s="21" t="s">
        <v>1</v>
      </c>
      <c r="D120" s="22" t="s">
        <v>144</v>
      </c>
      <c r="E120" s="22" t="s">
        <v>47</v>
      </c>
      <c r="F120" s="22" t="s">
        <v>53</v>
      </c>
      <c r="G120" s="22" t="s">
        <v>3</v>
      </c>
      <c r="H120" s="32">
        <v>7200000</v>
      </c>
      <c r="I120" s="16"/>
      <c r="J120" s="16"/>
      <c r="K120" s="16"/>
      <c r="L120" s="16"/>
      <c r="M120" s="16"/>
      <c r="N120" s="16"/>
      <c r="O120" s="16"/>
      <c r="P120" s="16"/>
      <c r="Q120" s="16"/>
      <c r="R120" s="16"/>
      <c r="S120" s="16"/>
      <c r="T120" s="16"/>
      <c r="U120" s="16"/>
      <c r="V120" s="16"/>
    </row>
    <row r="121" spans="1:22" s="10" customFormat="1" ht="44.25" customHeight="1" x14ac:dyDescent="0.25">
      <c r="A121" s="23" t="s">
        <v>130</v>
      </c>
      <c r="B121" s="33" t="s">
        <v>106</v>
      </c>
      <c r="C121" s="21" t="s">
        <v>44</v>
      </c>
      <c r="D121" s="22" t="s">
        <v>144</v>
      </c>
      <c r="E121" s="22" t="s">
        <v>47</v>
      </c>
      <c r="F121" s="22" t="s">
        <v>53</v>
      </c>
      <c r="G121" s="22" t="s">
        <v>3</v>
      </c>
      <c r="H121" s="31">
        <v>600000</v>
      </c>
      <c r="I121" s="16"/>
      <c r="J121" s="16"/>
      <c r="K121" s="16"/>
      <c r="L121" s="16"/>
      <c r="M121" s="16"/>
      <c r="N121" s="16"/>
      <c r="O121" s="16"/>
      <c r="P121" s="16"/>
      <c r="Q121" s="16"/>
      <c r="R121" s="16"/>
      <c r="S121" s="16"/>
      <c r="T121" s="16"/>
      <c r="U121" s="16"/>
      <c r="V121" s="16"/>
    </row>
    <row r="122" spans="1:22" s="10" customFormat="1" ht="54" customHeight="1" x14ac:dyDescent="0.25">
      <c r="A122" s="23" t="s">
        <v>130</v>
      </c>
      <c r="B122" s="34" t="s">
        <v>166</v>
      </c>
      <c r="C122" s="21" t="s">
        <v>44</v>
      </c>
      <c r="D122" s="22" t="s">
        <v>144</v>
      </c>
      <c r="E122" s="22" t="s">
        <v>47</v>
      </c>
      <c r="F122" s="22" t="s">
        <v>53</v>
      </c>
      <c r="G122" s="19" t="s">
        <v>8</v>
      </c>
      <c r="H122" s="32">
        <v>480000</v>
      </c>
      <c r="I122" s="16"/>
      <c r="J122" s="16"/>
      <c r="K122" s="16"/>
      <c r="L122" s="16"/>
      <c r="M122" s="16"/>
      <c r="N122" s="16"/>
      <c r="O122" s="16"/>
      <c r="P122" s="16"/>
      <c r="Q122" s="16"/>
      <c r="R122" s="16"/>
      <c r="S122" s="16"/>
      <c r="T122" s="16"/>
      <c r="U122" s="16"/>
      <c r="V122" s="16"/>
    </row>
    <row r="123" spans="1:22" s="10" customFormat="1" ht="51" customHeight="1" x14ac:dyDescent="0.25">
      <c r="A123" s="23" t="s">
        <v>130</v>
      </c>
      <c r="B123" s="33" t="s">
        <v>107</v>
      </c>
      <c r="C123" s="21" t="s">
        <v>1</v>
      </c>
      <c r="D123" s="22" t="s">
        <v>144</v>
      </c>
      <c r="E123" s="22" t="s">
        <v>47</v>
      </c>
      <c r="F123" s="22" t="s">
        <v>53</v>
      </c>
      <c r="G123" s="22" t="s">
        <v>3</v>
      </c>
      <c r="H123" s="31">
        <v>2400000</v>
      </c>
      <c r="I123" s="16"/>
      <c r="J123" s="16"/>
      <c r="K123" s="16"/>
      <c r="L123" s="16"/>
      <c r="M123" s="16"/>
      <c r="N123" s="16"/>
      <c r="O123" s="16"/>
      <c r="P123" s="16"/>
      <c r="Q123" s="16"/>
      <c r="R123" s="16"/>
      <c r="S123" s="16"/>
      <c r="T123" s="16"/>
      <c r="U123" s="16"/>
      <c r="V123" s="16"/>
    </row>
    <row r="124" spans="1:22" s="10" customFormat="1" ht="43.5" customHeight="1" x14ac:dyDescent="0.25">
      <c r="A124" s="23" t="s">
        <v>130</v>
      </c>
      <c r="B124" s="34" t="s">
        <v>108</v>
      </c>
      <c r="C124" s="21" t="s">
        <v>1</v>
      </c>
      <c r="D124" s="22" t="s">
        <v>144</v>
      </c>
      <c r="E124" s="22" t="s">
        <v>48</v>
      </c>
      <c r="F124" s="22" t="s">
        <v>53</v>
      </c>
      <c r="G124" s="22" t="s">
        <v>3</v>
      </c>
      <c r="H124" s="32">
        <v>6000000</v>
      </c>
      <c r="I124" s="16"/>
      <c r="J124" s="16"/>
      <c r="K124" s="16"/>
      <c r="L124" s="16"/>
      <c r="M124" s="16"/>
      <c r="N124" s="16"/>
      <c r="O124" s="16"/>
      <c r="P124" s="16"/>
      <c r="Q124" s="16"/>
      <c r="R124" s="16"/>
      <c r="S124" s="16"/>
      <c r="T124" s="16"/>
      <c r="U124" s="16"/>
      <c r="V124" s="16"/>
    </row>
    <row r="125" spans="1:22" s="10" customFormat="1" ht="40.5" customHeight="1" x14ac:dyDescent="0.25">
      <c r="A125" s="23" t="s">
        <v>130</v>
      </c>
      <c r="B125" s="33" t="s">
        <v>109</v>
      </c>
      <c r="C125" s="21" t="s">
        <v>1</v>
      </c>
      <c r="D125" s="22" t="s">
        <v>144</v>
      </c>
      <c r="E125" s="22" t="s">
        <v>48</v>
      </c>
      <c r="F125" s="22" t="s">
        <v>53</v>
      </c>
      <c r="G125" s="22" t="s">
        <v>3</v>
      </c>
      <c r="H125" s="32">
        <v>2400000</v>
      </c>
      <c r="I125" s="16"/>
      <c r="J125" s="16"/>
      <c r="K125" s="16"/>
      <c r="L125" s="16"/>
      <c r="M125" s="16"/>
      <c r="N125" s="16"/>
      <c r="O125" s="16"/>
      <c r="P125" s="16"/>
      <c r="Q125" s="16"/>
      <c r="R125" s="16"/>
      <c r="S125" s="16"/>
      <c r="T125" s="16"/>
      <c r="U125" s="16"/>
      <c r="V125" s="16"/>
    </row>
    <row r="126" spans="1:22" s="10" customFormat="1" ht="45.75" customHeight="1" x14ac:dyDescent="0.25">
      <c r="A126" s="23" t="s">
        <v>130</v>
      </c>
      <c r="B126" s="36" t="s">
        <v>110</v>
      </c>
      <c r="C126" s="21" t="s">
        <v>1</v>
      </c>
      <c r="D126" s="22" t="s">
        <v>144</v>
      </c>
      <c r="E126" s="22" t="s">
        <v>47</v>
      </c>
      <c r="F126" s="22" t="s">
        <v>53</v>
      </c>
      <c r="G126" s="22" t="s">
        <v>3</v>
      </c>
      <c r="H126" s="31">
        <v>6000000</v>
      </c>
      <c r="I126" s="16"/>
      <c r="J126" s="16"/>
      <c r="K126" s="16"/>
      <c r="L126" s="16"/>
      <c r="M126" s="16"/>
      <c r="N126" s="16"/>
      <c r="O126" s="16"/>
      <c r="P126" s="16"/>
      <c r="Q126" s="16"/>
      <c r="R126" s="16"/>
      <c r="S126" s="16"/>
      <c r="T126" s="16"/>
      <c r="U126" s="16"/>
      <c r="V126" s="16"/>
    </row>
    <row r="127" spans="1:22" s="10" customFormat="1" ht="44.25" customHeight="1" x14ac:dyDescent="0.25">
      <c r="A127" s="23" t="s">
        <v>130</v>
      </c>
      <c r="B127" s="33" t="s">
        <v>111</v>
      </c>
      <c r="C127" s="21" t="s">
        <v>1</v>
      </c>
      <c r="D127" s="22" t="s">
        <v>144</v>
      </c>
      <c r="E127" s="22" t="s">
        <v>47</v>
      </c>
      <c r="F127" s="22" t="s">
        <v>53</v>
      </c>
      <c r="G127" s="22" t="s">
        <v>3</v>
      </c>
      <c r="H127" s="32">
        <v>9600000</v>
      </c>
      <c r="I127" s="16"/>
      <c r="J127" s="16"/>
      <c r="K127" s="16"/>
      <c r="L127" s="16"/>
      <c r="M127" s="16"/>
      <c r="N127" s="16"/>
      <c r="O127" s="16"/>
      <c r="P127" s="16"/>
      <c r="Q127" s="16"/>
      <c r="R127" s="16"/>
      <c r="S127" s="16"/>
      <c r="T127" s="16"/>
      <c r="U127" s="16"/>
      <c r="V127" s="16"/>
    </row>
    <row r="128" spans="1:22" s="10" customFormat="1" ht="30.75" customHeight="1" x14ac:dyDescent="0.25">
      <c r="A128" s="23" t="s">
        <v>130</v>
      </c>
      <c r="B128" s="36" t="s">
        <v>112</v>
      </c>
      <c r="C128" s="21" t="s">
        <v>1</v>
      </c>
      <c r="D128" s="22" t="s">
        <v>144</v>
      </c>
      <c r="E128" s="22" t="s">
        <v>47</v>
      </c>
      <c r="F128" s="22" t="s">
        <v>53</v>
      </c>
      <c r="G128" s="22" t="s">
        <v>3</v>
      </c>
      <c r="H128" s="31">
        <v>2400000</v>
      </c>
      <c r="I128" s="16"/>
      <c r="J128" s="16"/>
      <c r="K128" s="16"/>
      <c r="L128" s="16"/>
      <c r="M128" s="16"/>
      <c r="N128" s="16"/>
      <c r="O128" s="16"/>
      <c r="P128" s="16"/>
      <c r="Q128" s="16"/>
      <c r="R128" s="16"/>
      <c r="S128" s="16"/>
      <c r="T128" s="16"/>
      <c r="U128" s="16"/>
      <c r="V128" s="16"/>
    </row>
    <row r="129" spans="1:22" s="10" customFormat="1" ht="46.5" customHeight="1" x14ac:dyDescent="0.25">
      <c r="A129" s="23" t="s">
        <v>130</v>
      </c>
      <c r="B129" s="33" t="s">
        <v>113</v>
      </c>
      <c r="C129" s="21" t="s">
        <v>1</v>
      </c>
      <c r="D129" s="22" t="s">
        <v>144</v>
      </c>
      <c r="E129" s="22" t="s">
        <v>47</v>
      </c>
      <c r="F129" s="22" t="s">
        <v>53</v>
      </c>
      <c r="G129" s="22" t="s">
        <v>3</v>
      </c>
      <c r="H129" s="32">
        <v>2400000</v>
      </c>
      <c r="I129" s="16"/>
      <c r="J129" s="16"/>
      <c r="K129" s="16"/>
      <c r="L129" s="16"/>
      <c r="M129" s="16"/>
      <c r="N129" s="16"/>
      <c r="O129" s="16"/>
      <c r="P129" s="16"/>
      <c r="Q129" s="16"/>
      <c r="R129" s="16"/>
      <c r="S129" s="16"/>
      <c r="T129" s="16"/>
      <c r="U129" s="16"/>
      <c r="V129" s="16"/>
    </row>
    <row r="130" spans="1:22" s="10" customFormat="1" ht="51.75" customHeight="1" x14ac:dyDescent="0.25">
      <c r="A130" s="23" t="s">
        <v>130</v>
      </c>
      <c r="B130" s="36" t="s">
        <v>114</v>
      </c>
      <c r="C130" s="21" t="s">
        <v>1</v>
      </c>
      <c r="D130" s="22" t="s">
        <v>144</v>
      </c>
      <c r="E130" s="22" t="s">
        <v>47</v>
      </c>
      <c r="F130" s="22" t="s">
        <v>167</v>
      </c>
      <c r="G130" s="22" t="s">
        <v>3</v>
      </c>
      <c r="H130" s="32">
        <v>4200000</v>
      </c>
      <c r="I130" s="16"/>
      <c r="J130" s="16"/>
      <c r="K130" s="16"/>
      <c r="L130" s="16"/>
      <c r="M130" s="16"/>
      <c r="N130" s="16"/>
      <c r="O130" s="16"/>
      <c r="P130" s="16"/>
      <c r="Q130" s="16"/>
      <c r="R130" s="16"/>
      <c r="S130" s="16"/>
      <c r="T130" s="16"/>
      <c r="U130" s="16"/>
      <c r="V130" s="16"/>
    </row>
    <row r="131" spans="1:22" s="10" customFormat="1" ht="25.5" x14ac:dyDescent="0.25">
      <c r="A131" s="23" t="s">
        <v>130</v>
      </c>
      <c r="B131" s="33" t="s">
        <v>115</v>
      </c>
      <c r="C131" s="21" t="s">
        <v>1</v>
      </c>
      <c r="D131" s="22" t="s">
        <v>144</v>
      </c>
      <c r="E131" s="22" t="s">
        <v>47</v>
      </c>
      <c r="F131" s="22" t="s">
        <v>53</v>
      </c>
      <c r="G131" s="22" t="s">
        <v>3</v>
      </c>
      <c r="H131" s="31">
        <v>2400000</v>
      </c>
      <c r="I131" s="16"/>
      <c r="J131" s="16"/>
      <c r="K131" s="16"/>
      <c r="L131" s="16"/>
      <c r="M131" s="16"/>
      <c r="N131" s="16"/>
      <c r="O131" s="16"/>
      <c r="P131" s="16"/>
      <c r="Q131" s="16"/>
      <c r="R131" s="16"/>
      <c r="S131" s="16"/>
      <c r="T131" s="16"/>
      <c r="U131" s="16"/>
      <c r="V131" s="16"/>
    </row>
    <row r="132" spans="1:22" s="10" customFormat="1" ht="56.25" customHeight="1" x14ac:dyDescent="0.25">
      <c r="A132" s="23" t="s">
        <v>130</v>
      </c>
      <c r="B132" s="34" t="s">
        <v>116</v>
      </c>
      <c r="C132" s="21" t="s">
        <v>1</v>
      </c>
      <c r="D132" s="22" t="s">
        <v>144</v>
      </c>
      <c r="E132" s="22" t="s">
        <v>47</v>
      </c>
      <c r="F132" s="22" t="s">
        <v>53</v>
      </c>
      <c r="G132" s="22" t="s">
        <v>3</v>
      </c>
      <c r="H132" s="32">
        <v>3600000</v>
      </c>
      <c r="I132" s="16"/>
      <c r="J132" s="16"/>
      <c r="K132" s="16"/>
      <c r="L132" s="16"/>
      <c r="M132" s="16"/>
      <c r="N132" s="16"/>
      <c r="O132" s="16"/>
      <c r="P132" s="16"/>
      <c r="Q132" s="16"/>
      <c r="R132" s="16"/>
      <c r="S132" s="16"/>
      <c r="T132" s="16"/>
      <c r="U132" s="16"/>
      <c r="V132" s="16"/>
    </row>
    <row r="133" spans="1:22" s="10" customFormat="1" ht="36.75" customHeight="1" x14ac:dyDescent="0.25">
      <c r="A133" s="23" t="s">
        <v>130</v>
      </c>
      <c r="B133" s="33" t="s">
        <v>117</v>
      </c>
      <c r="C133" s="21" t="s">
        <v>1</v>
      </c>
      <c r="D133" s="22" t="s">
        <v>144</v>
      </c>
      <c r="E133" s="22" t="s">
        <v>47</v>
      </c>
      <c r="F133" s="22" t="s">
        <v>236</v>
      </c>
      <c r="G133" s="22" t="s">
        <v>3</v>
      </c>
      <c r="H133" s="31">
        <v>4800000</v>
      </c>
      <c r="I133" s="16"/>
      <c r="J133" s="16"/>
      <c r="K133" s="16"/>
      <c r="L133" s="16"/>
      <c r="M133" s="16"/>
      <c r="N133" s="16"/>
      <c r="O133" s="16"/>
      <c r="P133" s="16"/>
      <c r="Q133" s="16"/>
      <c r="R133" s="16"/>
      <c r="S133" s="16"/>
      <c r="T133" s="16"/>
      <c r="U133" s="16"/>
      <c r="V133" s="16"/>
    </row>
    <row r="134" spans="1:22" s="10" customFormat="1" ht="40.5" customHeight="1" x14ac:dyDescent="0.25">
      <c r="A134" s="23" t="s">
        <v>130</v>
      </c>
      <c r="B134" s="36" t="s">
        <v>118</v>
      </c>
      <c r="C134" s="21" t="s">
        <v>1</v>
      </c>
      <c r="D134" s="22" t="s">
        <v>144</v>
      </c>
      <c r="E134" s="22" t="s">
        <v>48</v>
      </c>
      <c r="F134" s="22" t="s">
        <v>53</v>
      </c>
      <c r="G134" s="22" t="s">
        <v>3</v>
      </c>
      <c r="H134" s="32">
        <v>3000000</v>
      </c>
      <c r="I134" s="16"/>
      <c r="J134" s="16"/>
      <c r="K134" s="16"/>
      <c r="L134" s="16"/>
      <c r="M134" s="16"/>
      <c r="N134" s="16"/>
      <c r="O134" s="16"/>
      <c r="P134" s="16"/>
      <c r="Q134" s="16"/>
      <c r="R134" s="16"/>
      <c r="S134" s="16"/>
      <c r="T134" s="16"/>
      <c r="U134" s="16"/>
      <c r="V134" s="16"/>
    </row>
    <row r="135" spans="1:22" s="10" customFormat="1" ht="25.5" x14ac:dyDescent="0.25">
      <c r="A135" s="23" t="s">
        <v>130</v>
      </c>
      <c r="B135" s="33" t="s">
        <v>119</v>
      </c>
      <c r="C135" s="21" t="s">
        <v>1</v>
      </c>
      <c r="D135" s="22" t="s">
        <v>144</v>
      </c>
      <c r="E135" s="22" t="s">
        <v>47</v>
      </c>
      <c r="F135" s="22" t="s">
        <v>53</v>
      </c>
      <c r="G135" s="22" t="s">
        <v>3</v>
      </c>
      <c r="H135" s="32">
        <v>480000</v>
      </c>
      <c r="I135" s="16"/>
      <c r="J135" s="16"/>
      <c r="K135" s="16"/>
      <c r="L135" s="16"/>
      <c r="M135" s="16"/>
      <c r="N135" s="16"/>
      <c r="O135" s="16"/>
      <c r="P135" s="16"/>
      <c r="Q135" s="16"/>
      <c r="R135" s="16"/>
      <c r="S135" s="16"/>
      <c r="T135" s="16"/>
      <c r="U135" s="16"/>
      <c r="V135" s="16"/>
    </row>
    <row r="136" spans="1:22" s="10" customFormat="1" ht="37.5" customHeight="1" x14ac:dyDescent="0.25">
      <c r="A136" s="23" t="s">
        <v>130</v>
      </c>
      <c r="B136" s="34" t="s">
        <v>120</v>
      </c>
      <c r="C136" s="21" t="s">
        <v>1</v>
      </c>
      <c r="D136" s="22" t="s">
        <v>144</v>
      </c>
      <c r="E136" s="22" t="s">
        <v>47</v>
      </c>
      <c r="F136" s="22" t="s">
        <v>53</v>
      </c>
      <c r="G136" s="22" t="s">
        <v>3</v>
      </c>
      <c r="H136" s="31">
        <v>1200000</v>
      </c>
      <c r="I136" s="16"/>
      <c r="J136" s="16"/>
      <c r="K136" s="16"/>
      <c r="L136" s="16"/>
      <c r="M136" s="16"/>
      <c r="N136" s="16"/>
      <c r="O136" s="16"/>
      <c r="P136" s="16"/>
      <c r="Q136" s="16"/>
      <c r="R136" s="16"/>
      <c r="S136" s="16"/>
      <c r="T136" s="16"/>
      <c r="U136" s="16"/>
      <c r="V136" s="16"/>
    </row>
    <row r="137" spans="1:22" s="10" customFormat="1" ht="51.75" customHeight="1" x14ac:dyDescent="0.25">
      <c r="A137" s="23" t="s">
        <v>130</v>
      </c>
      <c r="B137" s="33" t="s">
        <v>121</v>
      </c>
      <c r="C137" s="21" t="s">
        <v>44</v>
      </c>
      <c r="D137" s="22" t="s">
        <v>144</v>
      </c>
      <c r="E137" s="22" t="s">
        <v>47</v>
      </c>
      <c r="F137" s="22" t="s">
        <v>53</v>
      </c>
      <c r="G137" s="22" t="s">
        <v>3</v>
      </c>
      <c r="H137" s="32">
        <v>1200000</v>
      </c>
      <c r="I137" s="16"/>
      <c r="J137" s="16"/>
      <c r="K137" s="16"/>
      <c r="L137" s="16"/>
      <c r="M137" s="16"/>
      <c r="N137" s="16"/>
      <c r="O137" s="16"/>
      <c r="P137" s="16"/>
      <c r="Q137" s="16"/>
      <c r="R137" s="16"/>
      <c r="S137" s="16"/>
      <c r="T137" s="16"/>
      <c r="U137" s="16"/>
      <c r="V137" s="16"/>
    </row>
    <row r="138" spans="1:22" s="10" customFormat="1" ht="36.75" customHeight="1" x14ac:dyDescent="0.25">
      <c r="A138" s="23" t="s">
        <v>130</v>
      </c>
      <c r="B138" s="33" t="s">
        <v>122</v>
      </c>
      <c r="C138" s="21" t="s">
        <v>1</v>
      </c>
      <c r="D138" s="22" t="s">
        <v>144</v>
      </c>
      <c r="E138" s="22" t="s">
        <v>152</v>
      </c>
      <c r="F138" s="22" t="s">
        <v>53</v>
      </c>
      <c r="G138" s="22" t="s">
        <v>3</v>
      </c>
      <c r="H138" s="31">
        <v>10200000</v>
      </c>
      <c r="I138" s="16"/>
      <c r="J138" s="16"/>
      <c r="K138" s="16"/>
      <c r="L138" s="16"/>
      <c r="M138" s="16"/>
      <c r="N138" s="16"/>
      <c r="O138" s="16"/>
      <c r="P138" s="16"/>
      <c r="Q138" s="16"/>
      <c r="R138" s="16"/>
      <c r="S138" s="16"/>
      <c r="T138" s="16"/>
      <c r="U138" s="16"/>
      <c r="V138" s="16"/>
    </row>
    <row r="139" spans="1:22" s="10" customFormat="1" ht="26.25" customHeight="1" x14ac:dyDescent="0.25">
      <c r="A139" s="23" t="s">
        <v>130</v>
      </c>
      <c r="B139" s="34" t="s">
        <v>123</v>
      </c>
      <c r="C139" s="21" t="s">
        <v>44</v>
      </c>
      <c r="D139" s="22" t="s">
        <v>144</v>
      </c>
      <c r="E139" s="22" t="s">
        <v>47</v>
      </c>
      <c r="F139" s="22" t="s">
        <v>53</v>
      </c>
      <c r="G139" s="19" t="s">
        <v>8</v>
      </c>
      <c r="H139" s="32">
        <v>1800000</v>
      </c>
      <c r="I139" s="16"/>
      <c r="J139" s="16"/>
      <c r="K139" s="16"/>
      <c r="L139" s="16"/>
      <c r="M139" s="16"/>
      <c r="N139" s="16"/>
      <c r="O139" s="16"/>
      <c r="P139" s="16"/>
      <c r="Q139" s="16"/>
      <c r="R139" s="16"/>
      <c r="S139" s="16"/>
      <c r="T139" s="16"/>
      <c r="U139" s="16"/>
      <c r="V139" s="16"/>
    </row>
    <row r="140" spans="1:22" s="10" customFormat="1" ht="42.75" customHeight="1" x14ac:dyDescent="0.25">
      <c r="A140" s="23" t="s">
        <v>130</v>
      </c>
      <c r="B140" s="37" t="s">
        <v>124</v>
      </c>
      <c r="C140" s="21" t="s">
        <v>1</v>
      </c>
      <c r="D140" s="22" t="s">
        <v>144</v>
      </c>
      <c r="E140" s="22" t="s">
        <v>47</v>
      </c>
      <c r="F140" s="22" t="s">
        <v>53</v>
      </c>
      <c r="G140" s="19" t="s">
        <v>8</v>
      </c>
      <c r="H140" s="32">
        <v>2400000</v>
      </c>
      <c r="I140" s="16"/>
      <c r="J140" s="16"/>
      <c r="K140" s="16"/>
      <c r="L140" s="16"/>
      <c r="M140" s="16"/>
      <c r="N140" s="16"/>
      <c r="O140" s="16"/>
      <c r="P140" s="16"/>
      <c r="Q140" s="16"/>
      <c r="R140" s="16"/>
      <c r="S140" s="16"/>
      <c r="T140" s="16"/>
      <c r="U140" s="16"/>
      <c r="V140" s="16"/>
    </row>
    <row r="141" spans="1:22" s="10" customFormat="1" ht="36" customHeight="1" x14ac:dyDescent="0.25">
      <c r="A141" s="23" t="s">
        <v>130</v>
      </c>
      <c r="B141" s="34" t="s">
        <v>125</v>
      </c>
      <c r="C141" s="21" t="s">
        <v>1</v>
      </c>
      <c r="D141" s="22" t="s">
        <v>144</v>
      </c>
      <c r="E141" s="22" t="s">
        <v>152</v>
      </c>
      <c r="F141" s="22" t="s">
        <v>53</v>
      </c>
      <c r="G141" s="22" t="s">
        <v>3</v>
      </c>
      <c r="H141" s="31">
        <v>4800000</v>
      </c>
      <c r="I141" s="16"/>
      <c r="J141" s="16"/>
      <c r="K141" s="16"/>
      <c r="L141" s="16"/>
      <c r="M141" s="16"/>
      <c r="N141" s="16"/>
      <c r="O141" s="16"/>
      <c r="P141" s="16"/>
      <c r="Q141" s="16"/>
      <c r="R141" s="16"/>
      <c r="S141" s="16"/>
      <c r="T141" s="16"/>
      <c r="U141" s="16"/>
      <c r="V141" s="16"/>
    </row>
    <row r="142" spans="1:22" s="10" customFormat="1" ht="29.25" customHeight="1" x14ac:dyDescent="0.25">
      <c r="A142" s="23" t="s">
        <v>130</v>
      </c>
      <c r="B142" s="37" t="s">
        <v>126</v>
      </c>
      <c r="C142" s="21" t="s">
        <v>1</v>
      </c>
      <c r="D142" s="22" t="s">
        <v>144</v>
      </c>
      <c r="E142" s="22" t="s">
        <v>47</v>
      </c>
      <c r="F142" s="22" t="s">
        <v>53</v>
      </c>
      <c r="G142" s="22" t="s">
        <v>3</v>
      </c>
      <c r="H142" s="32">
        <v>5400000</v>
      </c>
      <c r="I142" s="16"/>
      <c r="J142" s="16"/>
      <c r="K142" s="16"/>
      <c r="L142" s="16"/>
      <c r="M142" s="16"/>
      <c r="N142" s="16"/>
      <c r="O142" s="16"/>
      <c r="P142" s="16"/>
      <c r="Q142" s="16"/>
      <c r="R142" s="16"/>
      <c r="S142" s="16"/>
      <c r="T142" s="16"/>
      <c r="U142" s="16"/>
      <c r="V142" s="16"/>
    </row>
    <row r="143" spans="1:22" s="10" customFormat="1" ht="33" customHeight="1" x14ac:dyDescent="0.25">
      <c r="A143" s="23" t="s">
        <v>130</v>
      </c>
      <c r="B143" s="34" t="s">
        <v>127</v>
      </c>
      <c r="C143" s="21" t="s">
        <v>1</v>
      </c>
      <c r="D143" s="22" t="s">
        <v>144</v>
      </c>
      <c r="E143" s="22" t="s">
        <v>47</v>
      </c>
      <c r="F143" s="22" t="s">
        <v>53</v>
      </c>
      <c r="G143" s="19" t="s">
        <v>8</v>
      </c>
      <c r="H143" s="31">
        <v>3600000</v>
      </c>
      <c r="I143" s="16"/>
      <c r="J143" s="16"/>
      <c r="K143" s="16"/>
      <c r="L143" s="16"/>
      <c r="M143" s="16"/>
      <c r="N143" s="16"/>
      <c r="O143" s="16"/>
      <c r="P143" s="16"/>
      <c r="Q143" s="16"/>
      <c r="R143" s="16"/>
      <c r="S143" s="16"/>
      <c r="T143" s="16"/>
      <c r="U143" s="16"/>
      <c r="V143" s="16"/>
    </row>
    <row r="144" spans="1:22" s="10" customFormat="1" ht="34.5" customHeight="1" x14ac:dyDescent="0.25">
      <c r="A144" s="23" t="s">
        <v>130</v>
      </c>
      <c r="B144" s="37" t="s">
        <v>128</v>
      </c>
      <c r="C144" s="21" t="s">
        <v>1</v>
      </c>
      <c r="D144" s="22" t="s">
        <v>144</v>
      </c>
      <c r="E144" s="22" t="s">
        <v>47</v>
      </c>
      <c r="F144" s="22" t="s">
        <v>53</v>
      </c>
      <c r="G144" s="19" t="s">
        <v>8</v>
      </c>
      <c r="H144" s="32">
        <v>1400000</v>
      </c>
      <c r="I144" s="16"/>
      <c r="J144" s="16"/>
      <c r="K144" s="16"/>
      <c r="L144" s="16"/>
      <c r="M144" s="16"/>
      <c r="N144" s="16"/>
      <c r="O144" s="16"/>
      <c r="P144" s="16"/>
      <c r="Q144" s="16"/>
      <c r="R144" s="16"/>
      <c r="S144" s="16"/>
      <c r="T144" s="16"/>
      <c r="U144" s="16"/>
      <c r="V144" s="16"/>
    </row>
    <row r="145" spans="1:22" s="10" customFormat="1" ht="37.5" customHeight="1" x14ac:dyDescent="0.25">
      <c r="A145" s="23" t="s">
        <v>130</v>
      </c>
      <c r="B145" s="34" t="s">
        <v>129</v>
      </c>
      <c r="C145" s="21" t="s">
        <v>1</v>
      </c>
      <c r="D145" s="22" t="s">
        <v>144</v>
      </c>
      <c r="E145" s="22" t="s">
        <v>47</v>
      </c>
      <c r="F145" s="22" t="s">
        <v>53</v>
      </c>
      <c r="G145" s="19" t="s">
        <v>8</v>
      </c>
      <c r="H145" s="32">
        <v>210000</v>
      </c>
      <c r="I145" s="16"/>
      <c r="J145" s="16"/>
      <c r="K145" s="16"/>
      <c r="L145" s="16"/>
      <c r="M145" s="16"/>
      <c r="N145" s="16"/>
      <c r="O145" s="16"/>
      <c r="P145" s="16"/>
      <c r="Q145" s="16"/>
      <c r="R145" s="16"/>
      <c r="S145" s="16"/>
      <c r="T145" s="16"/>
      <c r="U145" s="16"/>
      <c r="V145" s="16"/>
    </row>
    <row r="146" spans="1:22" s="10" customFormat="1" ht="42" customHeight="1" x14ac:dyDescent="0.25">
      <c r="A146" s="23" t="s">
        <v>196</v>
      </c>
      <c r="B146" s="36" t="s">
        <v>179</v>
      </c>
      <c r="C146" s="19" t="s">
        <v>44</v>
      </c>
      <c r="D146" s="20" t="s">
        <v>144</v>
      </c>
      <c r="E146" s="61" t="s">
        <v>157</v>
      </c>
      <c r="F146" s="19" t="s">
        <v>170</v>
      </c>
      <c r="G146" s="19" t="s">
        <v>8</v>
      </c>
      <c r="H146" s="25">
        <v>250000</v>
      </c>
      <c r="I146" s="16"/>
      <c r="J146" s="16"/>
      <c r="K146" s="16"/>
      <c r="L146" s="16"/>
      <c r="M146" s="16"/>
      <c r="N146" s="16"/>
      <c r="O146" s="16"/>
      <c r="P146" s="16"/>
      <c r="Q146" s="16"/>
      <c r="R146" s="16"/>
      <c r="S146" s="16"/>
      <c r="T146" s="16"/>
      <c r="U146" s="16"/>
      <c r="V146" s="16"/>
    </row>
    <row r="147" spans="1:22" s="10" customFormat="1" ht="68.25" customHeight="1" x14ac:dyDescent="0.25">
      <c r="A147" s="23" t="s">
        <v>196</v>
      </c>
      <c r="B147" s="28" t="s">
        <v>131</v>
      </c>
      <c r="C147" s="19" t="s">
        <v>44</v>
      </c>
      <c r="D147" s="20" t="s">
        <v>144</v>
      </c>
      <c r="E147" s="17" t="s">
        <v>47</v>
      </c>
      <c r="F147" s="19" t="s">
        <v>170</v>
      </c>
      <c r="G147" s="19" t="s">
        <v>3</v>
      </c>
      <c r="H147" s="52">
        <v>753940</v>
      </c>
      <c r="I147" s="16"/>
      <c r="J147" s="16"/>
      <c r="K147" s="16"/>
      <c r="L147" s="16"/>
      <c r="M147" s="16"/>
      <c r="N147" s="16"/>
      <c r="O147" s="16"/>
      <c r="P147" s="16"/>
      <c r="Q147" s="16"/>
      <c r="R147" s="16"/>
      <c r="S147" s="16"/>
      <c r="T147" s="16"/>
      <c r="U147" s="16"/>
      <c r="V147" s="16"/>
    </row>
    <row r="148" spans="1:22" s="10" customFormat="1" ht="51" x14ac:dyDescent="0.25">
      <c r="A148" s="23" t="s">
        <v>196</v>
      </c>
      <c r="B148" s="28" t="s">
        <v>188</v>
      </c>
      <c r="C148" s="19" t="s">
        <v>44</v>
      </c>
      <c r="D148" s="20" t="s">
        <v>144</v>
      </c>
      <c r="E148" s="17" t="s">
        <v>47</v>
      </c>
      <c r="F148" s="19" t="s">
        <v>170</v>
      </c>
      <c r="G148" s="19" t="s">
        <v>8</v>
      </c>
      <c r="H148" s="52">
        <v>250000</v>
      </c>
      <c r="I148" s="16"/>
      <c r="J148" s="16"/>
      <c r="K148" s="16"/>
      <c r="L148" s="16"/>
      <c r="M148" s="16"/>
      <c r="N148" s="16"/>
      <c r="O148" s="16"/>
      <c r="P148" s="16"/>
      <c r="Q148" s="16"/>
      <c r="R148" s="16"/>
      <c r="S148" s="16"/>
      <c r="T148" s="16"/>
      <c r="U148" s="16"/>
      <c r="V148" s="16"/>
    </row>
    <row r="149" spans="1:22" s="10" customFormat="1" ht="63.75" x14ac:dyDescent="0.25">
      <c r="A149" s="23" t="s">
        <v>196</v>
      </c>
      <c r="B149" s="28" t="s">
        <v>189</v>
      </c>
      <c r="C149" s="19" t="s">
        <v>44</v>
      </c>
      <c r="D149" s="20" t="s">
        <v>144</v>
      </c>
      <c r="E149" s="17" t="s">
        <v>47</v>
      </c>
      <c r="F149" s="19" t="s">
        <v>170</v>
      </c>
      <c r="G149" s="19" t="s">
        <v>8</v>
      </c>
      <c r="H149" s="52">
        <v>600000</v>
      </c>
      <c r="I149" s="16"/>
      <c r="J149" s="16"/>
      <c r="K149" s="16"/>
      <c r="L149" s="16"/>
      <c r="M149" s="16"/>
      <c r="N149" s="16"/>
      <c r="O149" s="16"/>
      <c r="P149" s="16"/>
      <c r="Q149" s="16"/>
      <c r="R149" s="16"/>
      <c r="S149" s="16"/>
      <c r="T149" s="16"/>
      <c r="U149" s="16"/>
      <c r="V149" s="16"/>
    </row>
    <row r="150" spans="1:22" s="10" customFormat="1" ht="62.25" customHeight="1" x14ac:dyDescent="0.25">
      <c r="A150" s="23" t="s">
        <v>196</v>
      </c>
      <c r="B150" s="29" t="s">
        <v>190</v>
      </c>
      <c r="C150" s="19" t="s">
        <v>44</v>
      </c>
      <c r="D150" s="20" t="s">
        <v>144</v>
      </c>
      <c r="E150" s="17" t="s">
        <v>47</v>
      </c>
      <c r="F150" s="19" t="s">
        <v>170</v>
      </c>
      <c r="G150" s="19" t="s">
        <v>8</v>
      </c>
      <c r="H150" s="52">
        <v>600000</v>
      </c>
      <c r="I150" s="16"/>
      <c r="J150" s="16"/>
      <c r="K150" s="16"/>
      <c r="L150" s="16"/>
      <c r="M150" s="16"/>
      <c r="N150" s="16"/>
      <c r="O150" s="16"/>
      <c r="P150" s="16"/>
      <c r="Q150" s="16"/>
      <c r="R150" s="16"/>
      <c r="S150" s="16"/>
      <c r="T150" s="16"/>
      <c r="U150" s="16"/>
      <c r="V150" s="16"/>
    </row>
    <row r="151" spans="1:22" s="10" customFormat="1" ht="54" customHeight="1" x14ac:dyDescent="0.25">
      <c r="A151" s="23" t="s">
        <v>196</v>
      </c>
      <c r="B151" s="55" t="s">
        <v>192</v>
      </c>
      <c r="C151" s="19" t="s">
        <v>44</v>
      </c>
      <c r="D151" s="20" t="s">
        <v>144</v>
      </c>
      <c r="E151" s="17" t="s">
        <v>47</v>
      </c>
      <c r="F151" s="19" t="s">
        <v>170</v>
      </c>
      <c r="G151" s="19" t="s">
        <v>8</v>
      </c>
      <c r="H151" s="52">
        <v>600000</v>
      </c>
      <c r="I151" s="16"/>
      <c r="J151" s="16"/>
      <c r="K151" s="16"/>
      <c r="L151" s="16"/>
      <c r="M151" s="16"/>
      <c r="N151" s="16"/>
      <c r="O151" s="16"/>
      <c r="P151" s="16"/>
      <c r="Q151" s="16"/>
      <c r="R151" s="16"/>
      <c r="S151" s="16"/>
      <c r="T151" s="16"/>
      <c r="U151" s="16"/>
      <c r="V151" s="16"/>
    </row>
    <row r="152" spans="1:22" s="10" customFormat="1" ht="46.5" customHeight="1" x14ac:dyDescent="0.25">
      <c r="A152" s="23" t="s">
        <v>196</v>
      </c>
      <c r="B152" s="36" t="s">
        <v>149</v>
      </c>
      <c r="C152" s="19" t="s">
        <v>44</v>
      </c>
      <c r="D152" s="20" t="s">
        <v>144</v>
      </c>
      <c r="E152" s="18" t="s">
        <v>49</v>
      </c>
      <c r="F152" s="19" t="s">
        <v>170</v>
      </c>
      <c r="G152" s="19" t="s">
        <v>8</v>
      </c>
      <c r="H152" s="52">
        <v>51000</v>
      </c>
      <c r="I152" s="16"/>
      <c r="J152" s="16"/>
      <c r="K152" s="16"/>
      <c r="L152" s="16"/>
      <c r="M152" s="16"/>
      <c r="N152" s="16"/>
      <c r="O152" s="16"/>
      <c r="P152" s="16"/>
      <c r="Q152" s="16"/>
      <c r="R152" s="16"/>
      <c r="S152" s="16"/>
      <c r="T152" s="16"/>
      <c r="U152" s="16"/>
      <c r="V152" s="16"/>
    </row>
    <row r="153" spans="1:22" s="10" customFormat="1" ht="38.25" x14ac:dyDescent="0.25">
      <c r="A153" s="23" t="s">
        <v>196</v>
      </c>
      <c r="B153" s="55" t="s">
        <v>191</v>
      </c>
      <c r="C153" s="19" t="s">
        <v>44</v>
      </c>
      <c r="D153" s="20" t="s">
        <v>144</v>
      </c>
      <c r="E153" s="40" t="s">
        <v>47</v>
      </c>
      <c r="F153" s="19" t="s">
        <v>170</v>
      </c>
      <c r="G153" s="19" t="s">
        <v>55</v>
      </c>
      <c r="H153" s="52">
        <v>350000</v>
      </c>
      <c r="I153" s="16"/>
      <c r="J153" s="16"/>
      <c r="K153" s="16"/>
      <c r="L153" s="16"/>
      <c r="M153" s="16"/>
      <c r="N153" s="16"/>
      <c r="O153" s="16"/>
      <c r="P153" s="16"/>
      <c r="Q153" s="16"/>
      <c r="R153" s="16"/>
      <c r="S153" s="16"/>
      <c r="T153" s="16"/>
      <c r="U153" s="16"/>
      <c r="V153" s="16"/>
    </row>
    <row r="154" spans="1:22" s="10" customFormat="1" ht="45" customHeight="1" x14ac:dyDescent="0.25">
      <c r="A154" s="23" t="s">
        <v>196</v>
      </c>
      <c r="B154" s="29" t="s">
        <v>132</v>
      </c>
      <c r="C154" s="19" t="s">
        <v>44</v>
      </c>
      <c r="D154" s="20" t="s">
        <v>144</v>
      </c>
      <c r="E154" s="40" t="s">
        <v>47</v>
      </c>
      <c r="F154" s="19" t="s">
        <v>170</v>
      </c>
      <c r="G154" s="19" t="s">
        <v>8</v>
      </c>
      <c r="H154" s="25">
        <v>400000</v>
      </c>
      <c r="I154" s="16"/>
      <c r="J154" s="16"/>
      <c r="K154" s="16"/>
      <c r="L154" s="16"/>
      <c r="M154" s="16"/>
      <c r="N154" s="16"/>
      <c r="O154" s="16"/>
      <c r="P154" s="16"/>
      <c r="Q154" s="16"/>
      <c r="R154" s="16"/>
      <c r="S154" s="16"/>
      <c r="T154" s="16"/>
      <c r="U154" s="16"/>
      <c r="V154" s="16"/>
    </row>
    <row r="155" spans="1:22" s="10" customFormat="1" ht="38.25" x14ac:dyDescent="0.25">
      <c r="A155" s="23" t="s">
        <v>196</v>
      </c>
      <c r="B155" s="29" t="s">
        <v>133</v>
      </c>
      <c r="C155" s="19" t="s">
        <v>44</v>
      </c>
      <c r="D155" s="20" t="s">
        <v>144</v>
      </c>
      <c r="E155" s="17" t="s">
        <v>47</v>
      </c>
      <c r="F155" s="19" t="s">
        <v>170</v>
      </c>
      <c r="G155" s="19" t="s">
        <v>8</v>
      </c>
      <c r="H155" s="52">
        <v>350000</v>
      </c>
      <c r="I155" s="16"/>
      <c r="J155" s="16"/>
      <c r="K155" s="16"/>
      <c r="L155" s="16"/>
      <c r="M155" s="16"/>
      <c r="N155" s="16"/>
      <c r="O155" s="16"/>
      <c r="P155" s="16"/>
      <c r="Q155" s="16"/>
      <c r="R155" s="16"/>
      <c r="S155" s="16"/>
      <c r="T155" s="16"/>
      <c r="U155" s="16"/>
      <c r="V155" s="16"/>
    </row>
    <row r="156" spans="1:22" s="10" customFormat="1" ht="38.25" x14ac:dyDescent="0.25">
      <c r="A156" s="23" t="s">
        <v>196</v>
      </c>
      <c r="B156" s="29" t="s">
        <v>134</v>
      </c>
      <c r="C156" s="19" t="s">
        <v>44</v>
      </c>
      <c r="D156" s="20" t="s">
        <v>144</v>
      </c>
      <c r="E156" s="17" t="s">
        <v>47</v>
      </c>
      <c r="F156" s="19" t="s">
        <v>170</v>
      </c>
      <c r="G156" s="19" t="s">
        <v>3</v>
      </c>
      <c r="H156" s="52">
        <v>500000</v>
      </c>
      <c r="I156" s="16"/>
      <c r="J156" s="16"/>
      <c r="K156" s="16"/>
      <c r="L156" s="16"/>
      <c r="M156" s="16"/>
      <c r="N156" s="16"/>
      <c r="O156" s="16"/>
      <c r="P156" s="16"/>
      <c r="Q156" s="16"/>
      <c r="R156" s="16"/>
      <c r="S156" s="16"/>
      <c r="T156" s="16"/>
      <c r="U156" s="16"/>
      <c r="V156" s="16"/>
    </row>
    <row r="157" spans="1:22" s="10" customFormat="1" ht="38.25" x14ac:dyDescent="0.25">
      <c r="A157" s="23" t="s">
        <v>196</v>
      </c>
      <c r="B157" s="29" t="s">
        <v>135</v>
      </c>
      <c r="C157" s="19" t="s">
        <v>44</v>
      </c>
      <c r="D157" s="20" t="s">
        <v>144</v>
      </c>
      <c r="E157" s="17" t="s">
        <v>47</v>
      </c>
      <c r="F157" s="19" t="s">
        <v>170</v>
      </c>
      <c r="G157" s="19" t="s">
        <v>8</v>
      </c>
      <c r="H157" s="52">
        <v>300000</v>
      </c>
      <c r="I157" s="16"/>
      <c r="J157" s="16"/>
      <c r="K157" s="16"/>
      <c r="L157" s="16"/>
      <c r="M157" s="16"/>
      <c r="N157" s="16"/>
      <c r="O157" s="16"/>
      <c r="P157" s="16"/>
      <c r="Q157" s="16"/>
      <c r="R157" s="16"/>
      <c r="S157" s="16"/>
      <c r="T157" s="16"/>
      <c r="U157" s="16"/>
      <c r="V157" s="16"/>
    </row>
    <row r="158" spans="1:22" s="10" customFormat="1" ht="38.25" x14ac:dyDescent="0.25">
      <c r="A158" s="23" t="s">
        <v>196</v>
      </c>
      <c r="B158" s="29" t="s">
        <v>136</v>
      </c>
      <c r="C158" s="19" t="s">
        <v>44</v>
      </c>
      <c r="D158" s="20" t="s">
        <v>144</v>
      </c>
      <c r="E158" s="17" t="s">
        <v>47</v>
      </c>
      <c r="F158" s="19" t="s">
        <v>170</v>
      </c>
      <c r="G158" s="19" t="s">
        <v>8</v>
      </c>
      <c r="H158" s="52">
        <v>450000</v>
      </c>
      <c r="I158" s="16"/>
      <c r="J158" s="16"/>
      <c r="K158" s="16"/>
      <c r="L158" s="16"/>
      <c r="M158" s="16"/>
      <c r="N158" s="16"/>
      <c r="O158" s="16"/>
      <c r="P158" s="16"/>
      <c r="Q158" s="16"/>
      <c r="R158" s="16"/>
      <c r="S158" s="16"/>
      <c r="T158" s="16"/>
      <c r="U158" s="16"/>
      <c r="V158" s="16"/>
    </row>
    <row r="159" spans="1:22" ht="63.75" x14ac:dyDescent="0.25">
      <c r="A159" s="23" t="s">
        <v>143</v>
      </c>
      <c r="B159" s="23" t="s">
        <v>137</v>
      </c>
      <c r="C159" s="19" t="s">
        <v>44</v>
      </c>
      <c r="D159" s="20" t="s">
        <v>144</v>
      </c>
      <c r="E159" s="19" t="s">
        <v>47</v>
      </c>
      <c r="F159" s="19" t="s">
        <v>53</v>
      </c>
      <c r="G159" s="19" t="s">
        <v>187</v>
      </c>
      <c r="H159" s="27">
        <v>1800000</v>
      </c>
    </row>
    <row r="160" spans="1:22" ht="63.75" x14ac:dyDescent="0.25">
      <c r="A160" s="23" t="s">
        <v>143</v>
      </c>
      <c r="B160" s="23" t="s">
        <v>138</v>
      </c>
      <c r="C160" s="19" t="s">
        <v>44</v>
      </c>
      <c r="D160" s="20" t="s">
        <v>144</v>
      </c>
      <c r="E160" s="19" t="s">
        <v>47</v>
      </c>
      <c r="F160" s="19" t="s">
        <v>53</v>
      </c>
      <c r="G160" s="24" t="s">
        <v>3</v>
      </c>
      <c r="H160" s="27">
        <v>750000</v>
      </c>
    </row>
    <row r="161" spans="1:8" ht="102" x14ac:dyDescent="0.25">
      <c r="A161" s="23" t="s">
        <v>143</v>
      </c>
      <c r="B161" s="23" t="s">
        <v>139</v>
      </c>
      <c r="C161" s="19" t="s">
        <v>44</v>
      </c>
      <c r="D161" s="20" t="s">
        <v>144</v>
      </c>
      <c r="E161" s="19" t="s">
        <v>47</v>
      </c>
      <c r="F161" s="19" t="s">
        <v>53</v>
      </c>
      <c r="G161" s="24" t="s">
        <v>3</v>
      </c>
      <c r="H161" s="27">
        <v>850000</v>
      </c>
    </row>
    <row r="162" spans="1:8" ht="114.75" x14ac:dyDescent="0.25">
      <c r="A162" s="23" t="s">
        <v>143</v>
      </c>
      <c r="B162" s="23" t="s">
        <v>140</v>
      </c>
      <c r="C162" s="19" t="s">
        <v>44</v>
      </c>
      <c r="D162" s="20" t="s">
        <v>144</v>
      </c>
      <c r="E162" s="19" t="s">
        <v>49</v>
      </c>
      <c r="F162" s="19" t="s">
        <v>53</v>
      </c>
      <c r="G162" s="24" t="s">
        <v>3</v>
      </c>
      <c r="H162" s="27">
        <v>800000</v>
      </c>
    </row>
    <row r="163" spans="1:8" ht="51" x14ac:dyDescent="0.25">
      <c r="A163" s="23" t="s">
        <v>143</v>
      </c>
      <c r="B163" s="23" t="s">
        <v>141</v>
      </c>
      <c r="C163" s="19" t="s">
        <v>44</v>
      </c>
      <c r="D163" s="20" t="s">
        <v>144</v>
      </c>
      <c r="E163" s="19" t="s">
        <v>49</v>
      </c>
      <c r="F163" s="19" t="s">
        <v>53</v>
      </c>
      <c r="G163" s="24" t="s">
        <v>3</v>
      </c>
      <c r="H163" s="27">
        <v>450000</v>
      </c>
    </row>
    <row r="164" spans="1:8" ht="51.75" customHeight="1" x14ac:dyDescent="0.25">
      <c r="A164" s="56" t="s">
        <v>143</v>
      </c>
      <c r="B164" s="56" t="s">
        <v>142</v>
      </c>
      <c r="C164" s="57" t="s">
        <v>44</v>
      </c>
      <c r="D164" s="58" t="s">
        <v>144</v>
      </c>
      <c r="E164" s="57" t="s">
        <v>49</v>
      </c>
      <c r="F164" s="57" t="s">
        <v>53</v>
      </c>
      <c r="G164" s="59" t="s">
        <v>3</v>
      </c>
      <c r="H164" s="60">
        <v>200000</v>
      </c>
    </row>
    <row r="165" spans="1:8" ht="25.5" x14ac:dyDescent="0.25">
      <c r="A165" s="23" t="s">
        <v>204</v>
      </c>
      <c r="B165" s="23" t="s">
        <v>203</v>
      </c>
      <c r="C165" s="19" t="s">
        <v>44</v>
      </c>
      <c r="D165" s="20" t="s">
        <v>144</v>
      </c>
      <c r="E165" s="19" t="s">
        <v>47</v>
      </c>
      <c r="F165" s="19" t="s">
        <v>53</v>
      </c>
      <c r="G165" s="24" t="s">
        <v>8</v>
      </c>
      <c r="H165" s="27">
        <v>60000</v>
      </c>
    </row>
    <row r="166" spans="1:8" ht="25.5" x14ac:dyDescent="0.25">
      <c r="A166" s="23" t="s">
        <v>237</v>
      </c>
      <c r="B166" s="29" t="s">
        <v>238</v>
      </c>
      <c r="C166" s="19" t="s">
        <v>1</v>
      </c>
      <c r="D166" s="20" t="s">
        <v>144</v>
      </c>
      <c r="E166" s="17" t="s">
        <v>47</v>
      </c>
      <c r="F166" s="19" t="s">
        <v>167</v>
      </c>
      <c r="G166" s="19" t="s">
        <v>3</v>
      </c>
      <c r="H166" s="27">
        <v>300000</v>
      </c>
    </row>
    <row r="167" spans="1:8" ht="25.5" x14ac:dyDescent="0.25">
      <c r="A167" s="23" t="s">
        <v>237</v>
      </c>
      <c r="B167" s="29" t="s">
        <v>239</v>
      </c>
      <c r="C167" s="19" t="s">
        <v>1</v>
      </c>
      <c r="D167" s="20" t="s">
        <v>144</v>
      </c>
      <c r="E167" s="17" t="s">
        <v>47</v>
      </c>
      <c r="F167" s="19" t="s">
        <v>167</v>
      </c>
      <c r="G167" s="19" t="s">
        <v>3</v>
      </c>
      <c r="H167" s="27">
        <v>300000</v>
      </c>
    </row>
    <row r="168" spans="1:8" x14ac:dyDescent="0.25">
      <c r="F168" s="12"/>
      <c r="G168" s="65"/>
    </row>
    <row r="169" spans="1:8" x14ac:dyDescent="0.25">
      <c r="F169" s="12"/>
      <c r="G169" s="12"/>
    </row>
    <row r="170" spans="1:8" x14ac:dyDescent="0.25">
      <c r="F170" s="12"/>
      <c r="G170" s="12"/>
    </row>
    <row r="171" spans="1:8" x14ac:dyDescent="0.25">
      <c r="F171" s="12"/>
      <c r="G171" s="12"/>
    </row>
    <row r="172" spans="1:8" x14ac:dyDescent="0.25">
      <c r="F172" s="12"/>
      <c r="G172" s="12"/>
    </row>
    <row r="173" spans="1:8" x14ac:dyDescent="0.25">
      <c r="F173" s="12"/>
      <c r="G173" s="12"/>
    </row>
    <row r="174" spans="1:8" x14ac:dyDescent="0.25">
      <c r="F174" s="12"/>
      <c r="G174" s="12"/>
    </row>
    <row r="175" spans="1:8" x14ac:dyDescent="0.25">
      <c r="F175" s="12"/>
      <c r="G175" s="12"/>
    </row>
    <row r="176" spans="1:8" x14ac:dyDescent="0.25">
      <c r="F176" s="12"/>
      <c r="G176" s="12"/>
    </row>
    <row r="177" spans="6:7" x14ac:dyDescent="0.25">
      <c r="F177" s="12"/>
      <c r="G177" s="12"/>
    </row>
    <row r="178" spans="6:7" x14ac:dyDescent="0.25">
      <c r="F178" s="12"/>
      <c r="G178" s="12"/>
    </row>
    <row r="179" spans="6:7" x14ac:dyDescent="0.25">
      <c r="F179" s="12"/>
      <c r="G179" s="12"/>
    </row>
    <row r="180" spans="6:7" x14ac:dyDescent="0.25">
      <c r="F180" s="12"/>
      <c r="G180" s="12"/>
    </row>
    <row r="181" spans="6:7" x14ac:dyDescent="0.25">
      <c r="F181" s="12"/>
      <c r="G181" s="12"/>
    </row>
    <row r="182" spans="6:7" x14ac:dyDescent="0.25">
      <c r="F182" s="12"/>
      <c r="G182" s="12"/>
    </row>
    <row r="183" spans="6:7" x14ac:dyDescent="0.25">
      <c r="F183" s="12"/>
      <c r="G183" s="12"/>
    </row>
    <row r="184" spans="6:7" x14ac:dyDescent="0.25">
      <c r="F184" s="12"/>
      <c r="G184" s="12"/>
    </row>
    <row r="185" spans="6:7" x14ac:dyDescent="0.25">
      <c r="F185" s="12"/>
      <c r="G185" s="12"/>
    </row>
    <row r="186" spans="6:7" x14ac:dyDescent="0.25">
      <c r="F186" s="12"/>
      <c r="G186" s="12"/>
    </row>
    <row r="187" spans="6:7" x14ac:dyDescent="0.25">
      <c r="F187" s="12"/>
      <c r="G187" s="12"/>
    </row>
    <row r="188" spans="6:7" x14ac:dyDescent="0.25">
      <c r="F188" s="12"/>
      <c r="G188" s="12"/>
    </row>
    <row r="189" spans="6:7" x14ac:dyDescent="0.25">
      <c r="F189" s="12"/>
      <c r="G189" s="12"/>
    </row>
    <row r="190" spans="6:7" x14ac:dyDescent="0.25">
      <c r="F190" s="12"/>
      <c r="G190" s="12"/>
    </row>
    <row r="191" spans="6:7" x14ac:dyDescent="0.25">
      <c r="F191" s="12"/>
      <c r="G191" s="12"/>
    </row>
    <row r="192" spans="6:7" x14ac:dyDescent="0.25">
      <c r="F192" s="12"/>
      <c r="G192" s="12"/>
    </row>
    <row r="193" spans="6:7" x14ac:dyDescent="0.25">
      <c r="F193" s="12"/>
      <c r="G193" s="12"/>
    </row>
    <row r="194" spans="6:7" x14ac:dyDescent="0.25">
      <c r="F194" s="12"/>
      <c r="G194" s="12"/>
    </row>
    <row r="195" spans="6:7" x14ac:dyDescent="0.25">
      <c r="F195" s="12"/>
      <c r="G195" s="12"/>
    </row>
    <row r="196" spans="6:7" x14ac:dyDescent="0.25">
      <c r="F196" s="12"/>
      <c r="G196" s="12"/>
    </row>
    <row r="197" spans="6:7" x14ac:dyDescent="0.25">
      <c r="F197" s="12"/>
      <c r="G197" s="12"/>
    </row>
    <row r="198" spans="6:7" x14ac:dyDescent="0.25">
      <c r="F198" s="12"/>
      <c r="G198" s="12"/>
    </row>
    <row r="199" spans="6:7" x14ac:dyDescent="0.25">
      <c r="F199" s="12"/>
      <c r="G199" s="12"/>
    </row>
    <row r="200" spans="6:7" x14ac:dyDescent="0.25">
      <c r="F200" s="12"/>
      <c r="G200" s="12"/>
    </row>
    <row r="201" spans="6:7" x14ac:dyDescent="0.25">
      <c r="F201" s="12"/>
      <c r="G201" s="12"/>
    </row>
    <row r="202" spans="6:7" x14ac:dyDescent="0.25">
      <c r="F202" s="12"/>
      <c r="G202" s="12"/>
    </row>
    <row r="203" spans="6:7" x14ac:dyDescent="0.25">
      <c r="F203" s="12"/>
      <c r="G203" s="12"/>
    </row>
    <row r="204" spans="6:7" x14ac:dyDescent="0.25">
      <c r="F204" s="12"/>
      <c r="G204" s="12"/>
    </row>
    <row r="205" spans="6:7" x14ac:dyDescent="0.25">
      <c r="F205" s="12"/>
      <c r="G205" s="12"/>
    </row>
    <row r="206" spans="6:7" x14ac:dyDescent="0.25">
      <c r="F206" s="12"/>
      <c r="G206" s="12"/>
    </row>
    <row r="207" spans="6:7" x14ac:dyDescent="0.25">
      <c r="F207" s="12"/>
      <c r="G207" s="12"/>
    </row>
    <row r="208" spans="6:7" x14ac:dyDescent="0.25">
      <c r="F208" s="12"/>
      <c r="G208" s="12"/>
    </row>
    <row r="209" spans="6:7" x14ac:dyDescent="0.25">
      <c r="F209" s="12"/>
      <c r="G209" s="12"/>
    </row>
    <row r="210" spans="6:7" x14ac:dyDescent="0.25">
      <c r="F210" s="12"/>
      <c r="G210" s="12"/>
    </row>
    <row r="211" spans="6:7" x14ac:dyDescent="0.25">
      <c r="F211" s="12"/>
      <c r="G211" s="12"/>
    </row>
    <row r="212" spans="6:7" x14ac:dyDescent="0.25">
      <c r="F212" s="12"/>
      <c r="G212" s="12"/>
    </row>
    <row r="213" spans="6:7" x14ac:dyDescent="0.25">
      <c r="F213" s="12"/>
      <c r="G213" s="12"/>
    </row>
    <row r="214" spans="6:7" x14ac:dyDescent="0.25">
      <c r="F214" s="12"/>
      <c r="G214" s="12"/>
    </row>
    <row r="215" spans="6:7" x14ac:dyDescent="0.25">
      <c r="F215" s="12"/>
      <c r="G215" s="12"/>
    </row>
    <row r="216" spans="6:7" x14ac:dyDescent="0.25">
      <c r="F216" s="12"/>
      <c r="G216" s="12"/>
    </row>
    <row r="217" spans="6:7" x14ac:dyDescent="0.25">
      <c r="F217" s="12"/>
      <c r="G217" s="12"/>
    </row>
    <row r="218" spans="6:7" x14ac:dyDescent="0.25">
      <c r="F218" s="12"/>
      <c r="G218" s="12"/>
    </row>
    <row r="219" spans="6:7" x14ac:dyDescent="0.25">
      <c r="F219" s="12"/>
      <c r="G219" s="12"/>
    </row>
    <row r="220" spans="6:7" x14ac:dyDescent="0.25">
      <c r="F220" s="12"/>
      <c r="G220" s="12"/>
    </row>
    <row r="221" spans="6:7" x14ac:dyDescent="0.25">
      <c r="F221" s="12"/>
      <c r="G221" s="12"/>
    </row>
    <row r="222" spans="6:7" x14ac:dyDescent="0.25">
      <c r="F222" s="12"/>
      <c r="G222" s="12"/>
    </row>
    <row r="223" spans="6:7" x14ac:dyDescent="0.25">
      <c r="F223" s="12"/>
      <c r="G223" s="12"/>
    </row>
    <row r="224" spans="6:7" x14ac:dyDescent="0.25">
      <c r="F224" s="12"/>
      <c r="G224" s="12"/>
    </row>
    <row r="225" spans="6:7" x14ac:dyDescent="0.25">
      <c r="F225" s="12"/>
      <c r="G225" s="12"/>
    </row>
    <row r="226" spans="6:7" x14ac:dyDescent="0.25">
      <c r="F226" s="12"/>
      <c r="G226" s="12"/>
    </row>
    <row r="227" spans="6:7" x14ac:dyDescent="0.25">
      <c r="F227" s="12"/>
      <c r="G227" s="12"/>
    </row>
    <row r="228" spans="6:7" x14ac:dyDescent="0.25">
      <c r="F228" s="12"/>
      <c r="G228" s="12"/>
    </row>
    <row r="229" spans="6:7" x14ac:dyDescent="0.25">
      <c r="F229" s="12"/>
      <c r="G229" s="12"/>
    </row>
    <row r="230" spans="6:7" x14ac:dyDescent="0.25">
      <c r="F230" s="12"/>
      <c r="G230" s="12"/>
    </row>
    <row r="231" spans="6:7" x14ac:dyDescent="0.25">
      <c r="F231" s="12"/>
      <c r="G231" s="12"/>
    </row>
    <row r="232" spans="6:7" x14ac:dyDescent="0.25">
      <c r="F232" s="12"/>
      <c r="G232" s="12"/>
    </row>
    <row r="233" spans="6:7" x14ac:dyDescent="0.25">
      <c r="F233" s="12"/>
      <c r="G233" s="12"/>
    </row>
    <row r="234" spans="6:7" x14ac:dyDescent="0.25">
      <c r="F234" s="12"/>
      <c r="G234" s="12"/>
    </row>
    <row r="235" spans="6:7" x14ac:dyDescent="0.25">
      <c r="F235" s="12"/>
      <c r="G235" s="12"/>
    </row>
    <row r="236" spans="6:7" x14ac:dyDescent="0.25">
      <c r="F236" s="12"/>
      <c r="G236" s="12"/>
    </row>
    <row r="237" spans="6:7" x14ac:dyDescent="0.25">
      <c r="F237" s="12"/>
      <c r="G237" s="12"/>
    </row>
    <row r="238" spans="6:7" x14ac:dyDescent="0.25">
      <c r="F238" s="12"/>
      <c r="G238" s="12"/>
    </row>
    <row r="239" spans="6:7" x14ac:dyDescent="0.25">
      <c r="F239" s="12"/>
      <c r="G239" s="12"/>
    </row>
    <row r="240" spans="6:7" x14ac:dyDescent="0.25">
      <c r="F240" s="12"/>
      <c r="G240" s="12"/>
    </row>
    <row r="241" spans="6:7" x14ac:dyDescent="0.25">
      <c r="F241" s="12"/>
      <c r="G241" s="12"/>
    </row>
    <row r="242" spans="6:7" x14ac:dyDescent="0.25">
      <c r="F242" s="12"/>
      <c r="G242" s="12"/>
    </row>
    <row r="243" spans="6:7" x14ac:dyDescent="0.25">
      <c r="F243" s="12"/>
      <c r="G243" s="12"/>
    </row>
    <row r="244" spans="6:7" x14ac:dyDescent="0.25">
      <c r="F244" s="12"/>
      <c r="G244" s="12"/>
    </row>
    <row r="245" spans="6:7" x14ac:dyDescent="0.25">
      <c r="F245" s="12"/>
      <c r="G245" s="12"/>
    </row>
    <row r="246" spans="6:7" x14ac:dyDescent="0.25">
      <c r="F246" s="12"/>
      <c r="G246" s="12"/>
    </row>
    <row r="247" spans="6:7" x14ac:dyDescent="0.25">
      <c r="F247" s="12"/>
      <c r="G247" s="12"/>
    </row>
    <row r="248" spans="6:7" x14ac:dyDescent="0.25">
      <c r="F248" s="12"/>
      <c r="G248" s="12"/>
    </row>
    <row r="249" spans="6:7" x14ac:dyDescent="0.25">
      <c r="F249" s="12"/>
      <c r="G249" s="12"/>
    </row>
    <row r="250" spans="6:7" x14ac:dyDescent="0.25">
      <c r="F250" s="12"/>
      <c r="G250" s="12"/>
    </row>
    <row r="251" spans="6:7" x14ac:dyDescent="0.25">
      <c r="F251" s="12"/>
      <c r="G251" s="12"/>
    </row>
    <row r="252" spans="6:7" x14ac:dyDescent="0.25">
      <c r="F252" s="12"/>
      <c r="G252" s="12"/>
    </row>
    <row r="253" spans="6:7" x14ac:dyDescent="0.25">
      <c r="F253" s="12"/>
      <c r="G253" s="12"/>
    </row>
    <row r="254" spans="6:7" x14ac:dyDescent="0.25">
      <c r="F254" s="12"/>
      <c r="G254" s="12"/>
    </row>
    <row r="255" spans="6:7" x14ac:dyDescent="0.25">
      <c r="F255" s="12"/>
      <c r="G255" s="12"/>
    </row>
    <row r="256" spans="6:7" x14ac:dyDescent="0.25">
      <c r="F256" s="12"/>
      <c r="G256" s="12"/>
    </row>
    <row r="257" spans="6:7" x14ac:dyDescent="0.25">
      <c r="F257" s="12"/>
      <c r="G257" s="12"/>
    </row>
    <row r="258" spans="6:7" x14ac:dyDescent="0.25">
      <c r="F258" s="12"/>
      <c r="G258" s="12"/>
    </row>
    <row r="259" spans="6:7" x14ac:dyDescent="0.25">
      <c r="F259" s="12"/>
      <c r="G259" s="12"/>
    </row>
    <row r="260" spans="6:7" x14ac:dyDescent="0.25">
      <c r="F260" s="12"/>
      <c r="G260" s="12"/>
    </row>
    <row r="261" spans="6:7" x14ac:dyDescent="0.25">
      <c r="F261" s="12"/>
      <c r="G261" s="12"/>
    </row>
    <row r="262" spans="6:7" x14ac:dyDescent="0.25">
      <c r="F262" s="12"/>
      <c r="G262" s="12"/>
    </row>
    <row r="263" spans="6:7" x14ac:dyDescent="0.25">
      <c r="F263" s="12"/>
      <c r="G263" s="12"/>
    </row>
    <row r="264" spans="6:7" x14ac:dyDescent="0.25">
      <c r="F264" s="12"/>
      <c r="G264" s="12"/>
    </row>
    <row r="265" spans="6:7" x14ac:dyDescent="0.25">
      <c r="F265" s="12"/>
      <c r="G265" s="12"/>
    </row>
    <row r="266" spans="6:7" x14ac:dyDescent="0.25">
      <c r="F266" s="12"/>
      <c r="G266" s="12"/>
    </row>
    <row r="267" spans="6:7" x14ac:dyDescent="0.25">
      <c r="F267" s="12"/>
      <c r="G267" s="12"/>
    </row>
    <row r="268" spans="6:7" x14ac:dyDescent="0.25">
      <c r="F268" s="12"/>
      <c r="G268" s="12"/>
    </row>
    <row r="269" spans="6:7" x14ac:dyDescent="0.25">
      <c r="F269" s="12"/>
      <c r="G269" s="12"/>
    </row>
    <row r="270" spans="6:7" x14ac:dyDescent="0.25">
      <c r="F270" s="12"/>
      <c r="G270" s="12"/>
    </row>
    <row r="271" spans="6:7" x14ac:dyDescent="0.25">
      <c r="F271" s="12"/>
      <c r="G271" s="12"/>
    </row>
    <row r="272" spans="6:7" x14ac:dyDescent="0.25">
      <c r="F272" s="12"/>
      <c r="G272" s="12"/>
    </row>
    <row r="273" spans="6:7" x14ac:dyDescent="0.25">
      <c r="F273" s="12"/>
      <c r="G273" s="12"/>
    </row>
    <row r="274" spans="6:7" x14ac:dyDescent="0.25">
      <c r="F274" s="12"/>
      <c r="G274" s="12"/>
    </row>
    <row r="275" spans="6:7" x14ac:dyDescent="0.25">
      <c r="F275" s="12"/>
      <c r="G275" s="12"/>
    </row>
    <row r="276" spans="6:7" x14ac:dyDescent="0.25">
      <c r="F276" s="12"/>
      <c r="G276" s="12"/>
    </row>
    <row r="277" spans="6:7" x14ac:dyDescent="0.25">
      <c r="F277" s="12"/>
      <c r="G277" s="12"/>
    </row>
    <row r="278" spans="6:7" x14ac:dyDescent="0.25">
      <c r="F278" s="12"/>
      <c r="G278" s="12"/>
    </row>
    <row r="279" spans="6:7" x14ac:dyDescent="0.25">
      <c r="F279" s="12"/>
      <c r="G279" s="12"/>
    </row>
    <row r="280" spans="6:7" x14ac:dyDescent="0.25">
      <c r="F280" s="12"/>
      <c r="G280" s="12"/>
    </row>
    <row r="281" spans="6:7" x14ac:dyDescent="0.25">
      <c r="F281" s="12"/>
      <c r="G281" s="12"/>
    </row>
    <row r="282" spans="6:7" x14ac:dyDescent="0.25">
      <c r="F282" s="12"/>
      <c r="G282" s="12"/>
    </row>
    <row r="283" spans="6:7" x14ac:dyDescent="0.25">
      <c r="F283" s="12"/>
      <c r="G283" s="12"/>
    </row>
    <row r="284" spans="6:7" x14ac:dyDescent="0.25">
      <c r="F284" s="12"/>
      <c r="G284" s="12"/>
    </row>
    <row r="285" spans="6:7" x14ac:dyDescent="0.25">
      <c r="F285" s="12"/>
      <c r="G285" s="12"/>
    </row>
    <row r="286" spans="6:7" x14ac:dyDescent="0.25">
      <c r="F286" s="12"/>
      <c r="G286" s="12"/>
    </row>
    <row r="287" spans="6:7" x14ac:dyDescent="0.25">
      <c r="F287" s="12"/>
      <c r="G287" s="12"/>
    </row>
    <row r="288" spans="6:7" x14ac:dyDescent="0.25">
      <c r="F288" s="12"/>
      <c r="G288" s="12"/>
    </row>
    <row r="289" spans="6:7" x14ac:dyDescent="0.25">
      <c r="F289" s="12"/>
      <c r="G289" s="12"/>
    </row>
    <row r="290" spans="6:7" x14ac:dyDescent="0.25">
      <c r="F290" s="12"/>
      <c r="G290" s="12"/>
    </row>
    <row r="291" spans="6:7" x14ac:dyDescent="0.25">
      <c r="F291" s="12"/>
      <c r="G291" s="12"/>
    </row>
    <row r="292" spans="6:7" x14ac:dyDescent="0.25">
      <c r="F292" s="12"/>
      <c r="G292" s="12"/>
    </row>
    <row r="293" spans="6:7" x14ac:dyDescent="0.25">
      <c r="F293" s="12"/>
      <c r="G293" s="12"/>
    </row>
    <row r="294" spans="6:7" x14ac:dyDescent="0.25">
      <c r="F294" s="12"/>
      <c r="G294" s="12"/>
    </row>
    <row r="295" spans="6:7" x14ac:dyDescent="0.25">
      <c r="F295" s="12"/>
      <c r="G295" s="12"/>
    </row>
    <row r="296" spans="6:7" x14ac:dyDescent="0.25">
      <c r="F296" s="12"/>
      <c r="G296" s="12"/>
    </row>
    <row r="297" spans="6:7" x14ac:dyDescent="0.25">
      <c r="F297" s="12"/>
      <c r="G297" s="12"/>
    </row>
    <row r="298" spans="6:7" x14ac:dyDescent="0.25">
      <c r="F298" s="12"/>
      <c r="G298" s="12"/>
    </row>
    <row r="299" spans="6:7" x14ac:dyDescent="0.25">
      <c r="F299" s="12"/>
      <c r="G299" s="12"/>
    </row>
    <row r="300" spans="6:7" x14ac:dyDescent="0.25">
      <c r="F300" s="12"/>
      <c r="G300" s="12"/>
    </row>
    <row r="301" spans="6:7" x14ac:dyDescent="0.25">
      <c r="F301" s="12"/>
      <c r="G301" s="12"/>
    </row>
    <row r="302" spans="6:7" x14ac:dyDescent="0.25">
      <c r="F302" s="12"/>
      <c r="G302" s="12"/>
    </row>
    <row r="303" spans="6:7" x14ac:dyDescent="0.25">
      <c r="F303" s="12"/>
      <c r="G303" s="12"/>
    </row>
    <row r="304" spans="6:7" x14ac:dyDescent="0.25">
      <c r="F304" s="12"/>
      <c r="G304" s="12"/>
    </row>
    <row r="305" spans="6:7" x14ac:dyDescent="0.25">
      <c r="F305" s="12"/>
      <c r="G305" s="12"/>
    </row>
    <row r="306" spans="6:7" x14ac:dyDescent="0.25">
      <c r="F306" s="12"/>
      <c r="G306" s="12"/>
    </row>
    <row r="307" spans="6:7" x14ac:dyDescent="0.25">
      <c r="F307" s="12"/>
      <c r="G307" s="12"/>
    </row>
    <row r="308" spans="6:7" x14ac:dyDescent="0.25">
      <c r="F308" s="12"/>
      <c r="G308" s="12"/>
    </row>
    <row r="309" spans="6:7" x14ac:dyDescent="0.25">
      <c r="F309" s="12"/>
      <c r="G309" s="12"/>
    </row>
    <row r="310" spans="6:7" x14ac:dyDescent="0.25">
      <c r="F310" s="12"/>
      <c r="G310" s="12"/>
    </row>
    <row r="311" spans="6:7" x14ac:dyDescent="0.25">
      <c r="F311" s="12"/>
      <c r="G311" s="12"/>
    </row>
    <row r="312" spans="6:7" x14ac:dyDescent="0.25">
      <c r="F312" s="12"/>
      <c r="G312" s="12"/>
    </row>
    <row r="313" spans="6:7" x14ac:dyDescent="0.25">
      <c r="F313" s="12"/>
      <c r="G313" s="12"/>
    </row>
    <row r="314" spans="6:7" x14ac:dyDescent="0.25">
      <c r="F314" s="12"/>
      <c r="G314" s="12"/>
    </row>
    <row r="315" spans="6:7" x14ac:dyDescent="0.25">
      <c r="F315" s="12"/>
      <c r="G315" s="12"/>
    </row>
    <row r="316" spans="6:7" x14ac:dyDescent="0.25">
      <c r="F316" s="12"/>
      <c r="G316" s="12"/>
    </row>
    <row r="317" spans="6:7" x14ac:dyDescent="0.25">
      <c r="F317" s="12"/>
      <c r="G317" s="12"/>
    </row>
    <row r="318" spans="6:7" x14ac:dyDescent="0.25">
      <c r="F318" s="12"/>
      <c r="G318" s="12"/>
    </row>
    <row r="319" spans="6:7" x14ac:dyDescent="0.25">
      <c r="F319" s="12"/>
      <c r="G319" s="12"/>
    </row>
    <row r="320" spans="6:7" x14ac:dyDescent="0.25">
      <c r="F320" s="12"/>
      <c r="G320" s="12"/>
    </row>
    <row r="321" spans="6:7" x14ac:dyDescent="0.25">
      <c r="F321" s="12"/>
      <c r="G321" s="12"/>
    </row>
    <row r="322" spans="6:7" x14ac:dyDescent="0.25">
      <c r="F322" s="12"/>
      <c r="G322" s="12"/>
    </row>
    <row r="323" spans="6:7" x14ac:dyDescent="0.25">
      <c r="F323" s="12"/>
      <c r="G323" s="12"/>
    </row>
    <row r="324" spans="6:7" x14ac:dyDescent="0.25">
      <c r="F324" s="12"/>
      <c r="G324" s="12"/>
    </row>
    <row r="325" spans="6:7" x14ac:dyDescent="0.25">
      <c r="F325" s="12"/>
      <c r="G325" s="12"/>
    </row>
    <row r="326" spans="6:7" x14ac:dyDescent="0.25">
      <c r="F326" s="12"/>
      <c r="G326" s="12"/>
    </row>
    <row r="327" spans="6:7" x14ac:dyDescent="0.25">
      <c r="F327" s="12"/>
      <c r="G327" s="12"/>
    </row>
    <row r="328" spans="6:7" x14ac:dyDescent="0.25">
      <c r="F328" s="12"/>
      <c r="G328" s="12"/>
    </row>
    <row r="329" spans="6:7" x14ac:dyDescent="0.25">
      <c r="F329" s="12"/>
      <c r="G329" s="12"/>
    </row>
    <row r="330" spans="6:7" x14ac:dyDescent="0.25">
      <c r="F330" s="12"/>
      <c r="G330" s="12"/>
    </row>
    <row r="331" spans="6:7" x14ac:dyDescent="0.25">
      <c r="F331" s="12"/>
      <c r="G331" s="12"/>
    </row>
    <row r="332" spans="6:7" x14ac:dyDescent="0.25">
      <c r="F332" s="12"/>
      <c r="G332" s="12"/>
    </row>
    <row r="333" spans="6:7" x14ac:dyDescent="0.25">
      <c r="F333" s="12"/>
      <c r="G333" s="12"/>
    </row>
    <row r="334" spans="6:7" x14ac:dyDescent="0.25">
      <c r="F334" s="12"/>
      <c r="G334" s="12"/>
    </row>
    <row r="335" spans="6:7" x14ac:dyDescent="0.25">
      <c r="F335" s="12"/>
      <c r="G335" s="12"/>
    </row>
    <row r="336" spans="6:7" x14ac:dyDescent="0.25">
      <c r="F336" s="12"/>
      <c r="G336" s="12"/>
    </row>
    <row r="337" spans="6:7" x14ac:dyDescent="0.25">
      <c r="F337" s="12"/>
      <c r="G337" s="12"/>
    </row>
    <row r="338" spans="6:7" x14ac:dyDescent="0.25">
      <c r="F338" s="12"/>
      <c r="G338" s="12"/>
    </row>
    <row r="339" spans="6:7" x14ac:dyDescent="0.25">
      <c r="F339" s="12"/>
      <c r="G339" s="12"/>
    </row>
    <row r="340" spans="6:7" x14ac:dyDescent="0.25">
      <c r="F340" s="12"/>
      <c r="G340" s="12"/>
    </row>
    <row r="341" spans="6:7" x14ac:dyDescent="0.25">
      <c r="F341" s="12"/>
      <c r="G341" s="12"/>
    </row>
    <row r="342" spans="6:7" x14ac:dyDescent="0.25">
      <c r="F342" s="12"/>
      <c r="G342" s="12"/>
    </row>
    <row r="343" spans="6:7" x14ac:dyDescent="0.25">
      <c r="F343" s="12"/>
      <c r="G343" s="12"/>
    </row>
    <row r="344" spans="6:7" x14ac:dyDescent="0.25">
      <c r="F344" s="12"/>
      <c r="G344" s="12"/>
    </row>
    <row r="345" spans="6:7" x14ac:dyDescent="0.25">
      <c r="F345" s="12"/>
      <c r="G345" s="12"/>
    </row>
    <row r="346" spans="6:7" x14ac:dyDescent="0.25">
      <c r="F346" s="12"/>
      <c r="G346" s="12"/>
    </row>
    <row r="347" spans="6:7" x14ac:dyDescent="0.25">
      <c r="F347" s="12"/>
      <c r="G347" s="12"/>
    </row>
    <row r="348" spans="6:7" x14ac:dyDescent="0.25">
      <c r="F348" s="12"/>
      <c r="G348" s="12"/>
    </row>
    <row r="349" spans="6:7" x14ac:dyDescent="0.25">
      <c r="F349" s="12"/>
      <c r="G349" s="12"/>
    </row>
    <row r="350" spans="6:7" x14ac:dyDescent="0.25">
      <c r="F350" s="12"/>
      <c r="G350" s="12"/>
    </row>
    <row r="351" spans="6:7" x14ac:dyDescent="0.25">
      <c r="F351" s="12"/>
      <c r="G351" s="12"/>
    </row>
    <row r="352" spans="6:7" x14ac:dyDescent="0.25">
      <c r="F352" s="12"/>
      <c r="G352" s="12"/>
    </row>
    <row r="353" spans="6:7" x14ac:dyDescent="0.25">
      <c r="F353" s="12"/>
      <c r="G353" s="12"/>
    </row>
    <row r="354" spans="6:7" x14ac:dyDescent="0.25">
      <c r="F354" s="12"/>
      <c r="G354" s="12"/>
    </row>
    <row r="355" spans="6:7" x14ac:dyDescent="0.25">
      <c r="F355" s="12"/>
      <c r="G355" s="12"/>
    </row>
    <row r="356" spans="6:7" x14ac:dyDescent="0.25">
      <c r="F356" s="12"/>
      <c r="G356" s="12"/>
    </row>
    <row r="357" spans="6:7" x14ac:dyDescent="0.25">
      <c r="F357" s="12"/>
      <c r="G357" s="12"/>
    </row>
    <row r="358" spans="6:7" x14ac:dyDescent="0.25">
      <c r="F358" s="12"/>
      <c r="G358" s="12"/>
    </row>
    <row r="359" spans="6:7" x14ac:dyDescent="0.25">
      <c r="F359" s="12"/>
      <c r="G359" s="12"/>
    </row>
    <row r="360" spans="6:7" x14ac:dyDescent="0.25">
      <c r="F360" s="12"/>
      <c r="G360" s="12"/>
    </row>
    <row r="361" spans="6:7" x14ac:dyDescent="0.25">
      <c r="F361" s="12"/>
      <c r="G361" s="12"/>
    </row>
    <row r="362" spans="6:7" x14ac:dyDescent="0.25">
      <c r="F362" s="12"/>
      <c r="G362" s="12"/>
    </row>
    <row r="363" spans="6:7" x14ac:dyDescent="0.25">
      <c r="F363" s="12"/>
      <c r="G363" s="12"/>
    </row>
    <row r="364" spans="6:7" x14ac:dyDescent="0.25">
      <c r="F364" s="12"/>
      <c r="G364" s="12"/>
    </row>
    <row r="365" spans="6:7" x14ac:dyDescent="0.25">
      <c r="F365" s="12"/>
      <c r="G365" s="12"/>
    </row>
    <row r="366" spans="6:7" x14ac:dyDescent="0.25">
      <c r="F366" s="12"/>
      <c r="G366" s="12"/>
    </row>
    <row r="367" spans="6:7" x14ac:dyDescent="0.25">
      <c r="F367" s="12"/>
      <c r="G367" s="12"/>
    </row>
    <row r="368" spans="6:7" x14ac:dyDescent="0.25">
      <c r="F368" s="12"/>
      <c r="G368" s="12"/>
    </row>
    <row r="369" spans="6:7" x14ac:dyDescent="0.25">
      <c r="F369" s="12"/>
      <c r="G369" s="12"/>
    </row>
    <row r="370" spans="6:7" x14ac:dyDescent="0.25">
      <c r="F370" s="12"/>
      <c r="G370" s="12"/>
    </row>
    <row r="371" spans="6:7" x14ac:dyDescent="0.25">
      <c r="F371" s="12"/>
      <c r="G371" s="12"/>
    </row>
    <row r="372" spans="6:7" x14ac:dyDescent="0.25">
      <c r="F372" s="12"/>
      <c r="G372" s="12"/>
    </row>
    <row r="373" spans="6:7" x14ac:dyDescent="0.25">
      <c r="F373" s="12"/>
      <c r="G373" s="12"/>
    </row>
    <row r="374" spans="6:7" x14ac:dyDescent="0.25">
      <c r="F374" s="12"/>
      <c r="G374" s="12"/>
    </row>
    <row r="375" spans="6:7" x14ac:dyDescent="0.25">
      <c r="F375" s="12"/>
      <c r="G375" s="12"/>
    </row>
    <row r="376" spans="6:7" x14ac:dyDescent="0.25">
      <c r="F376" s="12"/>
      <c r="G376" s="12"/>
    </row>
    <row r="377" spans="6:7" x14ac:dyDescent="0.25">
      <c r="F377" s="12"/>
      <c r="G377" s="12"/>
    </row>
    <row r="378" spans="6:7" x14ac:dyDescent="0.25">
      <c r="F378" s="12"/>
      <c r="G378" s="12"/>
    </row>
    <row r="379" spans="6:7" x14ac:dyDescent="0.25">
      <c r="F379" s="12"/>
      <c r="G379" s="12"/>
    </row>
    <row r="380" spans="6:7" x14ac:dyDescent="0.25">
      <c r="F380" s="12"/>
      <c r="G380" s="12"/>
    </row>
    <row r="381" spans="6:7" x14ac:dyDescent="0.25">
      <c r="F381" s="12"/>
      <c r="G381" s="12"/>
    </row>
    <row r="382" spans="6:7" x14ac:dyDescent="0.25">
      <c r="F382" s="12"/>
      <c r="G382" s="12"/>
    </row>
    <row r="383" spans="6:7" x14ac:dyDescent="0.25">
      <c r="F383" s="12"/>
      <c r="G383" s="12"/>
    </row>
    <row r="384" spans="6:7" x14ac:dyDescent="0.25">
      <c r="F384" s="12"/>
      <c r="G384" s="12"/>
    </row>
    <row r="385" spans="6:7" x14ac:dyDescent="0.25">
      <c r="F385" s="12"/>
      <c r="G385" s="12"/>
    </row>
    <row r="386" spans="6:7" x14ac:dyDescent="0.25">
      <c r="F386" s="12"/>
      <c r="G386" s="12"/>
    </row>
    <row r="387" spans="6:7" x14ac:dyDescent="0.25">
      <c r="F387" s="12"/>
      <c r="G387" s="12"/>
    </row>
    <row r="388" spans="6:7" x14ac:dyDescent="0.25">
      <c r="F388" s="12"/>
      <c r="G388" s="12"/>
    </row>
    <row r="389" spans="6:7" x14ac:dyDescent="0.25">
      <c r="F389" s="12"/>
      <c r="G389" s="12"/>
    </row>
    <row r="390" spans="6:7" x14ac:dyDescent="0.25">
      <c r="F390" s="12"/>
      <c r="G390" s="12"/>
    </row>
    <row r="391" spans="6:7" x14ac:dyDescent="0.25">
      <c r="F391" s="12"/>
      <c r="G391" s="12"/>
    </row>
    <row r="392" spans="6:7" x14ac:dyDescent="0.25">
      <c r="F392" s="12"/>
      <c r="G392" s="12"/>
    </row>
    <row r="393" spans="6:7" x14ac:dyDescent="0.25">
      <c r="F393" s="12"/>
      <c r="G393" s="12"/>
    </row>
    <row r="394" spans="6:7" x14ac:dyDescent="0.25">
      <c r="F394" s="12"/>
      <c r="G394" s="12"/>
    </row>
    <row r="395" spans="6:7" x14ac:dyDescent="0.25">
      <c r="F395" s="12"/>
      <c r="G395" s="12"/>
    </row>
    <row r="396" spans="6:7" x14ac:dyDescent="0.25">
      <c r="F396" s="12"/>
      <c r="G396" s="12"/>
    </row>
    <row r="397" spans="6:7" x14ac:dyDescent="0.25">
      <c r="F397" s="12"/>
      <c r="G397" s="12"/>
    </row>
    <row r="398" spans="6:7" x14ac:dyDescent="0.25">
      <c r="F398" s="12"/>
      <c r="G398" s="12"/>
    </row>
    <row r="399" spans="6:7" x14ac:dyDescent="0.25">
      <c r="F399" s="12"/>
      <c r="G399" s="12"/>
    </row>
    <row r="400" spans="6:7" x14ac:dyDescent="0.25">
      <c r="F400" s="12"/>
      <c r="G400" s="12"/>
    </row>
    <row r="401" spans="6:7" x14ac:dyDescent="0.25">
      <c r="F401" s="12"/>
      <c r="G401" s="12"/>
    </row>
    <row r="402" spans="6:7" x14ac:dyDescent="0.25">
      <c r="F402" s="12"/>
      <c r="G402" s="12"/>
    </row>
    <row r="403" spans="6:7" x14ac:dyDescent="0.25">
      <c r="F403" s="12"/>
      <c r="G403" s="12"/>
    </row>
    <row r="404" spans="6:7" x14ac:dyDescent="0.25">
      <c r="F404" s="12"/>
      <c r="G404" s="12"/>
    </row>
    <row r="405" spans="6:7" x14ac:dyDescent="0.25">
      <c r="F405" s="12"/>
      <c r="G405" s="12"/>
    </row>
    <row r="406" spans="6:7" x14ac:dyDescent="0.25">
      <c r="F406" s="12"/>
      <c r="G406" s="12"/>
    </row>
    <row r="407" spans="6:7" x14ac:dyDescent="0.25">
      <c r="F407" s="12"/>
      <c r="G407" s="12"/>
    </row>
    <row r="408" spans="6:7" x14ac:dyDescent="0.25">
      <c r="F408" s="12"/>
      <c r="G408" s="12"/>
    </row>
    <row r="409" spans="6:7" x14ac:dyDescent="0.25">
      <c r="F409" s="12"/>
      <c r="G409" s="12"/>
    </row>
    <row r="410" spans="6:7" x14ac:dyDescent="0.25">
      <c r="F410" s="12"/>
      <c r="G410" s="12"/>
    </row>
    <row r="411" spans="6:7" x14ac:dyDescent="0.25">
      <c r="F411" s="12"/>
      <c r="G411" s="12"/>
    </row>
    <row r="412" spans="6:7" x14ac:dyDescent="0.25">
      <c r="F412" s="12"/>
      <c r="G412" s="12"/>
    </row>
    <row r="413" spans="6:7" x14ac:dyDescent="0.25">
      <c r="F413" s="12"/>
      <c r="G413" s="12"/>
    </row>
    <row r="414" spans="6:7" x14ac:dyDescent="0.25">
      <c r="F414" s="12"/>
      <c r="G414" s="12"/>
    </row>
    <row r="415" spans="6:7" x14ac:dyDescent="0.25">
      <c r="F415" s="12"/>
      <c r="G415" s="12"/>
    </row>
    <row r="416" spans="6:7" x14ac:dyDescent="0.25">
      <c r="F416" s="12"/>
      <c r="G416" s="12"/>
    </row>
    <row r="417" spans="6:7" x14ac:dyDescent="0.25">
      <c r="F417" s="12"/>
      <c r="G417" s="12"/>
    </row>
    <row r="418" spans="6:7" x14ac:dyDescent="0.25">
      <c r="F418" s="12"/>
      <c r="G418" s="12"/>
    </row>
    <row r="419" spans="6:7" x14ac:dyDescent="0.25">
      <c r="F419" s="12"/>
      <c r="G419" s="12"/>
    </row>
    <row r="420" spans="6:7" x14ac:dyDescent="0.25">
      <c r="F420" s="12"/>
      <c r="G420" s="12"/>
    </row>
    <row r="421" spans="6:7" x14ac:dyDescent="0.25">
      <c r="F421" s="12"/>
      <c r="G421" s="12"/>
    </row>
    <row r="422" spans="6:7" x14ac:dyDescent="0.25">
      <c r="F422" s="12"/>
      <c r="G422" s="12"/>
    </row>
    <row r="423" spans="6:7" x14ac:dyDescent="0.25">
      <c r="F423" s="12"/>
      <c r="G423" s="12"/>
    </row>
    <row r="424" spans="6:7" x14ac:dyDescent="0.25">
      <c r="F424" s="12"/>
      <c r="G424" s="12"/>
    </row>
    <row r="425" spans="6:7" x14ac:dyDescent="0.25">
      <c r="F425" s="12"/>
      <c r="G425" s="12"/>
    </row>
    <row r="426" spans="6:7" x14ac:dyDescent="0.25">
      <c r="F426" s="12"/>
      <c r="G426" s="12"/>
    </row>
    <row r="427" spans="6:7" x14ac:dyDescent="0.25">
      <c r="F427" s="12"/>
      <c r="G427" s="12"/>
    </row>
    <row r="428" spans="6:7" x14ac:dyDescent="0.25">
      <c r="F428" s="12"/>
      <c r="G428" s="12"/>
    </row>
    <row r="429" spans="6:7" x14ac:dyDescent="0.25">
      <c r="F429" s="12"/>
      <c r="G429" s="12"/>
    </row>
    <row r="430" spans="6:7" x14ac:dyDescent="0.25">
      <c r="F430" s="12"/>
      <c r="G430" s="12"/>
    </row>
    <row r="431" spans="6:7" x14ac:dyDescent="0.25">
      <c r="F431" s="12"/>
      <c r="G431" s="12"/>
    </row>
    <row r="432" spans="6:7" x14ac:dyDescent="0.25">
      <c r="F432" s="12"/>
      <c r="G432" s="12"/>
    </row>
    <row r="433" spans="6:7" x14ac:dyDescent="0.25">
      <c r="F433" s="12"/>
      <c r="G433" s="12"/>
    </row>
    <row r="434" spans="6:7" x14ac:dyDescent="0.25">
      <c r="F434" s="12"/>
      <c r="G434" s="12"/>
    </row>
    <row r="435" spans="6:7" x14ac:dyDescent="0.25">
      <c r="F435" s="12"/>
      <c r="G435" s="12"/>
    </row>
    <row r="436" spans="6:7" x14ac:dyDescent="0.25">
      <c r="F436" s="12"/>
      <c r="G436" s="12"/>
    </row>
    <row r="437" spans="6:7" x14ac:dyDescent="0.25">
      <c r="F437" s="12"/>
      <c r="G437" s="12"/>
    </row>
    <row r="438" spans="6:7" x14ac:dyDescent="0.25">
      <c r="F438" s="12"/>
      <c r="G438" s="12"/>
    </row>
    <row r="439" spans="6:7" x14ac:dyDescent="0.25">
      <c r="F439" s="12"/>
      <c r="G439" s="12"/>
    </row>
    <row r="440" spans="6:7" x14ac:dyDescent="0.25">
      <c r="F440" s="12"/>
      <c r="G440" s="12"/>
    </row>
    <row r="441" spans="6:7" x14ac:dyDescent="0.25">
      <c r="F441" s="12"/>
      <c r="G441" s="12"/>
    </row>
    <row r="442" spans="6:7" x14ac:dyDescent="0.25">
      <c r="F442" s="12"/>
      <c r="G442" s="12"/>
    </row>
    <row r="443" spans="6:7" x14ac:dyDescent="0.25">
      <c r="F443" s="12"/>
      <c r="G443" s="12"/>
    </row>
    <row r="444" spans="6:7" x14ac:dyDescent="0.25">
      <c r="F444" s="12"/>
      <c r="G444" s="12"/>
    </row>
    <row r="445" spans="6:7" x14ac:dyDescent="0.25">
      <c r="F445" s="12"/>
      <c r="G445" s="12"/>
    </row>
    <row r="446" spans="6:7" x14ac:dyDescent="0.25">
      <c r="F446" s="12"/>
      <c r="G446" s="12"/>
    </row>
    <row r="447" spans="6:7" x14ac:dyDescent="0.25">
      <c r="F447" s="12"/>
      <c r="G447" s="12"/>
    </row>
    <row r="448" spans="6:7" x14ac:dyDescent="0.25">
      <c r="F448" s="12"/>
      <c r="G448" s="12"/>
    </row>
    <row r="449" spans="6:7" x14ac:dyDescent="0.25">
      <c r="F449" s="12"/>
      <c r="G449" s="12"/>
    </row>
    <row r="450" spans="6:7" x14ac:dyDescent="0.25">
      <c r="F450" s="12"/>
      <c r="G450" s="12"/>
    </row>
    <row r="451" spans="6:7" x14ac:dyDescent="0.25">
      <c r="F451" s="12"/>
      <c r="G451" s="12"/>
    </row>
    <row r="452" spans="6:7" x14ac:dyDescent="0.25">
      <c r="F452" s="12"/>
      <c r="G452" s="12"/>
    </row>
    <row r="453" spans="6:7" x14ac:dyDescent="0.25">
      <c r="F453" s="12"/>
      <c r="G453" s="12"/>
    </row>
    <row r="454" spans="6:7" x14ac:dyDescent="0.25">
      <c r="F454" s="12"/>
      <c r="G454" s="12"/>
    </row>
    <row r="455" spans="6:7" x14ac:dyDescent="0.25">
      <c r="F455" s="12"/>
      <c r="G455" s="12"/>
    </row>
    <row r="456" spans="6:7" x14ac:dyDescent="0.25">
      <c r="F456" s="12"/>
      <c r="G456" s="12"/>
    </row>
    <row r="457" spans="6:7" x14ac:dyDescent="0.25">
      <c r="F457" s="12"/>
      <c r="G457" s="12"/>
    </row>
    <row r="458" spans="6:7" x14ac:dyDescent="0.25">
      <c r="F458" s="12"/>
      <c r="G458" s="12"/>
    </row>
    <row r="459" spans="6:7" x14ac:dyDescent="0.25">
      <c r="F459" s="12"/>
      <c r="G459" s="12"/>
    </row>
    <row r="460" spans="6:7" x14ac:dyDescent="0.25">
      <c r="F460" s="12"/>
      <c r="G460" s="12"/>
    </row>
    <row r="461" spans="6:7" x14ac:dyDescent="0.25">
      <c r="F461" s="12"/>
      <c r="G461" s="12"/>
    </row>
    <row r="462" spans="6:7" x14ac:dyDescent="0.25">
      <c r="F462" s="12"/>
      <c r="G462" s="12"/>
    </row>
    <row r="463" spans="6:7" x14ac:dyDescent="0.25">
      <c r="F463" s="12"/>
      <c r="G463" s="12"/>
    </row>
    <row r="464" spans="6:7" x14ac:dyDescent="0.25">
      <c r="F464" s="12"/>
      <c r="G464" s="12"/>
    </row>
    <row r="465" spans="6:7" x14ac:dyDescent="0.25">
      <c r="F465" s="12"/>
      <c r="G465" s="12"/>
    </row>
    <row r="466" spans="6:7" x14ac:dyDescent="0.25">
      <c r="F466" s="12"/>
      <c r="G466" s="12"/>
    </row>
    <row r="467" spans="6:7" x14ac:dyDescent="0.25">
      <c r="F467" s="12"/>
      <c r="G467" s="12"/>
    </row>
    <row r="468" spans="6:7" x14ac:dyDescent="0.25">
      <c r="F468" s="12"/>
      <c r="G468" s="12"/>
    </row>
    <row r="469" spans="6:7" x14ac:dyDescent="0.25">
      <c r="F469" s="12"/>
      <c r="G469" s="12"/>
    </row>
    <row r="470" spans="6:7" x14ac:dyDescent="0.25">
      <c r="F470" s="12"/>
      <c r="G470" s="12"/>
    </row>
    <row r="471" spans="6:7" x14ac:dyDescent="0.25">
      <c r="F471" s="12"/>
      <c r="G471" s="12"/>
    </row>
    <row r="472" spans="6:7" x14ac:dyDescent="0.25">
      <c r="F472" s="12"/>
      <c r="G472" s="12"/>
    </row>
    <row r="473" spans="6:7" x14ac:dyDescent="0.25">
      <c r="F473" s="12"/>
      <c r="G473" s="12"/>
    </row>
    <row r="474" spans="6:7" x14ac:dyDescent="0.25">
      <c r="F474" s="12"/>
      <c r="G474" s="12"/>
    </row>
    <row r="475" spans="6:7" x14ac:dyDescent="0.25">
      <c r="F475" s="12"/>
      <c r="G475" s="12"/>
    </row>
    <row r="476" spans="6:7" x14ac:dyDescent="0.25">
      <c r="F476" s="12"/>
      <c r="G476" s="12"/>
    </row>
    <row r="477" spans="6:7" x14ac:dyDescent="0.25">
      <c r="F477" s="12"/>
      <c r="G477" s="12"/>
    </row>
    <row r="478" spans="6:7" x14ac:dyDescent="0.25">
      <c r="F478" s="12"/>
      <c r="G478" s="12"/>
    </row>
    <row r="479" spans="6:7" x14ac:dyDescent="0.25">
      <c r="F479" s="12"/>
      <c r="G479" s="12"/>
    </row>
    <row r="480" spans="6:7" x14ac:dyDescent="0.25">
      <c r="F480" s="12"/>
      <c r="G480" s="12"/>
    </row>
    <row r="481" spans="6:7" x14ac:dyDescent="0.25">
      <c r="F481" s="12"/>
      <c r="G481" s="12"/>
    </row>
    <row r="482" spans="6:7" x14ac:dyDescent="0.25">
      <c r="F482" s="12"/>
      <c r="G482" s="12"/>
    </row>
    <row r="483" spans="6:7" x14ac:dyDescent="0.25">
      <c r="F483" s="12"/>
      <c r="G483" s="12"/>
    </row>
    <row r="484" spans="6:7" x14ac:dyDescent="0.25">
      <c r="F484" s="12"/>
      <c r="G484" s="12"/>
    </row>
    <row r="485" spans="6:7" x14ac:dyDescent="0.25">
      <c r="F485" s="12"/>
      <c r="G485" s="12"/>
    </row>
    <row r="486" spans="6:7" x14ac:dyDescent="0.25">
      <c r="F486" s="12"/>
      <c r="G486" s="12"/>
    </row>
    <row r="487" spans="6:7" x14ac:dyDescent="0.25">
      <c r="F487" s="12"/>
      <c r="G487" s="12"/>
    </row>
    <row r="488" spans="6:7" x14ac:dyDescent="0.25">
      <c r="F488" s="12"/>
      <c r="G488" s="12"/>
    </row>
    <row r="489" spans="6:7" x14ac:dyDescent="0.25">
      <c r="F489" s="12"/>
      <c r="G489" s="12"/>
    </row>
    <row r="490" spans="6:7" x14ac:dyDescent="0.25">
      <c r="F490" s="12"/>
      <c r="G490" s="12"/>
    </row>
    <row r="491" spans="6:7" x14ac:dyDescent="0.25">
      <c r="F491" s="12"/>
      <c r="G491" s="12"/>
    </row>
    <row r="492" spans="6:7" x14ac:dyDescent="0.25">
      <c r="F492" s="12"/>
      <c r="G492" s="12"/>
    </row>
    <row r="493" spans="6:7" x14ac:dyDescent="0.25">
      <c r="F493" s="12"/>
      <c r="G493" s="12"/>
    </row>
    <row r="494" spans="6:7" x14ac:dyDescent="0.25">
      <c r="F494" s="12"/>
      <c r="G494" s="12"/>
    </row>
    <row r="495" spans="6:7" x14ac:dyDescent="0.25">
      <c r="F495" s="12"/>
      <c r="G495" s="12"/>
    </row>
    <row r="496" spans="6:7" x14ac:dyDescent="0.25">
      <c r="F496" s="12"/>
      <c r="G496" s="12"/>
    </row>
    <row r="497" spans="6:7" x14ac:dyDescent="0.25">
      <c r="F497" s="12"/>
      <c r="G497" s="12"/>
    </row>
    <row r="498" spans="6:7" x14ac:dyDescent="0.25">
      <c r="F498" s="12"/>
      <c r="G498" s="12"/>
    </row>
    <row r="499" spans="6:7" x14ac:dyDescent="0.25">
      <c r="F499" s="12"/>
      <c r="G499" s="12"/>
    </row>
    <row r="500" spans="6:7" x14ac:dyDescent="0.25">
      <c r="F500" s="12"/>
      <c r="G500" s="12"/>
    </row>
    <row r="501" spans="6:7" x14ac:dyDescent="0.25">
      <c r="F501" s="12"/>
      <c r="G501" s="12"/>
    </row>
    <row r="502" spans="6:7" x14ac:dyDescent="0.25">
      <c r="F502" s="12"/>
      <c r="G502" s="12"/>
    </row>
    <row r="503" spans="6:7" x14ac:dyDescent="0.25">
      <c r="F503" s="12"/>
      <c r="G503" s="12"/>
    </row>
    <row r="504" spans="6:7" x14ac:dyDescent="0.25">
      <c r="F504" s="12"/>
      <c r="G504" s="12"/>
    </row>
    <row r="505" spans="6:7" x14ac:dyDescent="0.25">
      <c r="F505" s="12"/>
      <c r="G505" s="12"/>
    </row>
    <row r="506" spans="6:7" x14ac:dyDescent="0.25">
      <c r="F506" s="12"/>
      <c r="G506" s="12"/>
    </row>
    <row r="507" spans="6:7" x14ac:dyDescent="0.25">
      <c r="F507" s="12"/>
      <c r="G507" s="12"/>
    </row>
    <row r="508" spans="6:7" x14ac:dyDescent="0.25">
      <c r="F508" s="12"/>
      <c r="G508" s="12"/>
    </row>
    <row r="509" spans="6:7" x14ac:dyDescent="0.25">
      <c r="F509" s="12"/>
      <c r="G509" s="12"/>
    </row>
    <row r="510" spans="6:7" x14ac:dyDescent="0.25">
      <c r="F510" s="12"/>
      <c r="G510" s="12"/>
    </row>
    <row r="511" spans="6:7" x14ac:dyDescent="0.25">
      <c r="F511" s="12"/>
      <c r="G511" s="12"/>
    </row>
    <row r="512" spans="6:7" x14ac:dyDescent="0.25">
      <c r="F512" s="12"/>
      <c r="G512" s="12"/>
    </row>
    <row r="513" spans="6:7" x14ac:dyDescent="0.25">
      <c r="F513" s="12"/>
      <c r="G513" s="12"/>
    </row>
    <row r="514" spans="6:7" x14ac:dyDescent="0.25">
      <c r="F514" s="12"/>
      <c r="G514" s="12"/>
    </row>
    <row r="515" spans="6:7" x14ac:dyDescent="0.25">
      <c r="F515" s="12"/>
      <c r="G515" s="12"/>
    </row>
    <row r="516" spans="6:7" x14ac:dyDescent="0.25">
      <c r="F516" s="12"/>
      <c r="G516" s="12"/>
    </row>
    <row r="517" spans="6:7" x14ac:dyDescent="0.25">
      <c r="F517" s="12"/>
      <c r="G517" s="12"/>
    </row>
    <row r="518" spans="6:7" x14ac:dyDescent="0.25">
      <c r="F518" s="12"/>
      <c r="G518" s="12"/>
    </row>
    <row r="519" spans="6:7" x14ac:dyDescent="0.25">
      <c r="F519" s="12"/>
      <c r="G519" s="12"/>
    </row>
    <row r="520" spans="6:7" x14ac:dyDescent="0.25">
      <c r="F520" s="12"/>
      <c r="G520" s="12"/>
    </row>
    <row r="521" spans="6:7" x14ac:dyDescent="0.25">
      <c r="F521" s="12"/>
      <c r="G521" s="12"/>
    </row>
    <row r="522" spans="6:7" x14ac:dyDescent="0.25">
      <c r="F522" s="12"/>
      <c r="G522" s="12"/>
    </row>
    <row r="523" spans="6:7" x14ac:dyDescent="0.25">
      <c r="F523" s="12"/>
      <c r="G523" s="12"/>
    </row>
    <row r="524" spans="6:7" x14ac:dyDescent="0.25">
      <c r="F524" s="12"/>
      <c r="G524" s="12"/>
    </row>
    <row r="525" spans="6:7" x14ac:dyDescent="0.25">
      <c r="F525" s="12"/>
      <c r="G525" s="12"/>
    </row>
    <row r="526" spans="6:7" x14ac:dyDescent="0.25">
      <c r="F526" s="12"/>
      <c r="G526" s="12"/>
    </row>
    <row r="527" spans="6:7" x14ac:dyDescent="0.25">
      <c r="F527" s="12"/>
      <c r="G527" s="12"/>
    </row>
    <row r="528" spans="6:7" x14ac:dyDescent="0.25">
      <c r="F528" s="12"/>
      <c r="G528" s="12"/>
    </row>
    <row r="529" spans="6:7" x14ac:dyDescent="0.25">
      <c r="F529" s="12"/>
      <c r="G529" s="12"/>
    </row>
    <row r="530" spans="6:7" x14ac:dyDescent="0.25">
      <c r="F530" s="12"/>
      <c r="G530" s="12"/>
    </row>
    <row r="531" spans="6:7" x14ac:dyDescent="0.25">
      <c r="F531" s="12"/>
      <c r="G531" s="12"/>
    </row>
    <row r="532" spans="6:7" x14ac:dyDescent="0.25">
      <c r="F532" s="12"/>
      <c r="G532" s="12"/>
    </row>
    <row r="533" spans="6:7" x14ac:dyDescent="0.25">
      <c r="F533" s="12"/>
      <c r="G533" s="12"/>
    </row>
    <row r="534" spans="6:7" x14ac:dyDescent="0.25">
      <c r="F534" s="12"/>
      <c r="G534" s="12"/>
    </row>
    <row r="535" spans="6:7" x14ac:dyDescent="0.25">
      <c r="F535" s="12"/>
      <c r="G535" s="12"/>
    </row>
    <row r="536" spans="6:7" x14ac:dyDescent="0.25">
      <c r="F536" s="12"/>
      <c r="G536" s="12"/>
    </row>
    <row r="537" spans="6:7" x14ac:dyDescent="0.25">
      <c r="F537" s="12"/>
      <c r="G537" s="12"/>
    </row>
    <row r="538" spans="6:7" x14ac:dyDescent="0.25">
      <c r="F538" s="12"/>
      <c r="G538" s="12"/>
    </row>
    <row r="539" spans="6:7" x14ac:dyDescent="0.25">
      <c r="F539" s="12"/>
      <c r="G539" s="12"/>
    </row>
    <row r="540" spans="6:7" x14ac:dyDescent="0.25">
      <c r="F540" s="12"/>
      <c r="G540" s="12"/>
    </row>
    <row r="541" spans="6:7" x14ac:dyDescent="0.25">
      <c r="F541" s="12"/>
      <c r="G541" s="12"/>
    </row>
    <row r="542" spans="6:7" x14ac:dyDescent="0.25">
      <c r="F542" s="12"/>
      <c r="G542" s="12"/>
    </row>
    <row r="543" spans="6:7" x14ac:dyDescent="0.25">
      <c r="F543" s="12"/>
      <c r="G543" s="12"/>
    </row>
    <row r="544" spans="6:7" x14ac:dyDescent="0.25">
      <c r="F544" s="12"/>
      <c r="G544" s="12"/>
    </row>
    <row r="545" spans="6:7" x14ac:dyDescent="0.25">
      <c r="F545" s="12"/>
      <c r="G545" s="12"/>
    </row>
    <row r="546" spans="6:7" x14ac:dyDescent="0.25">
      <c r="F546" s="12"/>
      <c r="G546" s="12"/>
    </row>
    <row r="547" spans="6:7" x14ac:dyDescent="0.25">
      <c r="F547" s="12"/>
      <c r="G547" s="12"/>
    </row>
    <row r="548" spans="6:7" x14ac:dyDescent="0.25">
      <c r="F548" s="12"/>
      <c r="G548" s="12"/>
    </row>
    <row r="549" spans="6:7" x14ac:dyDescent="0.25">
      <c r="F549" s="12"/>
      <c r="G549" s="12"/>
    </row>
    <row r="550" spans="6:7" x14ac:dyDescent="0.25">
      <c r="F550" s="12"/>
      <c r="G550" s="12"/>
    </row>
    <row r="551" spans="6:7" x14ac:dyDescent="0.25">
      <c r="F551" s="12"/>
      <c r="G551" s="12"/>
    </row>
    <row r="552" spans="6:7" x14ac:dyDescent="0.25">
      <c r="F552" s="12"/>
      <c r="G552" s="12"/>
    </row>
    <row r="553" spans="6:7" x14ac:dyDescent="0.25">
      <c r="F553" s="12"/>
      <c r="G553" s="12"/>
    </row>
    <row r="554" spans="6:7" x14ac:dyDescent="0.25">
      <c r="F554" s="12"/>
      <c r="G554" s="12"/>
    </row>
    <row r="555" spans="6:7" x14ac:dyDescent="0.25">
      <c r="F555" s="12"/>
      <c r="G555" s="12"/>
    </row>
    <row r="556" spans="6:7" x14ac:dyDescent="0.25">
      <c r="F556" s="12"/>
      <c r="G556" s="12"/>
    </row>
    <row r="557" spans="6:7" x14ac:dyDescent="0.25">
      <c r="F557" s="12"/>
      <c r="G557" s="12"/>
    </row>
    <row r="558" spans="6:7" x14ac:dyDescent="0.25">
      <c r="F558" s="12"/>
      <c r="G558" s="12"/>
    </row>
    <row r="559" spans="6:7" x14ac:dyDescent="0.25">
      <c r="F559" s="12"/>
      <c r="G559" s="12"/>
    </row>
    <row r="560" spans="6:7" x14ac:dyDescent="0.25">
      <c r="F560" s="12"/>
      <c r="G560" s="12"/>
    </row>
    <row r="561" spans="6:7" x14ac:dyDescent="0.25">
      <c r="F561" s="12"/>
      <c r="G561" s="12"/>
    </row>
    <row r="562" spans="6:7" x14ac:dyDescent="0.25">
      <c r="F562" s="12"/>
      <c r="G562" s="12"/>
    </row>
    <row r="563" spans="6:7" x14ac:dyDescent="0.25">
      <c r="F563" s="12"/>
      <c r="G563" s="12"/>
    </row>
    <row r="564" spans="6:7" x14ac:dyDescent="0.25">
      <c r="F564" s="12"/>
      <c r="G564" s="12"/>
    </row>
    <row r="565" spans="6:7" x14ac:dyDescent="0.25">
      <c r="F565" s="12"/>
      <c r="G565" s="12"/>
    </row>
    <row r="566" spans="6:7" x14ac:dyDescent="0.25">
      <c r="F566" s="12"/>
      <c r="G566" s="12"/>
    </row>
    <row r="567" spans="6:7" x14ac:dyDescent="0.25">
      <c r="F567" s="12"/>
      <c r="G567" s="12"/>
    </row>
    <row r="568" spans="6:7" x14ac:dyDescent="0.25">
      <c r="F568" s="12"/>
      <c r="G568" s="12"/>
    </row>
    <row r="569" spans="6:7" x14ac:dyDescent="0.25">
      <c r="F569" s="12"/>
      <c r="G569" s="12"/>
    </row>
    <row r="570" spans="6:7" x14ac:dyDescent="0.25">
      <c r="F570" s="12"/>
      <c r="G570" s="12"/>
    </row>
    <row r="571" spans="6:7" x14ac:dyDescent="0.25">
      <c r="F571" s="12"/>
      <c r="G571" s="12"/>
    </row>
    <row r="572" spans="6:7" x14ac:dyDescent="0.25">
      <c r="F572" s="12"/>
      <c r="G572" s="12"/>
    </row>
    <row r="573" spans="6:7" x14ac:dyDescent="0.25">
      <c r="F573" s="12"/>
      <c r="G573" s="12"/>
    </row>
    <row r="574" spans="6:7" x14ac:dyDescent="0.25">
      <c r="F574" s="12"/>
      <c r="G574" s="12"/>
    </row>
    <row r="575" spans="6:7" x14ac:dyDescent="0.25">
      <c r="F575" s="12"/>
      <c r="G575" s="12"/>
    </row>
    <row r="576" spans="6:7" x14ac:dyDescent="0.25">
      <c r="F576" s="12"/>
      <c r="G576" s="12"/>
    </row>
    <row r="577" spans="6:7" x14ac:dyDescent="0.25">
      <c r="F577" s="12"/>
      <c r="G577" s="12"/>
    </row>
    <row r="578" spans="6:7" x14ac:dyDescent="0.25">
      <c r="F578" s="12"/>
      <c r="G578" s="12"/>
    </row>
    <row r="579" spans="6:7" x14ac:dyDescent="0.25">
      <c r="F579" s="12"/>
      <c r="G579" s="12"/>
    </row>
    <row r="580" spans="6:7" x14ac:dyDescent="0.25">
      <c r="F580" s="12"/>
      <c r="G580" s="12"/>
    </row>
    <row r="581" spans="6:7" x14ac:dyDescent="0.25">
      <c r="F581" s="12"/>
      <c r="G581" s="12"/>
    </row>
    <row r="582" spans="6:7" x14ac:dyDescent="0.25">
      <c r="F582" s="12"/>
      <c r="G582" s="12"/>
    </row>
    <row r="583" spans="6:7" x14ac:dyDescent="0.25">
      <c r="F583" s="12"/>
      <c r="G583" s="12"/>
    </row>
    <row r="584" spans="6:7" x14ac:dyDescent="0.25">
      <c r="F584" s="12"/>
      <c r="G584" s="12"/>
    </row>
    <row r="585" spans="6:7" x14ac:dyDescent="0.25">
      <c r="F585" s="12"/>
      <c r="G585" s="12"/>
    </row>
    <row r="586" spans="6:7" x14ac:dyDescent="0.25">
      <c r="F586" s="12"/>
      <c r="G586" s="12"/>
    </row>
    <row r="587" spans="6:7" x14ac:dyDescent="0.25">
      <c r="F587" s="12"/>
      <c r="G587" s="12"/>
    </row>
    <row r="588" spans="6:7" x14ac:dyDescent="0.25">
      <c r="F588" s="12"/>
      <c r="G588" s="12"/>
    </row>
    <row r="589" spans="6:7" x14ac:dyDescent="0.25">
      <c r="F589" s="12"/>
      <c r="G589" s="12"/>
    </row>
    <row r="590" spans="6:7" x14ac:dyDescent="0.25">
      <c r="F590" s="12"/>
      <c r="G590" s="12"/>
    </row>
    <row r="591" spans="6:7" x14ac:dyDescent="0.25">
      <c r="F591" s="12"/>
      <c r="G591" s="12"/>
    </row>
    <row r="592" spans="6:7" x14ac:dyDescent="0.25">
      <c r="F592" s="12"/>
      <c r="G592" s="12"/>
    </row>
    <row r="593" spans="6:7" x14ac:dyDescent="0.25">
      <c r="F593" s="12"/>
      <c r="G593" s="12"/>
    </row>
    <row r="594" spans="6:7" x14ac:dyDescent="0.25">
      <c r="F594" s="12"/>
      <c r="G594" s="12"/>
    </row>
    <row r="595" spans="6:7" x14ac:dyDescent="0.25">
      <c r="F595" s="12"/>
      <c r="G595" s="12"/>
    </row>
    <row r="596" spans="6:7" x14ac:dyDescent="0.25">
      <c r="F596" s="12"/>
      <c r="G596" s="12"/>
    </row>
    <row r="597" spans="6:7" x14ac:dyDescent="0.25">
      <c r="F597" s="12"/>
      <c r="G597" s="12"/>
    </row>
    <row r="598" spans="6:7" x14ac:dyDescent="0.25">
      <c r="F598" s="12"/>
      <c r="G598" s="12"/>
    </row>
    <row r="599" spans="6:7" x14ac:dyDescent="0.25">
      <c r="F599" s="12"/>
      <c r="G599" s="12"/>
    </row>
    <row r="600" spans="6:7" x14ac:dyDescent="0.25">
      <c r="F600" s="12"/>
      <c r="G600" s="12"/>
    </row>
    <row r="601" spans="6:7" x14ac:dyDescent="0.25">
      <c r="F601" s="12"/>
      <c r="G601" s="12"/>
    </row>
    <row r="602" spans="6:7" x14ac:dyDescent="0.25">
      <c r="F602" s="12"/>
      <c r="G602" s="12"/>
    </row>
    <row r="603" spans="6:7" x14ac:dyDescent="0.25">
      <c r="F603" s="12"/>
      <c r="G603" s="12"/>
    </row>
    <row r="604" spans="6:7" x14ac:dyDescent="0.25">
      <c r="F604" s="12"/>
      <c r="G604" s="12"/>
    </row>
    <row r="605" spans="6:7" x14ac:dyDescent="0.25">
      <c r="F605" s="12"/>
      <c r="G605" s="12"/>
    </row>
    <row r="606" spans="6:7" x14ac:dyDescent="0.25">
      <c r="F606" s="12"/>
      <c r="G606" s="12"/>
    </row>
    <row r="607" spans="6:7" x14ac:dyDescent="0.25">
      <c r="F607" s="12"/>
      <c r="G607" s="12"/>
    </row>
    <row r="608" spans="6:7" x14ac:dyDescent="0.25">
      <c r="F608" s="12"/>
      <c r="G608" s="12"/>
    </row>
    <row r="609" spans="6:7" x14ac:dyDescent="0.25">
      <c r="F609" s="12"/>
      <c r="G609" s="12"/>
    </row>
    <row r="610" spans="6:7" x14ac:dyDescent="0.25">
      <c r="F610" s="12"/>
      <c r="G610" s="12"/>
    </row>
    <row r="611" spans="6:7" x14ac:dyDescent="0.25">
      <c r="F611" s="12"/>
      <c r="G611" s="12"/>
    </row>
    <row r="612" spans="6:7" x14ac:dyDescent="0.25">
      <c r="F612" s="12"/>
      <c r="G612" s="12"/>
    </row>
    <row r="613" spans="6:7" x14ac:dyDescent="0.25">
      <c r="F613" s="12"/>
      <c r="G613" s="12"/>
    </row>
    <row r="614" spans="6:7" x14ac:dyDescent="0.25">
      <c r="F614" s="12"/>
      <c r="G614" s="12"/>
    </row>
    <row r="615" spans="6:7" x14ac:dyDescent="0.25">
      <c r="F615" s="12"/>
      <c r="G615" s="12"/>
    </row>
    <row r="616" spans="6:7" x14ac:dyDescent="0.25">
      <c r="F616" s="12"/>
      <c r="G616" s="12"/>
    </row>
    <row r="617" spans="6:7" x14ac:dyDescent="0.25">
      <c r="F617" s="12"/>
      <c r="G617" s="12"/>
    </row>
    <row r="618" spans="6:7" x14ac:dyDescent="0.25">
      <c r="F618" s="12"/>
      <c r="G618" s="12"/>
    </row>
    <row r="619" spans="6:7" x14ac:dyDescent="0.25">
      <c r="F619" s="12"/>
      <c r="G619" s="12"/>
    </row>
    <row r="620" spans="6:7" x14ac:dyDescent="0.25">
      <c r="F620" s="12"/>
      <c r="G620" s="12"/>
    </row>
    <row r="621" spans="6:7" x14ac:dyDescent="0.25">
      <c r="F621" s="12"/>
      <c r="G621" s="12"/>
    </row>
    <row r="622" spans="6:7" x14ac:dyDescent="0.25">
      <c r="F622" s="12"/>
      <c r="G622" s="12"/>
    </row>
    <row r="623" spans="6:7" x14ac:dyDescent="0.25">
      <c r="F623" s="12"/>
      <c r="G623" s="12"/>
    </row>
    <row r="624" spans="6:7" x14ac:dyDescent="0.25">
      <c r="F624" s="12"/>
      <c r="G624" s="12"/>
    </row>
    <row r="625" spans="6:7" x14ac:dyDescent="0.25">
      <c r="F625" s="12"/>
      <c r="G625" s="12"/>
    </row>
    <row r="626" spans="6:7" x14ac:dyDescent="0.25">
      <c r="F626" s="12"/>
      <c r="G626" s="12"/>
    </row>
    <row r="627" spans="6:7" x14ac:dyDescent="0.25">
      <c r="F627" s="12"/>
      <c r="G627" s="12"/>
    </row>
    <row r="628" spans="6:7" x14ac:dyDescent="0.25">
      <c r="F628" s="12"/>
      <c r="G628" s="12"/>
    </row>
    <row r="629" spans="6:7" x14ac:dyDescent="0.25">
      <c r="F629" s="12"/>
      <c r="G629" s="12"/>
    </row>
    <row r="630" spans="6:7" x14ac:dyDescent="0.25">
      <c r="F630" s="12"/>
      <c r="G630" s="12"/>
    </row>
    <row r="631" spans="6:7" x14ac:dyDescent="0.25">
      <c r="F631" s="12"/>
      <c r="G631" s="12"/>
    </row>
    <row r="632" spans="6:7" x14ac:dyDescent="0.25">
      <c r="F632" s="12"/>
      <c r="G632" s="12"/>
    </row>
    <row r="633" spans="6:7" x14ac:dyDescent="0.25">
      <c r="F633" s="12"/>
      <c r="G633" s="12"/>
    </row>
    <row r="634" spans="6:7" x14ac:dyDescent="0.25">
      <c r="F634" s="12"/>
      <c r="G634" s="12"/>
    </row>
    <row r="635" spans="6:7" x14ac:dyDescent="0.25">
      <c r="F635" s="12"/>
      <c r="G635" s="12"/>
    </row>
    <row r="636" spans="6:7" x14ac:dyDescent="0.25">
      <c r="F636" s="12"/>
      <c r="G636" s="12"/>
    </row>
    <row r="637" spans="6:7" x14ac:dyDescent="0.25">
      <c r="F637" s="12"/>
      <c r="G637" s="12"/>
    </row>
    <row r="638" spans="6:7" x14ac:dyDescent="0.25">
      <c r="F638" s="12"/>
      <c r="G638" s="12"/>
    </row>
    <row r="639" spans="6:7" x14ac:dyDescent="0.25">
      <c r="F639" s="12"/>
      <c r="G639" s="12"/>
    </row>
    <row r="640" spans="6:7" x14ac:dyDescent="0.25">
      <c r="F640" s="12"/>
      <c r="G640" s="12"/>
    </row>
    <row r="641" spans="6:7" x14ac:dyDescent="0.25">
      <c r="F641" s="12"/>
      <c r="G641" s="12"/>
    </row>
    <row r="642" spans="6:7" x14ac:dyDescent="0.25">
      <c r="F642" s="12"/>
      <c r="G642" s="12"/>
    </row>
    <row r="643" spans="6:7" x14ac:dyDescent="0.25">
      <c r="F643" s="12"/>
      <c r="G643" s="12"/>
    </row>
    <row r="644" spans="6:7" x14ac:dyDescent="0.25">
      <c r="F644" s="12"/>
      <c r="G644" s="12"/>
    </row>
    <row r="645" spans="6:7" x14ac:dyDescent="0.25">
      <c r="F645" s="12"/>
      <c r="G645" s="12"/>
    </row>
    <row r="646" spans="6:7" x14ac:dyDescent="0.25">
      <c r="F646" s="12"/>
      <c r="G646" s="12"/>
    </row>
    <row r="647" spans="6:7" x14ac:dyDescent="0.25">
      <c r="F647" s="12"/>
      <c r="G647" s="12"/>
    </row>
    <row r="648" spans="6:7" x14ac:dyDescent="0.25">
      <c r="F648" s="12"/>
      <c r="G648" s="12"/>
    </row>
    <row r="649" spans="6:7" x14ac:dyDescent="0.25">
      <c r="F649" s="12"/>
      <c r="G649" s="12"/>
    </row>
    <row r="650" spans="6:7" x14ac:dyDescent="0.25">
      <c r="F650" s="12"/>
      <c r="G650" s="12"/>
    </row>
    <row r="651" spans="6:7" x14ac:dyDescent="0.25">
      <c r="F651" s="12"/>
      <c r="G651" s="12"/>
    </row>
    <row r="652" spans="6:7" x14ac:dyDescent="0.25">
      <c r="F652" s="12"/>
      <c r="G652" s="12"/>
    </row>
    <row r="653" spans="6:7" x14ac:dyDescent="0.25">
      <c r="F653" s="12"/>
      <c r="G653" s="12"/>
    </row>
    <row r="654" spans="6:7" x14ac:dyDescent="0.25">
      <c r="F654" s="12"/>
      <c r="G654" s="12"/>
    </row>
    <row r="655" spans="6:7" x14ac:dyDescent="0.25">
      <c r="F655" s="12"/>
      <c r="G655" s="12"/>
    </row>
    <row r="656" spans="6:7" x14ac:dyDescent="0.25">
      <c r="F656" s="12"/>
      <c r="G656" s="12"/>
    </row>
    <row r="657" spans="6:7" x14ac:dyDescent="0.25">
      <c r="F657" s="12"/>
      <c r="G657" s="12"/>
    </row>
    <row r="658" spans="6:7" x14ac:dyDescent="0.25">
      <c r="F658" s="12"/>
      <c r="G658" s="12"/>
    </row>
    <row r="659" spans="6:7" x14ac:dyDescent="0.25">
      <c r="F659" s="12"/>
      <c r="G659" s="12"/>
    </row>
    <row r="660" spans="6:7" x14ac:dyDescent="0.25">
      <c r="F660" s="12"/>
      <c r="G660" s="12"/>
    </row>
    <row r="661" spans="6:7" x14ac:dyDescent="0.25">
      <c r="F661" s="12"/>
      <c r="G661" s="12"/>
    </row>
    <row r="662" spans="6:7" x14ac:dyDescent="0.25">
      <c r="F662" s="12"/>
      <c r="G662" s="12"/>
    </row>
    <row r="663" spans="6:7" x14ac:dyDescent="0.25">
      <c r="F663" s="12"/>
      <c r="G663" s="12"/>
    </row>
    <row r="664" spans="6:7" x14ac:dyDescent="0.25">
      <c r="F664" s="12"/>
      <c r="G664" s="12"/>
    </row>
    <row r="665" spans="6:7" x14ac:dyDescent="0.25">
      <c r="F665" s="12"/>
      <c r="G665" s="12"/>
    </row>
    <row r="666" spans="6:7" x14ac:dyDescent="0.25">
      <c r="F666" s="12"/>
      <c r="G666" s="12"/>
    </row>
    <row r="667" spans="6:7" x14ac:dyDescent="0.25">
      <c r="F667" s="12"/>
      <c r="G667" s="12"/>
    </row>
    <row r="668" spans="6:7" x14ac:dyDescent="0.25">
      <c r="F668" s="12"/>
      <c r="G668" s="12"/>
    </row>
    <row r="669" spans="6:7" x14ac:dyDescent="0.25">
      <c r="F669" s="12"/>
      <c r="G669" s="12"/>
    </row>
    <row r="670" spans="6:7" x14ac:dyDescent="0.25">
      <c r="F670" s="12"/>
      <c r="G670" s="12"/>
    </row>
    <row r="671" spans="6:7" x14ac:dyDescent="0.25">
      <c r="F671" s="12"/>
      <c r="G671" s="12"/>
    </row>
    <row r="672" spans="6:7" x14ac:dyDescent="0.25">
      <c r="F672" s="12"/>
      <c r="G672" s="12"/>
    </row>
    <row r="673" spans="6:7" x14ac:dyDescent="0.25">
      <c r="F673" s="12"/>
      <c r="G673" s="12"/>
    </row>
    <row r="674" spans="6:7" x14ac:dyDescent="0.25">
      <c r="F674" s="12"/>
      <c r="G674" s="12"/>
    </row>
    <row r="675" spans="6:7" x14ac:dyDescent="0.25">
      <c r="F675" s="12"/>
      <c r="G675" s="12"/>
    </row>
    <row r="676" spans="6:7" x14ac:dyDescent="0.25">
      <c r="F676" s="12"/>
      <c r="G676" s="12"/>
    </row>
    <row r="677" spans="6:7" x14ac:dyDescent="0.25">
      <c r="F677" s="12"/>
      <c r="G677" s="12"/>
    </row>
    <row r="678" spans="6:7" x14ac:dyDescent="0.25">
      <c r="F678" s="12"/>
      <c r="G678" s="12"/>
    </row>
    <row r="679" spans="6:7" x14ac:dyDescent="0.25">
      <c r="F679" s="12"/>
      <c r="G679" s="12"/>
    </row>
    <row r="680" spans="6:7" x14ac:dyDescent="0.25">
      <c r="F680" s="12"/>
      <c r="G680" s="12"/>
    </row>
    <row r="681" spans="6:7" x14ac:dyDescent="0.25">
      <c r="F681" s="12"/>
      <c r="G681" s="12"/>
    </row>
    <row r="682" spans="6:7" x14ac:dyDescent="0.25">
      <c r="F682" s="12"/>
      <c r="G682" s="12"/>
    </row>
    <row r="683" spans="6:7" x14ac:dyDescent="0.25">
      <c r="F683" s="12"/>
      <c r="G683" s="12"/>
    </row>
    <row r="684" spans="6:7" x14ac:dyDescent="0.25">
      <c r="F684" s="12"/>
      <c r="G684" s="12"/>
    </row>
    <row r="685" spans="6:7" x14ac:dyDescent="0.25">
      <c r="F685" s="12"/>
      <c r="G685" s="12"/>
    </row>
    <row r="686" spans="6:7" x14ac:dyDescent="0.25">
      <c r="F686" s="12"/>
      <c r="G686" s="12"/>
    </row>
    <row r="687" spans="6:7" x14ac:dyDescent="0.25">
      <c r="F687" s="12"/>
      <c r="G687" s="12"/>
    </row>
    <row r="688" spans="6:7" x14ac:dyDescent="0.25">
      <c r="F688" s="12"/>
      <c r="G688" s="12"/>
    </row>
    <row r="689" spans="6:7" x14ac:dyDescent="0.25">
      <c r="F689" s="12"/>
      <c r="G689" s="12"/>
    </row>
    <row r="690" spans="6:7" x14ac:dyDescent="0.25">
      <c r="F690" s="12"/>
      <c r="G690" s="12"/>
    </row>
    <row r="691" spans="6:7" x14ac:dyDescent="0.25">
      <c r="F691" s="12"/>
      <c r="G691" s="12"/>
    </row>
    <row r="692" spans="6:7" x14ac:dyDescent="0.25">
      <c r="F692" s="12"/>
      <c r="G692" s="12"/>
    </row>
    <row r="693" spans="6:7" x14ac:dyDescent="0.25">
      <c r="F693" s="12"/>
      <c r="G693" s="12"/>
    </row>
    <row r="694" spans="6:7" x14ac:dyDescent="0.25">
      <c r="F694" s="12"/>
      <c r="G694" s="12"/>
    </row>
    <row r="695" spans="6:7" x14ac:dyDescent="0.25">
      <c r="F695" s="12"/>
      <c r="G695" s="12"/>
    </row>
    <row r="696" spans="6:7" x14ac:dyDescent="0.25">
      <c r="F696" s="12"/>
      <c r="G696" s="12"/>
    </row>
    <row r="697" spans="6:7" x14ac:dyDescent="0.25">
      <c r="F697" s="12"/>
      <c r="G697" s="12"/>
    </row>
    <row r="698" spans="6:7" x14ac:dyDescent="0.25">
      <c r="F698" s="12"/>
      <c r="G698" s="12"/>
    </row>
    <row r="699" spans="6:7" x14ac:dyDescent="0.25">
      <c r="F699" s="12"/>
      <c r="G699" s="12"/>
    </row>
    <row r="700" spans="6:7" x14ac:dyDescent="0.25">
      <c r="F700" s="12"/>
      <c r="G700" s="12"/>
    </row>
    <row r="701" spans="6:7" x14ac:dyDescent="0.25">
      <c r="F701" s="12"/>
      <c r="G701" s="12"/>
    </row>
    <row r="702" spans="6:7" x14ac:dyDescent="0.25">
      <c r="F702" s="12"/>
      <c r="G702" s="12"/>
    </row>
    <row r="703" spans="6:7" x14ac:dyDescent="0.25">
      <c r="F703" s="12"/>
      <c r="G703" s="12"/>
    </row>
    <row r="704" spans="6:7" x14ac:dyDescent="0.25">
      <c r="F704" s="12"/>
      <c r="G704" s="12"/>
    </row>
    <row r="705" spans="6:7" x14ac:dyDescent="0.25">
      <c r="F705" s="12"/>
      <c r="G705" s="12"/>
    </row>
    <row r="706" spans="6:7" x14ac:dyDescent="0.25">
      <c r="F706" s="12"/>
      <c r="G706" s="12"/>
    </row>
    <row r="707" spans="6:7" x14ac:dyDescent="0.25">
      <c r="F707" s="12"/>
      <c r="G707" s="12"/>
    </row>
    <row r="708" spans="6:7" x14ac:dyDescent="0.25">
      <c r="F708" s="12"/>
      <c r="G708" s="12"/>
    </row>
    <row r="709" spans="6:7" x14ac:dyDescent="0.25">
      <c r="F709" s="12"/>
      <c r="G709" s="12"/>
    </row>
    <row r="710" spans="6:7" x14ac:dyDescent="0.25">
      <c r="F710" s="12"/>
      <c r="G710" s="12"/>
    </row>
    <row r="711" spans="6:7" x14ac:dyDescent="0.25">
      <c r="F711" s="12"/>
      <c r="G711" s="12"/>
    </row>
    <row r="712" spans="6:7" x14ac:dyDescent="0.25">
      <c r="F712" s="12"/>
      <c r="G712" s="12"/>
    </row>
    <row r="713" spans="6:7" x14ac:dyDescent="0.25">
      <c r="F713" s="12"/>
      <c r="G713" s="12"/>
    </row>
    <row r="714" spans="6:7" x14ac:dyDescent="0.25">
      <c r="F714" s="12"/>
      <c r="G714" s="12"/>
    </row>
    <row r="715" spans="6:7" x14ac:dyDescent="0.25">
      <c r="F715" s="12"/>
      <c r="G715" s="12"/>
    </row>
    <row r="716" spans="6:7" x14ac:dyDescent="0.25">
      <c r="F716" s="12"/>
      <c r="G716" s="12"/>
    </row>
    <row r="717" spans="6:7" x14ac:dyDescent="0.25">
      <c r="F717" s="12"/>
      <c r="G717" s="12"/>
    </row>
    <row r="718" spans="6:7" x14ac:dyDescent="0.25">
      <c r="F718" s="12"/>
      <c r="G718" s="12"/>
    </row>
    <row r="719" spans="6:7" x14ac:dyDescent="0.25">
      <c r="F719" s="12"/>
      <c r="G719" s="12"/>
    </row>
    <row r="720" spans="6:7" x14ac:dyDescent="0.25">
      <c r="F720" s="12"/>
      <c r="G720" s="12"/>
    </row>
    <row r="721" spans="6:7" x14ac:dyDescent="0.25">
      <c r="F721" s="12"/>
      <c r="G721" s="12"/>
    </row>
    <row r="722" spans="6:7" x14ac:dyDescent="0.25">
      <c r="F722" s="12"/>
      <c r="G722" s="12"/>
    </row>
    <row r="723" spans="6:7" x14ac:dyDescent="0.25">
      <c r="F723" s="12"/>
      <c r="G723" s="12"/>
    </row>
    <row r="724" spans="6:7" x14ac:dyDescent="0.25">
      <c r="F724" s="12"/>
      <c r="G724" s="12"/>
    </row>
    <row r="725" spans="6:7" x14ac:dyDescent="0.25">
      <c r="F725" s="12"/>
      <c r="G725" s="12"/>
    </row>
    <row r="726" spans="6:7" x14ac:dyDescent="0.25">
      <c r="F726" s="12"/>
      <c r="G726" s="12"/>
    </row>
    <row r="727" spans="6:7" x14ac:dyDescent="0.25">
      <c r="F727" s="12"/>
      <c r="G727" s="12"/>
    </row>
    <row r="728" spans="6:7" x14ac:dyDescent="0.25">
      <c r="F728" s="12"/>
      <c r="G728" s="12"/>
    </row>
    <row r="729" spans="6:7" x14ac:dyDescent="0.25">
      <c r="F729" s="12"/>
      <c r="G729" s="12"/>
    </row>
    <row r="730" spans="6:7" x14ac:dyDescent="0.25">
      <c r="F730" s="12"/>
      <c r="G730" s="12"/>
    </row>
    <row r="731" spans="6:7" x14ac:dyDescent="0.25">
      <c r="F731" s="12"/>
      <c r="G731" s="12"/>
    </row>
    <row r="732" spans="6:7" x14ac:dyDescent="0.25">
      <c r="F732" s="12"/>
      <c r="G732" s="12"/>
    </row>
    <row r="733" spans="6:7" x14ac:dyDescent="0.25">
      <c r="F733" s="12"/>
      <c r="G733" s="12"/>
    </row>
    <row r="734" spans="6:7" x14ac:dyDescent="0.25">
      <c r="F734" s="12"/>
      <c r="G734" s="12"/>
    </row>
    <row r="735" spans="6:7" x14ac:dyDescent="0.25">
      <c r="F735" s="12"/>
      <c r="G735" s="12"/>
    </row>
    <row r="736" spans="6:7" x14ac:dyDescent="0.25">
      <c r="F736" s="12"/>
      <c r="G736" s="12"/>
    </row>
    <row r="737" spans="6:7" x14ac:dyDescent="0.25">
      <c r="F737" s="12"/>
      <c r="G737" s="12"/>
    </row>
    <row r="738" spans="6:7" x14ac:dyDescent="0.25">
      <c r="F738" s="12"/>
      <c r="G738" s="12"/>
    </row>
    <row r="739" spans="6:7" x14ac:dyDescent="0.25">
      <c r="F739" s="12"/>
      <c r="G739" s="12"/>
    </row>
    <row r="740" spans="6:7" x14ac:dyDescent="0.25">
      <c r="F740" s="12"/>
      <c r="G740" s="12"/>
    </row>
    <row r="741" spans="6:7" x14ac:dyDescent="0.25">
      <c r="F741" s="12"/>
      <c r="G741" s="12"/>
    </row>
    <row r="742" spans="6:7" x14ac:dyDescent="0.25">
      <c r="F742" s="12"/>
      <c r="G742" s="12"/>
    </row>
    <row r="743" spans="6:7" x14ac:dyDescent="0.25">
      <c r="F743" s="12"/>
      <c r="G743" s="12"/>
    </row>
    <row r="744" spans="6:7" x14ac:dyDescent="0.25">
      <c r="F744" s="12"/>
      <c r="G744" s="12"/>
    </row>
    <row r="745" spans="6:7" x14ac:dyDescent="0.25">
      <c r="F745" s="12"/>
      <c r="G745" s="12"/>
    </row>
    <row r="746" spans="6:7" x14ac:dyDescent="0.25">
      <c r="F746" s="12"/>
      <c r="G746" s="12"/>
    </row>
    <row r="747" spans="6:7" x14ac:dyDescent="0.25">
      <c r="F747" s="12"/>
      <c r="G747" s="12"/>
    </row>
    <row r="748" spans="6:7" x14ac:dyDescent="0.25">
      <c r="F748" s="12"/>
      <c r="G748" s="12"/>
    </row>
    <row r="749" spans="6:7" x14ac:dyDescent="0.25">
      <c r="F749" s="12"/>
      <c r="G749" s="12"/>
    </row>
    <row r="750" spans="6:7" x14ac:dyDescent="0.25">
      <c r="F750" s="12"/>
      <c r="G750" s="12"/>
    </row>
    <row r="751" spans="6:7" x14ac:dyDescent="0.25">
      <c r="F751" s="12"/>
      <c r="G751" s="12"/>
    </row>
    <row r="752" spans="6:7" x14ac:dyDescent="0.25">
      <c r="F752" s="12"/>
      <c r="G752" s="12"/>
    </row>
    <row r="753" spans="6:7" x14ac:dyDescent="0.25">
      <c r="F753" s="12"/>
      <c r="G753" s="12"/>
    </row>
    <row r="754" spans="6:7" x14ac:dyDescent="0.25">
      <c r="F754" s="12"/>
      <c r="G754" s="12"/>
    </row>
    <row r="755" spans="6:7" x14ac:dyDescent="0.25">
      <c r="F755" s="12"/>
      <c r="G755" s="12"/>
    </row>
    <row r="756" spans="6:7" x14ac:dyDescent="0.25">
      <c r="F756" s="12"/>
      <c r="G756" s="12"/>
    </row>
    <row r="757" spans="6:7" x14ac:dyDescent="0.25">
      <c r="F757" s="12"/>
      <c r="G757" s="12"/>
    </row>
    <row r="758" spans="6:7" x14ac:dyDescent="0.25">
      <c r="F758" s="12"/>
      <c r="G758" s="12"/>
    </row>
    <row r="759" spans="6:7" x14ac:dyDescent="0.25">
      <c r="F759" s="12"/>
      <c r="G759" s="12"/>
    </row>
  </sheetData>
  <autoFilter ref="A9:G165"/>
  <mergeCells count="2">
    <mergeCell ref="A2:G8"/>
    <mergeCell ref="A1:G1"/>
  </mergeCells>
  <conditionalFormatting sqref="B94">
    <cfRule type="expression" dxfId="7" priority="14">
      <formula>IF(#REF!=NA,1,0)</formula>
    </cfRule>
  </conditionalFormatting>
  <conditionalFormatting sqref="B95">
    <cfRule type="expression" dxfId="6" priority="16">
      <formula>IF(#REF!=NA,1,0)</formula>
    </cfRule>
  </conditionalFormatting>
  <conditionalFormatting sqref="B96">
    <cfRule type="expression" dxfId="5" priority="15">
      <formula>IF(#REF!=NA,1,0)</formula>
    </cfRule>
  </conditionalFormatting>
  <conditionalFormatting sqref="B94:B96">
    <cfRule type="expression" dxfId="4" priority="27">
      <formula>IF(OR(#REF!=INF,#REF!=ANN),1,0)</formula>
    </cfRule>
  </conditionalFormatting>
  <conditionalFormatting sqref="H121:H126">
    <cfRule type="expression" dxfId="3" priority="5">
      <formula>IF(#REF!=NA,1,0)</formula>
    </cfRule>
  </conditionalFormatting>
  <conditionalFormatting sqref="H127">
    <cfRule type="expression" dxfId="2" priority="7">
      <formula>IF(#REF!=NA,1,0)</formula>
    </cfRule>
  </conditionalFormatting>
  <conditionalFormatting sqref="H128">
    <cfRule type="expression" dxfId="1" priority="6">
      <formula>IF(#REF!=NA,1,0)</formula>
    </cfRule>
  </conditionalFormatting>
  <conditionalFormatting sqref="H121:H128">
    <cfRule type="expression" dxfId="0" priority="8">
      <formula>IF(OR($E121=INF,$E121=ANN),1,0)</formula>
    </cfRule>
  </conditionalFormatting>
  <dataValidations count="1">
    <dataValidation type="list" allowBlank="1" showInputMessage="1" showErrorMessage="1" sqref="C10:C12 C39:C45 C103 C107:C108 C34:C35">
      <formula1>"Travaux,Fournitures,Services,Etudes"</formula1>
    </dataValidation>
  </dataValidations>
  <printOptions horizontalCentered="1"/>
  <pageMargins left="0.23622047244094491" right="0.19685039370078741" top="0.43307086614173229" bottom="0.39370078740157483" header="0.31496062992125984" footer="0.31496062992125984"/>
  <pageSetup paperSize="9" scale="83" orientation="landscape" r:id="rId1"/>
  <rowBreaks count="1" manualBreakCount="1">
    <brk id="78"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PPM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2026-03-26T13:59:03Z</dcterms:modified>
</cp:coreProperties>
</file>