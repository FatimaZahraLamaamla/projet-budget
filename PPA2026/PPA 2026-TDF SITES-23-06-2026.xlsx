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autoCompressPictures="0"/>
  <mc:AlternateContent xmlns:mc="http://schemas.openxmlformats.org/markup-compatibility/2006">
    <mc:Choice Requires="x15">
      <x15ac:absPath xmlns:x15ac="http://schemas.microsoft.com/office/spreadsheetml/2010/11/ac" url="C:\Users\HP\Desktop\Projet Budget\PPA2026\"/>
    </mc:Choice>
  </mc:AlternateContent>
  <xr:revisionPtr revIDLastSave="0" documentId="13_ncr:1_{6F51E5BF-C2FB-4D81-AC53-18D58498F7CD}" xr6:coauthVersionLast="36" xr6:coauthVersionMax="36" xr10:uidLastSave="{00000000-0000-0000-0000-000000000000}"/>
  <bookViews>
    <workbookView xWindow="0" yWindow="0" windowWidth="23040" windowHeight="9370" xr2:uid="{00000000-000D-0000-FFFF-FFFF00000000}"/>
  </bookViews>
  <sheets>
    <sheet name="Marchés" sheetId="1" r:id="rId1"/>
    <sheet name="Bons de commande" sheetId="6" r:id="rId2"/>
    <sheet name="Contrat-Convention de droit com" sheetId="3" r:id="rId3"/>
    <sheet name="Contrats prod" sheetId="5" r:id="rId4"/>
    <sheet name="Global" sheetId="7" r:id="rId5"/>
  </sheets>
  <definedNames>
    <definedName name="_xlnm._FilterDatabase" localSheetId="1" hidden="1">'Bons de commande'!$A$6:$I$31</definedName>
    <definedName name="_xlnm._FilterDatabase" localSheetId="4" hidden="1">Global!$A$1:$I$43</definedName>
    <definedName name="_xlnm._FilterDatabase" localSheetId="0" hidden="1">Marchés!$A$6:$K$34</definedName>
    <definedName name="_xlnm.Print_Titles" localSheetId="0">Marchés!$1:$6</definedName>
    <definedName name="_xlnm.Print_Area" localSheetId="1">'Bons de commande'!$A$1:$I$28</definedName>
  </definedNames>
  <calcPr calcId="191029"/>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C38" i="1" l="1"/>
  <c r="C40" i="1"/>
  <c r="C34" i="6"/>
  <c r="C37" i="1"/>
  <c r="C44" i="7" l="1"/>
</calcChain>
</file>

<file path=xl/sharedStrings.xml><?xml version="1.0" encoding="utf-8"?>
<sst xmlns="http://schemas.openxmlformats.org/spreadsheetml/2006/main" count="846" uniqueCount="197">
  <si>
    <t xml:space="preserve">Nature de la prestation </t>
  </si>
  <si>
    <t>Lieu d'execution</t>
  </si>
  <si>
    <t>Mode de passation</t>
  </si>
  <si>
    <t>Période prévue 
pour le lancement</t>
  </si>
  <si>
    <t>Budget Prévisionnel (TTC)</t>
  </si>
  <si>
    <t>Nature Budget</t>
  </si>
  <si>
    <t>ANNEE</t>
  </si>
  <si>
    <t>PROGRAMME PREVISIONNEL DES ACHATS</t>
  </si>
  <si>
    <t>OBJET
(le plus détaillé possible)</t>
  </si>
  <si>
    <t>Période d'exécution</t>
  </si>
  <si>
    <t>Justification du besoin</t>
  </si>
  <si>
    <t xml:space="preserve"> Fréquence de diffusion</t>
  </si>
  <si>
    <t>Durée de l'épisode en mn</t>
  </si>
  <si>
    <t>Type de production</t>
  </si>
  <si>
    <t>Nbr de Programmes / Prestation</t>
  </si>
  <si>
    <t>Budget Prévisionnel (TTC) par episode</t>
  </si>
  <si>
    <t>Nb épisode</t>
  </si>
  <si>
    <t>DIRECTION …</t>
  </si>
  <si>
    <t>PME (Oui / Non)</t>
  </si>
  <si>
    <t>DIRECTION DES SITES</t>
  </si>
  <si>
    <t>Fourniture, installation et mise en service de nouveaux onduleurs dans quelques sites de diffusion.</t>
  </si>
  <si>
    <t>Fourniture, installation et mise en service des groupes électrogènes dans quelques sites de diffusion.</t>
  </si>
  <si>
    <t>Electricafication/augmentation MT/BT 2éme reseau de quelques sites de diffusion SNRT.</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</si>
  <si>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</si>
  <si>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Acquisition de climatiseurs</t>
  </si>
  <si>
    <t>Acquisition outillage et consommables</t>
  </si>
  <si>
    <t>Fourniture de carburants et lubrifiants pour groupes électrogènes.</t>
  </si>
  <si>
    <t>Transfert de matériel divers (GE, onduleurs, câbles, batteries, pylônes, antennes, émetteurs …)</t>
  </si>
  <si>
    <t>Démontge, montage de matériel divers (GE, onduleurs, câbles, batteries, pylônes, antennes, …)</t>
  </si>
  <si>
    <t>Etude et convention avec SRM</t>
  </si>
  <si>
    <t>Fournitures</t>
  </si>
  <si>
    <t>Travaux</t>
  </si>
  <si>
    <t>Services</t>
  </si>
  <si>
    <t>INTITULE</t>
  </si>
  <si>
    <t>Raccordement BT de quelques sites de diffusion SNRT</t>
  </si>
  <si>
    <t>Achat prestations de service s locales - sociétés</t>
  </si>
  <si>
    <t>T1, T2, T3 et T4</t>
  </si>
  <si>
    <t>Quelques sites SNRT</t>
  </si>
  <si>
    <t>INVESTISSEMENT</t>
  </si>
  <si>
    <t xml:space="preserve">Branchement BT des quelques sites de diffusion SNRT </t>
  </si>
  <si>
    <t>Agencement et aménagement constructions</t>
  </si>
  <si>
    <t>Pour assurer un bon environnement de fonctionnement des équipements de diffusion, de transmission et d'énergie.</t>
  </si>
  <si>
    <t>Equipements de télédiffusion</t>
  </si>
  <si>
    <t>RABAT</t>
  </si>
  <si>
    <t>Pour le besoin de service</t>
  </si>
  <si>
    <t>Fourniture matériel technique de transmission.</t>
  </si>
  <si>
    <t>T1, T2</t>
  </si>
  <si>
    <t>Diagnostic des équipements de diffusion/transmission et structures portatives.</t>
  </si>
  <si>
    <t>Frais acquisition</t>
  </si>
  <si>
    <t>SITES SNRT</t>
  </si>
  <si>
    <t>Frais d'acquisition des immobilisations</t>
  </si>
  <si>
    <t>Etudes topographiques, pilotage des projets</t>
  </si>
  <si>
    <t>Fourniture pour matériel technique de transmission.</t>
  </si>
  <si>
    <t>3 mois</t>
  </si>
  <si>
    <t>T3</t>
  </si>
  <si>
    <t>sites de diffusion</t>
  </si>
  <si>
    <t>Mise en service des stations de diffusion</t>
  </si>
  <si>
    <t>Entretien et réparation matériel&amp;outillage</t>
  </si>
  <si>
    <t>2 mois</t>
  </si>
  <si>
    <t>Sites SNRT</t>
  </si>
  <si>
    <t>Assurer la fiabilité et la durabilité des équipements électriques afin de garantir la continuité de service au niveau de l'alimentation du siège SNRT</t>
  </si>
  <si>
    <t>Magasin SNRT de Temara</t>
  </si>
  <si>
    <t>Equiper l'équipe des électriciens en terme d'outillage nécessaire</t>
  </si>
  <si>
    <t>Fourniture de pièces de rechange pour les installations MT/BT, groupes électrogènes, onduleurs et systèmes de supervision.</t>
  </si>
  <si>
    <t>Magasin de la télédiffusion</t>
  </si>
  <si>
    <t>Pour le besoin de maintenance préventive et curative des installations électriques.</t>
  </si>
  <si>
    <t>Fourniture électrique (batteries de compensation, batteries des groupes, batteries pour onduleurs …)</t>
  </si>
  <si>
    <t>T1, T2, T3 et T5</t>
  </si>
  <si>
    <t>Pour la continuité de service</t>
  </si>
  <si>
    <t>Réparation et maintenance des équipements de transmission.</t>
  </si>
  <si>
    <t>Prestations de service</t>
  </si>
  <si>
    <t>Travaux d'aménagements des bâtiments techniques</t>
  </si>
  <si>
    <t>FES STUDIO , ERFOUD, AIN CHOCK et tout éventuel imprévu</t>
  </si>
  <si>
    <t>Entretien et maintenance des équipements électriques (postes MT/BT, régulateurs/stabilisateurs  onduleurs, groupes électrogènes) dans quelques sites SNRT.</t>
  </si>
  <si>
    <t>Réparation et maintenance des équipements électriques (postes MT/BT, régulateurs/stabilisateurs  onduleurs, groupes électrogènes) dans quelques sites SNRT.</t>
  </si>
  <si>
    <t>Entretien, réparation et assurance</t>
  </si>
  <si>
    <t>FOGO, ARFOUD, AKKA IGHAN</t>
  </si>
  <si>
    <t>Pour honorer les frais des SRM relatifs aux études d'électrification des sites lieux d'exécution</t>
  </si>
  <si>
    <t>Intitulé</t>
  </si>
  <si>
    <t>DIRECTION …SITES</t>
  </si>
  <si>
    <t>Elaboration des études technique et le suivi des travaux  pour la construction et achèvement d'installation des pylônes auto-stable aux sites SNRT TANAKOUBE ( P.CHEFCHAOUEN) et TAOURIRT</t>
  </si>
  <si>
    <t>Etudes</t>
  </si>
  <si>
    <t>Etudes architecturales et le suivi des travaux pour la construction des nouveau sites de diffusion de la SNRT à RICH et MSISSI</t>
  </si>
  <si>
    <t>Elaboration des études technique et le suivi des travaux  pour la construction des nouveau sites de diffusion  à RICH et MSISSI</t>
  </si>
  <si>
    <t>Travaux de construction de nouveaux sites à RICH et MSISSI</t>
  </si>
  <si>
    <t>Travaux d'aménagement des sites de diffusion.</t>
  </si>
  <si>
    <t xml:space="preserve">Entretien des pylônes et tours dessites de diffusion </t>
  </si>
  <si>
    <t>Prestations de service à immobiliser</t>
  </si>
  <si>
    <t xml:space="preserve">Fourniture, installation et mise en service des émetteurs DVB-T/T2 avec combiners pour quelques sites de diffusion </t>
  </si>
  <si>
    <t xml:space="preserve">Fourniture, installation et mise en service des émetteurs FM avec combiners et systèmes d'antennes FM pour quelques sites de diffusion </t>
  </si>
  <si>
    <t>Fourniture, installation et mise en service de nouvelles liaisons de faisceaux hertzien pour un Trafic MPEG-TS/IP et IP.</t>
  </si>
  <si>
    <t>AOO</t>
  </si>
  <si>
    <t>12 mois</t>
  </si>
  <si>
    <t>Laayoune, Palomas, Tazerkount</t>
  </si>
  <si>
    <t>Azougar, Bouarfa,  Figuig, Palomas,  Tizi Azza</t>
  </si>
  <si>
    <t>Zerhoun - Azougar - Tiguelmamine - Takka Tissoufra - Izeft - Errachidia - Rich
Rabat - Zaers - Témara.</t>
  </si>
  <si>
    <t>T1</t>
  </si>
  <si>
    <t>T2</t>
  </si>
  <si>
    <t>Renouvellement des équipements TNT</t>
  </si>
  <si>
    <t>Renouvellement des équipements FM et extension du réseau entre al Hoceima et Nador par la création  du site de Tizi Azza,</t>
  </si>
  <si>
    <t>Extension du réseau souverain de distribution terrestre par la numérisation des liaison de faisceaux hertzien suivantes:
Zerhoun - Azougar - Tiguelmamine - Takka Tissoufra - Izeft - Errachidia - Rich
Rabat - Zaers - Témara.</t>
  </si>
  <si>
    <t>EXPLOITATION</t>
  </si>
  <si>
    <t>Reconduction Marché 47/2023 LS Telecom</t>
  </si>
  <si>
    <t>Non</t>
  </si>
  <si>
    <t>Rabat</t>
  </si>
  <si>
    <t>JBEL LAHDID (ESSAOUIRA) - ZERHOUNE - OUKEIMEDEN</t>
  </si>
  <si>
    <t>10 mois</t>
  </si>
  <si>
    <t>Oui</t>
  </si>
  <si>
    <t>Assurer la continuité de service par une alimentation électrique sans intérruption.</t>
  </si>
  <si>
    <t>TARFAYA - AKHFENNIR - ABTIH - SIDI IFNI - SIDI BOUNOUARA</t>
  </si>
  <si>
    <t>Assurer la continuité de service par une alimentation électrique secourrues.</t>
  </si>
  <si>
    <t>FOGO (GUELMIM) - AKKA IGHAN (TATA) - ARFOUD (ERRACHIDIA)</t>
  </si>
  <si>
    <t>Renouvellement du poste de JBEL FOGO 
Electrification du nouveau site (AKKA IGHAN)
Augmentation de la puissance électrique ARFOUD</t>
  </si>
  <si>
    <t>8 mois</t>
  </si>
  <si>
    <t>MAGASIN TEMARA</t>
  </si>
  <si>
    <t>Pour le besoin en réparation et maintenance électrique</t>
  </si>
  <si>
    <t>T4</t>
  </si>
  <si>
    <t>AKKA IGHAN + tout besoin ponctuel</t>
  </si>
  <si>
    <t>Nouveau site AKKA IGHAN et sites de transmission</t>
  </si>
  <si>
    <t>Sites existants nécessitant des nouveaux pylônes. CHEFCHAOUEN site existant dont le pylône n'a pas été achevé suite à la résiliation du marché initial  2014. Taourirt c'est un nouveau site dont le shelter et le mur de clôture sont déjà construit.</t>
  </si>
  <si>
    <t>TANAKOUBE ( P,CHEFCHAOUEN) et TAOURIRT</t>
  </si>
  <si>
    <t>RICH  et MSISSI</t>
  </si>
  <si>
    <t>HAFA SAFA, ZERHOUNE,  FIGUIG, IZEFT, SAFI</t>
  </si>
  <si>
    <t>CAP SPARTEL, HAFA SAFA, ZERHOUNE, SAFI, AIN CHOCK, MIRCHICH et LAKHIAR</t>
  </si>
  <si>
    <t>T2, T3 et T4</t>
  </si>
  <si>
    <t>Assurer une optimisation maximale au niveau du dimensionnement des structures en béton armé et les éléments porteurs pour minimiser les budgets alloué à la construction des pylônes ainsi que L’accompagnement du maitre d’ouvrage au niveau du contrôle et le suivi des travaux. Sites existants nécessitant des nouveaux pylônes. CHEFCHAOUEN site existant dont le pylône n'a pas été achevé suite à la résiliation du marché initial  2014. Taourirt c'est un nouveau site dont le shelter et le mur de clôture sont déjà construire.</t>
  </si>
  <si>
    <t xml:space="preserve">Nouveaux sites de diffusion pour améliorer la couverture TNT et FM dans les environs des sites concernés. Sachant que les pylônes sont en phase de la construction. Assurer une optimisation maximale au niveau de volume des ouvrages pour minimiser les budgets alloué à la construction  ainsi que L’accompagnement du maitre d’ouvrage au niveau du contrôle et le suivi des travaux. </t>
  </si>
  <si>
    <t>Nouveaux sites de diffusion pour améliorer la couverture TNT et FM dans les environs des sites concernés. Sachant que les pylônes sont en phase de la construction. Assurer une optimisation maximale au niveau du dimensionnement des structures en béton armé et les éléments porteurs pour minimiser les budgets alloué à la construction des nouveau sites ainsi que L’accompagnement du maitre d’ouvrage au niveau du contrôle et le suivi des travaux.</t>
  </si>
  <si>
    <t>Nouveaux sites de diffusion pour améliorer la couverture TNT et FM dans les environs des sites concernés. Sachant que les pylônes sont en phase de la construction.</t>
  </si>
  <si>
    <t>Assurer la protection des équipements qui assurent la couverture permanente TV/Radio contre les infiltrations des eaux pluviales et toutes les conditions climatiques  défavorables, ainsi que l’augmentation de la durée de vie des ouvrages et leurs protections contre la dégradation et les effondrements. La SNRT dispose de plus de 230 sites de diffusion et de transmission nécessitant des entretiens annuels.</t>
  </si>
  <si>
    <t>Assurer la protection des pylônes et les tours qui supportent les antennes et les équipements, qui assurent la couverture permanente TV/Radio contre la dégradation et les vieillissement qui peuvent provoquer le risque des effondrements de sec ouvrages.</t>
  </si>
  <si>
    <t>Fourniture, installation et mise en service de plateformes d'encodage et de multiplexage/Mise à niveau des platformes existantes.</t>
  </si>
  <si>
    <t>RABAT - CASA</t>
  </si>
  <si>
    <t>RABAT - CASA - TEMARA</t>
  </si>
  <si>
    <t>Renouvellement des plateformes existantes</t>
  </si>
  <si>
    <t>Renouvellement des équipements des chaines de transmission</t>
  </si>
  <si>
    <t>Entretien et maintenance des équipements de transmission.</t>
  </si>
  <si>
    <t>Fourniture des équipements de transmission pour les réseaux FH, satellite, contribution, tête réseau et NMS des stations terriennes.</t>
  </si>
  <si>
    <t>Formation dans les réseaux informatiques et réseaux de transmission.</t>
  </si>
  <si>
    <t>Charges sociales diverses</t>
  </si>
  <si>
    <t>15 jours</t>
  </si>
  <si>
    <t>Pour le suivi de la technologie</t>
  </si>
  <si>
    <t>Reconduction Marché 31/2022 PHF COM</t>
  </si>
  <si>
    <t>3 ans</t>
  </si>
  <si>
    <t>Assurer le fonctionnement et la disponibilité de la plateforme existante info trafic</t>
  </si>
  <si>
    <t>Reconduction Marché 91/2023 Intratel</t>
  </si>
  <si>
    <t>Assurer le fonctionnement et la disponibilité de la plateforme existante harmonic</t>
  </si>
  <si>
    <t>Entretien, réparation et maintenance des équipements de transmission.</t>
  </si>
  <si>
    <t>SITES DE TRANSMISSION</t>
  </si>
  <si>
    <t>Assurer le fonctionnement et la disponibilité des réseaux de transmission</t>
  </si>
  <si>
    <t>Acquisition de softwares, licenses, mise à jour et logiciels</t>
  </si>
  <si>
    <t>4 mois</t>
  </si>
  <si>
    <t>Pour la mise à jour des équipements existants et opérationnels</t>
  </si>
  <si>
    <t>Acquisition des équipements informatiques</t>
  </si>
  <si>
    <t>6 mois</t>
  </si>
  <si>
    <t>Pour le besoin des équipements de transmission existants et opérationnels</t>
  </si>
  <si>
    <t>Construction et achèvement d'installation des pylônes auto-stable aux sites SNRT TANAKOUBE ( P.CHEFCHAOUEN) et TAOURIRT</t>
  </si>
  <si>
    <t>Reconduction marché 82M/SNRT/2023 LPEE</t>
  </si>
  <si>
    <t>Marché reconduit</t>
  </si>
  <si>
    <t>Diagnostic des équipements de diffusion/transmission, installations électriques et structures portatives.</t>
  </si>
  <si>
    <t>Entretien et maintenance du poste de livraison et de transformation MT/BT au centre de diffusion SNRT d’AIN CHOCK.</t>
  </si>
  <si>
    <t>AIN CHOCK</t>
  </si>
  <si>
    <t>Assurer la fiabilité et la durabilité des équipements électriques afin de garantir la continuité de service au niveau de l'alimentation du siège SNRT.</t>
  </si>
  <si>
    <t>Entretien et maintenance du matériel électrique</t>
  </si>
  <si>
    <t>Etude et assistance technique aux travaux d’essais, d’expertises et de contrôle des ouvrages (Pylônes, Tours, bâtiments)</t>
  </si>
  <si>
    <t>marché cadre</t>
  </si>
  <si>
    <t>Assurer le suivi de l'exécution des marchés de construction, d'infrastructure</t>
  </si>
  <si>
    <t>MEGREZ - BOUKHOUALI</t>
  </si>
  <si>
    <t>Fourniture de matériel électrique et pièces de rechange pour les installations MT/BT, groupes électrogènes et onduleurs. batteries de compensation, batteries des groupes, batteries pour onduleurs.</t>
  </si>
  <si>
    <t>FOGO (GUELMIM) - ARFOUD (ERRACHIDIA)</t>
  </si>
  <si>
    <t>AKKA IGHAN</t>
  </si>
  <si>
    <t>Renouvellement du poste de JBEL FOGO 
Augmentation de la puissance électrique ARFOUD</t>
  </si>
  <si>
    <t>Electrification du nouveau site (AKKA IGHAN)</t>
  </si>
  <si>
    <t>Fourniture de récepteurs satellites professionnels multistream avec mode de décryptage BISS-CA et ready pour décryptage DVB-CSAv3</t>
  </si>
  <si>
    <t>Renouvellement du parc de réception par satellite et adoption du nouveau cryptage pour la distribution des bouquets TNT.</t>
  </si>
  <si>
    <t>Fourniture, installation, paramétrage et mise en service de batteries pour onduleurs existants de marque Eaton déployés au siège SNRT à RABAT</t>
  </si>
  <si>
    <t>SNRT SIEGE</t>
  </si>
  <si>
    <t>Renouvellement des batteries des onduleurs alimentant le siège de la SNRT</t>
  </si>
  <si>
    <t>SNRT SIEGE + SIDI BOUNOUARA</t>
  </si>
  <si>
    <t>Dans l'optique d'une exploitation ou un remplacement.</t>
  </si>
  <si>
    <t>Réparation et Maintenance du groupe électrogène au centre SNRT de DAKHLA.</t>
  </si>
  <si>
    <t>DAKHLA</t>
  </si>
  <si>
    <t>Réparation et maintenance du Poste de transformation MT/BT haut de poteau type H61 50 KVA au site SNRT de LAKSIBA (P.BENI MELLAL).</t>
  </si>
  <si>
    <t>LAKSIBA</t>
  </si>
  <si>
    <t>Fourniture d’un distributeur de puissance FM au site de diffusion Jbel Lahdid (P.Essaouira)</t>
  </si>
  <si>
    <t>JBEL LAHDID</t>
  </si>
  <si>
    <t>Réparation et maintenance de la ligne MT et du Poste de transformation MT/BT au centre SNRT de TAZEKKA (P. TAZA).</t>
  </si>
  <si>
    <t>TAZEKKA</t>
  </si>
  <si>
    <t>Etude technique de différentes options pour l'amélioration de la couverture TNT du centre émetteur TAZERKOUNTE.</t>
  </si>
  <si>
    <r>
      <t>D</t>
    </r>
    <r>
      <rPr>
        <sz val="12"/>
        <color rgb="FF000000"/>
        <rFont val="Calibri"/>
        <family val="2"/>
        <scheme val="minor"/>
      </rPr>
      <t>iagnostic et expertise des onduleurs de type 93E de marque EATON et de puissance 80 kVA, déployés au siège de la SNRT à Rabat et à Sidi BOUNOUARA (P.EL JADIDA)</t>
    </r>
  </si>
  <si>
    <t>19AOM/SNRT/2026</t>
  </si>
  <si>
    <t>JBEL BOUHAYATI - NQOB - TANAQOB - TAWNATE - TOUZARINE - ZALAGH - JBEL EL GARA - ANOUNFEG - GUELMIM - TATAZAGORA - SMARA</t>
  </si>
  <si>
    <t>1 840 000</t>
  </si>
  <si>
    <t>Total</t>
  </si>
  <si>
    <t>Total Marches</t>
  </si>
  <si>
    <t>Total BC</t>
  </si>
  <si>
    <t>Total convention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</si>
</sst>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43" formatCode="_-* #,##0.00\ _€_-;\-* #,##0.00\ _€_-;_-* &quot;-&quot;??\ _€_-;_-@_-"/>
    <numFmt numFmtId="164" formatCode="_-* #,##0.00\ _F_-;\-* #,##0.00\ _F_-;_-* &quot;-&quot;??\ _F_-;_-@_-"/>
    <numFmt numFmtId="165" formatCode="#,##0.00\ _€"/>
  </numFmts>
  <fonts count="29"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
      <sz val="11"/>
      <color rgb="FF000000"/>
      <name val="Calibri"/>
      <family val="2"/>
    </font>
    <font>
      <sz val="11"/>
      <name val="Calibri"/>
      <family val="2"/>
    </font>
    <font>
      <sz val="11"/>
      <color theme="1"/>
      <name val="Calibri"/>
      <family val="2"/>
      <scheme val="minor"/>
    </font>
    <font>
      <sz val="10"/>
      <color rgb="FF000000"/>
      <name val="Times New Roman"/>
      <family val="1"/>
    </font>
    <font>
      <sz val="10"/>
      <color theme="1"/>
      <name val="Times New Roman"/>
      <family val="1"/>
    </font>
    <font>
      <sz val="10"/>
      <color rgb="FF002060"/>
      <name val="Calibri"/>
      <family val="2"/>
    </font>
    <font>
      <sz val="11"/>
      <color rgb="FF000000"/>
      <name val="Calibri"/>
      <family val="2"/>
    </font>
    <font>
      <b/>
      <sz val="10"/>
      <color theme="1"/>
      <name val="Calibri"/>
      <family val="2"/>
    </font>
    <font>
      <sz val="12"/>
      <color theme="1"/>
      <name val="Book Antiqua"/>
      <family val="1"/>
    </font>
    <font>
      <sz val="12"/>
      <color theme="1"/>
      <name val="Calibri"/>
      <family val="2"/>
      <scheme val="minor"/>
    </font>
    <font>
      <b/>
      <sz val="12"/>
      <color theme="0"/>
      <name val="Calibri"/>
      <family val="2"/>
      <scheme val="minor"/>
    </font>
    <font>
      <sz val="12"/>
      <name val="Calibri"/>
      <family val="2"/>
      <scheme val="minor"/>
    </font>
    <font>
      <sz val="12"/>
      <color rgb="FF000000"/>
      <name val="Calibri"/>
      <family val="2"/>
      <scheme val="minor"/>
    </font>
    <font>
      <sz val="11"/>
      <color theme="1"/>
      <name val="Book Antiqua"/>
      <family val="1"/>
    </font>
    <font>
      <sz val="11"/>
      <color rgb="FF333333"/>
      <name val="Book Antiqua"/>
      <family val="1"/>
    </font>
    <font>
      <sz val="11"/>
      <name val="Book Antiqua"/>
      <family val="1"/>
    </font>
    <font>
      <sz val="11"/>
      <color rgb="FF000000"/>
      <name val="Book Antiqua"/>
      <family val="1"/>
    </font>
    <font>
      <sz val="12"/>
      <color theme="1"/>
      <name val="Calibri Light"/>
      <family val="2"/>
    </font>
    <font>
      <sz val="11"/>
      <color rgb="FF000000"/>
      <name val="Cambria"/>
      <family val="1"/>
    </font>
    <font>
      <sz val="10"/>
      <color rgb="FF000000"/>
      <name val="Arial Narrow"/>
      <family val="2"/>
    </font>
    <font>
      <sz val="10"/>
      <color rgb="FF000000"/>
      <name val="Calibri"/>
      <family val="2"/>
      <scheme val="minor"/>
    </font>
    <font>
      <b/>
      <sz val="18"/>
      <color theme="1"/>
      <name val="Calibri"/>
      <family val="2"/>
      <scheme val="minor"/>
    </font>
  </fonts>
  <fills count="10">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7"/>
        <bgColor indexed="64"/>
      </patternFill>
    </fill>
    <fill>
      <patternFill patternType="solid">
        <fgColor rgb="FF00FF0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s>
  <cellStyleXfs count="334">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3" fontId="9" fillId="0" borderId="0" applyFont="0" applyFill="0" applyBorder="0" applyAlignment="0" applyProtection="0"/>
  </cellStyleXfs>
  <cellXfs count="26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1" fillId="2" borderId="2" xfId="0" applyFont="1" applyFill="1" applyBorder="1" applyAlignment="1">
      <alignment horizontal="center" vertical="center" wrapText="1"/>
    </xf>
    <xf numFmtId="0" fontId="0" fillId="4" borderId="1" xfId="0" applyFill="1" applyBorder="1"/>
    <xf numFmtId="0" fontId="2" fillId="4" borderId="1" xfId="0" applyFont="1" applyFill="1" applyBorder="1"/>
    <xf numFmtId="0" fontId="2" fillId="3" borderId="1" xfId="0" applyFont="1" applyFill="1" applyBorder="1" applyAlignment="1">
      <alignment horizontal="center"/>
    </xf>
    <xf numFmtId="0" fontId="0" fillId="0" borderId="0" xfId="0" applyAlignment="1">
      <alignment vertical="center"/>
    </xf>
    <xf numFmtId="0" fontId="1" fillId="2" borderId="7" xfId="0" applyFont="1" applyFill="1" applyBorder="1" applyAlignment="1">
      <alignment horizontal="center" vertical="center" wrapText="1"/>
    </xf>
    <xf numFmtId="0" fontId="0" fillId="0" borderId="1" xfId="0" applyBorder="1"/>
    <xf numFmtId="0" fontId="0" fillId="0" borderId="1" xfId="0" applyBorder="1" applyAlignment="1">
      <alignment vertical="center"/>
    </xf>
    <xf numFmtId="0" fontId="0" fillId="0" borderId="0" xfId="0" applyAlignment="1">
      <alignment wrapText="1"/>
    </xf>
    <xf numFmtId="0" fontId="2" fillId="4" borderId="1" xfId="0" applyFont="1" applyFill="1" applyBorder="1"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4" fontId="10" fillId="0" borderId="5" xfId="0" applyNumberFormat="1" applyFont="1" applyBorder="1" applyAlignment="1">
      <alignment horizontal="center" vertical="center" wrapText="1"/>
    </xf>
    <xf numFmtId="0" fontId="0" fillId="0" borderId="6" xfId="0" applyBorder="1" applyAlignment="1">
      <alignment horizontal="center" vertical="center" wrapText="1"/>
    </xf>
    <xf numFmtId="0" fontId="10" fillId="0" borderId="1" xfId="0" applyFont="1" applyBorder="1" applyAlignment="1">
      <alignment horizontal="center" vertical="center" wrapText="1"/>
    </xf>
    <xf numFmtId="0" fontId="0" fillId="0" borderId="5" xfId="0"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4" fontId="6" fillId="0" borderId="1" xfId="0" applyNumberFormat="1" applyFont="1" applyBorder="1" applyAlignment="1">
      <alignment horizontal="center" vertical="center"/>
    </xf>
    <xf numFmtId="0" fontId="13" fillId="0" borderId="1" xfId="0" applyFont="1" applyBorder="1" applyAlignment="1">
      <alignment vertical="center"/>
    </xf>
    <xf numFmtId="0" fontId="12" fillId="0" borderId="1" xfId="0" applyFont="1" applyBorder="1" applyAlignment="1">
      <alignment horizontal="left" vertical="top" wrapText="1"/>
    </xf>
    <xf numFmtId="0" fontId="0" fillId="0" borderId="0" xfId="0" applyAlignment="1">
      <alignment horizontal="center" vertical="center"/>
    </xf>
    <xf numFmtId="164" fontId="14" fillId="0" borderId="1" xfId="333" applyNumberFormat="1" applyFont="1" applyFill="1" applyBorder="1" applyAlignment="1">
      <alignment horizontal="center" vertical="center" wrapText="1"/>
    </xf>
    <xf numFmtId="0" fontId="0" fillId="0" borderId="4" xfId="0" applyBorder="1" applyAlignment="1">
      <alignment horizontal="center" vertical="center"/>
    </xf>
    <xf numFmtId="164" fontId="14" fillId="5" borderId="1" xfId="333" applyNumberFormat="1" applyFont="1" applyFill="1" applyBorder="1" applyAlignment="1">
      <alignment horizontal="center" vertical="center" wrapText="1"/>
    </xf>
    <xf numFmtId="0" fontId="3" fillId="0" borderId="0" xfId="0" applyFont="1" applyAlignment="1">
      <alignment vertical="center"/>
    </xf>
    <xf numFmtId="0" fontId="2" fillId="4" borderId="1" xfId="0" applyFont="1" applyFill="1" applyBorder="1" applyAlignment="1">
      <alignment horizontal="left"/>
    </xf>
    <xf numFmtId="0" fontId="15" fillId="5" borderId="1" xfId="0" applyFont="1" applyFill="1" applyBorder="1" applyAlignment="1">
      <alignment horizontal="left" vertical="center" wrapText="1"/>
    </xf>
    <xf numFmtId="43" fontId="1" fillId="2" borderId="7" xfId="333" applyFont="1" applyFill="1" applyBorder="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43" fontId="16" fillId="0" borderId="0" xfId="0" applyNumberFormat="1" applyFont="1" applyAlignment="1">
      <alignment vertical="center"/>
    </xf>
    <xf numFmtId="43" fontId="16" fillId="0" borderId="0" xfId="0" applyNumberFormat="1" applyFont="1" applyAlignment="1">
      <alignment horizontal="center" vertical="center" wrapText="1"/>
    </xf>
    <xf numFmtId="0" fontId="3" fillId="3"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vertical="center"/>
    </xf>
    <xf numFmtId="0" fontId="17" fillId="2" borderId="7" xfId="0" applyFont="1" applyFill="1" applyBorder="1" applyAlignment="1">
      <alignment horizontal="center" vertical="center" wrapText="1"/>
    </xf>
    <xf numFmtId="43" fontId="17" fillId="2" borderId="7" xfId="0" applyNumberFormat="1" applyFont="1" applyFill="1" applyBorder="1" applyAlignment="1">
      <alignment horizontal="center" vertical="center" wrapText="1"/>
    </xf>
    <xf numFmtId="0" fontId="17" fillId="2" borderId="2"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8" fillId="5" borderId="1" xfId="0" applyFont="1" applyFill="1" applyBorder="1" applyAlignment="1">
      <alignment vertical="center" wrapText="1"/>
    </xf>
    <xf numFmtId="43" fontId="18" fillId="5" borderId="1" xfId="0" applyNumberFormat="1" applyFont="1" applyFill="1" applyBorder="1" applyAlignment="1">
      <alignment vertical="center"/>
    </xf>
    <xf numFmtId="43" fontId="18" fillId="0" borderId="1" xfId="0" applyNumberFormat="1" applyFont="1" applyFill="1" applyBorder="1" applyAlignment="1">
      <alignment horizontal="center" vertical="center" wrapText="1"/>
    </xf>
    <xf numFmtId="0" fontId="16" fillId="0" borderId="1" xfId="0" applyFont="1" applyFill="1" applyBorder="1" applyAlignment="1">
      <alignment vertical="center"/>
    </xf>
    <xf numFmtId="0" fontId="18" fillId="0" borderId="1" xfId="0" applyFont="1" applyFill="1" applyBorder="1" applyAlignment="1">
      <alignment vertical="center"/>
    </xf>
    <xf numFmtId="0" fontId="16" fillId="0" borderId="1" xfId="0" applyFont="1" applyFill="1" applyBorder="1" applyAlignment="1">
      <alignment horizontal="center" vertical="center"/>
    </xf>
    <xf numFmtId="0" fontId="19" fillId="0" borderId="1" xfId="0" applyFont="1" applyFill="1" applyBorder="1" applyAlignment="1">
      <alignment vertical="center"/>
    </xf>
    <xf numFmtId="0" fontId="0" fillId="5" borderId="0" xfId="0" applyFill="1"/>
    <xf numFmtId="0" fontId="18" fillId="0" borderId="1" xfId="0" applyFont="1" applyFill="1" applyBorder="1" applyAlignment="1">
      <alignment vertical="center" wrapText="1"/>
    </xf>
    <xf numFmtId="43" fontId="18" fillId="0" borderId="1" xfId="0" applyNumberFormat="1" applyFont="1" applyFill="1" applyBorder="1" applyAlignment="1">
      <alignment vertical="center"/>
    </xf>
    <xf numFmtId="0" fontId="16" fillId="0" borderId="1" xfId="0" applyFont="1" applyFill="1" applyBorder="1" applyAlignment="1">
      <alignment vertical="center" wrapText="1"/>
    </xf>
    <xf numFmtId="0" fontId="19" fillId="0" borderId="1" xfId="0" applyFont="1" applyFill="1" applyBorder="1" applyAlignment="1">
      <alignment horizontal="left" vertical="center" wrapText="1" readingOrder="1"/>
    </xf>
    <xf numFmtId="0" fontId="16" fillId="5" borderId="1" xfId="0" applyFont="1" applyFill="1" applyBorder="1" applyAlignment="1">
      <alignment vertical="center" wrapText="1"/>
    </xf>
    <xf numFmtId="43" fontId="16" fillId="5" borderId="1" xfId="0" applyNumberFormat="1" applyFont="1" applyFill="1" applyBorder="1" applyAlignment="1">
      <alignment horizontal="center" vertical="center"/>
    </xf>
    <xf numFmtId="0" fontId="16" fillId="0" borderId="1" xfId="0" applyFont="1" applyFill="1" applyBorder="1" applyAlignment="1">
      <alignment horizontal="center" vertical="center" wrapText="1"/>
    </xf>
    <xf numFmtId="0" fontId="19" fillId="5" borderId="1" xfId="0" applyFont="1" applyFill="1" applyBorder="1" applyAlignment="1">
      <alignment vertical="center"/>
    </xf>
    <xf numFmtId="0" fontId="18"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6" fillId="0" borderId="1" xfId="0" applyFont="1" applyBorder="1" applyAlignment="1">
      <alignment vertical="center"/>
    </xf>
    <xf numFmtId="0" fontId="18" fillId="0" borderId="1" xfId="0" applyFont="1" applyBorder="1" applyAlignment="1">
      <alignment vertical="center"/>
    </xf>
    <xf numFmtId="0" fontId="19" fillId="0" borderId="1" xfId="0" applyFont="1" applyBorder="1" applyAlignment="1">
      <alignment vertical="center"/>
    </xf>
    <xf numFmtId="0" fontId="8" fillId="0" borderId="0" xfId="0" applyFont="1" applyAlignment="1">
      <alignment vertical="center"/>
    </xf>
    <xf numFmtId="0" fontId="19" fillId="0" borderId="1" xfId="0" applyFont="1" applyFill="1" applyBorder="1" applyAlignment="1">
      <alignment vertical="center" wrapText="1"/>
    </xf>
    <xf numFmtId="0" fontId="0" fillId="0" borderId="0" xfId="0" applyFill="1"/>
    <xf numFmtId="0" fontId="16" fillId="5" borderId="1" xfId="0" quotePrefix="1" applyFont="1" applyFill="1" applyBorder="1" applyAlignment="1">
      <alignment horizontal="left" vertical="center" wrapText="1"/>
    </xf>
    <xf numFmtId="0" fontId="16" fillId="5" borderId="1" xfId="0" applyFont="1" applyFill="1" applyBorder="1" applyAlignment="1">
      <alignment horizontal="center" vertical="center" wrapText="1"/>
    </xf>
    <xf numFmtId="43" fontId="16" fillId="5" borderId="1" xfId="0" applyNumberFormat="1" applyFont="1" applyFill="1" applyBorder="1" applyAlignment="1">
      <alignment vertical="center"/>
    </xf>
    <xf numFmtId="43" fontId="16" fillId="0" borderId="1" xfId="0" applyNumberFormat="1" applyFont="1" applyFill="1" applyBorder="1" applyAlignment="1">
      <alignment horizontal="center" vertical="center" wrapText="1"/>
    </xf>
    <xf numFmtId="0" fontId="18" fillId="0" borderId="1" xfId="0" applyFont="1" applyFill="1" applyBorder="1" applyAlignment="1">
      <alignment vertical="center" wrapText="1" readingOrder="1"/>
    </xf>
    <xf numFmtId="0" fontId="19" fillId="0" borderId="1" xfId="0" applyFont="1" applyFill="1" applyBorder="1" applyAlignment="1">
      <alignment vertical="center" wrapText="1" readingOrder="1"/>
    </xf>
    <xf numFmtId="0" fontId="16" fillId="0" borderId="0" xfId="0" applyFont="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6" fillId="0" borderId="8" xfId="0" applyFont="1" applyBorder="1" applyAlignment="1">
      <alignment horizontal="left" vertical="center"/>
    </xf>
    <xf numFmtId="0" fontId="18" fillId="5" borderId="1" xfId="0" applyFont="1" applyFill="1" applyBorder="1" applyAlignment="1">
      <alignment horizontal="left" vertical="center" wrapText="1"/>
    </xf>
    <xf numFmtId="0" fontId="7" fillId="0" borderId="1" xfId="0" applyFont="1" applyBorder="1" applyAlignment="1">
      <alignment vertical="center" wrapText="1"/>
    </xf>
    <xf numFmtId="43" fontId="0" fillId="0" borderId="0" xfId="333" applyFont="1" applyAlignment="1">
      <alignment vertical="center"/>
    </xf>
    <xf numFmtId="43" fontId="0" fillId="0" borderId="0" xfId="333" applyFont="1" applyAlignment="1">
      <alignment vertical="center" wrapText="1"/>
    </xf>
    <xf numFmtId="0" fontId="20" fillId="0" borderId="0" xfId="0" applyFont="1" applyAlignment="1">
      <alignment vertical="center"/>
    </xf>
    <xf numFmtId="0" fontId="22" fillId="0" borderId="1" xfId="0" applyFont="1" applyBorder="1" applyAlignment="1">
      <alignment vertical="center"/>
    </xf>
    <xf numFmtId="0" fontId="20" fillId="0" borderId="1" xfId="0" applyFont="1" applyBorder="1" applyAlignment="1">
      <alignment vertical="center"/>
    </xf>
    <xf numFmtId="0" fontId="23" fillId="0" borderId="1" xfId="0" applyFont="1" applyBorder="1" applyAlignment="1">
      <alignment vertical="center" wrapText="1"/>
    </xf>
    <xf numFmtId="0" fontId="20" fillId="0" borderId="1" xfId="0" applyFont="1" applyBorder="1" applyAlignment="1">
      <alignment horizontal="center" vertical="center" wrapText="1"/>
    </xf>
    <xf numFmtId="43" fontId="20" fillId="0" borderId="1" xfId="333" applyFont="1" applyBorder="1" applyAlignment="1">
      <alignment vertical="center"/>
    </xf>
    <xf numFmtId="0" fontId="20" fillId="5" borderId="1" xfId="0" applyFont="1" applyFill="1" applyBorder="1" applyAlignment="1">
      <alignment horizontal="left" vertical="center" wrapText="1"/>
    </xf>
    <xf numFmtId="39" fontId="20" fillId="0" borderId="1" xfId="0" applyNumberFormat="1" applyFont="1" applyFill="1" applyBorder="1" applyAlignment="1">
      <alignment horizontal="right" vertical="center" wrapText="1"/>
    </xf>
    <xf numFmtId="0" fontId="2" fillId="3" borderId="1" xfId="0" applyFont="1" applyFill="1" applyBorder="1" applyAlignment="1">
      <alignment horizontal="center" vertical="center"/>
    </xf>
    <xf numFmtId="0" fontId="2" fillId="4" borderId="3" xfId="0" applyFont="1" applyFill="1" applyBorder="1" applyAlignment="1">
      <alignment vertical="center" wrapText="1"/>
    </xf>
    <xf numFmtId="0" fontId="0" fillId="0" borderId="0" xfId="0" applyAlignment="1">
      <alignment vertical="center" wrapText="1"/>
    </xf>
    <xf numFmtId="0" fontId="2" fillId="4" borderId="0" xfId="0" applyFont="1" applyFill="1" applyAlignment="1">
      <alignment vertical="center" wrapText="1"/>
    </xf>
    <xf numFmtId="44" fontId="8" fillId="0" borderId="5" xfId="0" applyNumberFormat="1" applyFont="1" applyBorder="1" applyAlignment="1">
      <alignment horizontal="center" vertical="center" wrapText="1"/>
    </xf>
    <xf numFmtId="43" fontId="8" fillId="0" borderId="1" xfId="0" applyNumberFormat="1" applyFont="1" applyBorder="1" applyAlignment="1">
      <alignment horizontal="center" vertical="center"/>
    </xf>
    <xf numFmtId="43" fontId="18" fillId="5" borderId="1" xfId="333" applyNumberFormat="1" applyFont="1" applyFill="1" applyBorder="1" applyAlignment="1">
      <alignment vertical="center"/>
    </xf>
    <xf numFmtId="0" fontId="16" fillId="5" borderId="1" xfId="0" applyFont="1" applyFill="1" applyBorder="1" applyAlignment="1">
      <alignment horizontal="center" vertical="center"/>
    </xf>
    <xf numFmtId="0" fontId="20" fillId="0" borderId="1" xfId="0" applyFont="1" applyBorder="1" applyAlignment="1">
      <alignment vertical="center" wrapText="1"/>
    </xf>
    <xf numFmtId="0" fontId="20" fillId="0" borderId="1" xfId="0" applyFont="1" applyBorder="1" applyAlignment="1">
      <alignment horizontal="center" vertical="center"/>
    </xf>
    <xf numFmtId="0" fontId="20" fillId="0" borderId="1" xfId="0" applyFont="1" applyFill="1" applyBorder="1" applyAlignment="1">
      <alignment horizontal="left" vertical="center" wrapText="1"/>
    </xf>
    <xf numFmtId="0" fontId="20" fillId="0" borderId="1" xfId="0" applyFont="1" applyFill="1" applyBorder="1" applyAlignment="1">
      <alignment horizontal="center" vertical="center" wrapText="1"/>
    </xf>
    <xf numFmtId="43" fontId="20" fillId="0" borderId="1" xfId="333" applyFont="1" applyFill="1" applyBorder="1" applyAlignment="1">
      <alignment horizontal="center" vertical="center" wrapText="1"/>
    </xf>
    <xf numFmtId="43" fontId="20" fillId="0" borderId="1" xfId="333" applyFont="1" applyBorder="1" applyAlignment="1">
      <alignment vertical="center" wrapText="1"/>
    </xf>
    <xf numFmtId="0" fontId="20" fillId="0" borderId="0" xfId="0" applyFont="1"/>
    <xf numFmtId="4" fontId="20" fillId="0" borderId="1" xfId="0" applyNumberFormat="1" applyFont="1" applyBorder="1" applyAlignment="1">
      <alignment vertical="center"/>
    </xf>
    <xf numFmtId="0" fontId="20" fillId="0" borderId="1" xfId="0" applyFont="1" applyFill="1" applyBorder="1" applyAlignment="1">
      <alignment horizontal="center" vertical="center"/>
    </xf>
    <xf numFmtId="0" fontId="20" fillId="5" borderId="1" xfId="0" applyFont="1" applyFill="1" applyBorder="1" applyAlignment="1">
      <alignment horizontal="center" vertical="center"/>
    </xf>
    <xf numFmtId="43" fontId="20" fillId="5" borderId="1" xfId="0" applyNumberFormat="1" applyFont="1" applyFill="1" applyBorder="1" applyAlignment="1">
      <alignment horizontal="center" vertical="center"/>
    </xf>
    <xf numFmtId="0" fontId="20" fillId="0" borderId="1" xfId="0" applyFont="1" applyFill="1" applyBorder="1" applyAlignment="1">
      <alignment vertical="center" wrapText="1"/>
    </xf>
    <xf numFmtId="0" fontId="20" fillId="0" borderId="0" xfId="0" applyFont="1" applyAlignment="1">
      <alignment horizontal="center" vertical="center"/>
    </xf>
    <xf numFmtId="43" fontId="20" fillId="0" borderId="0" xfId="333" applyFont="1" applyAlignment="1">
      <alignment vertical="center"/>
    </xf>
    <xf numFmtId="0" fontId="20" fillId="0" borderId="2" xfId="0" applyFont="1" applyFill="1" applyBorder="1" applyAlignment="1">
      <alignment horizontal="center" vertical="center"/>
    </xf>
    <xf numFmtId="0" fontId="20" fillId="0" borderId="2" xfId="0" applyFont="1" applyFill="1" applyBorder="1" applyAlignment="1">
      <alignment vertical="center" wrapText="1"/>
    </xf>
    <xf numFmtId="0" fontId="20" fillId="0" borderId="0" xfId="0" applyFont="1" applyAlignment="1">
      <alignment vertical="center" wrapText="1"/>
    </xf>
    <xf numFmtId="0" fontId="20" fillId="0" borderId="0" xfId="0" applyFont="1" applyAlignment="1">
      <alignment wrapText="1"/>
    </xf>
    <xf numFmtId="43" fontId="20" fillId="0" borderId="0" xfId="333" applyFont="1" applyAlignment="1">
      <alignment vertical="center" wrapText="1"/>
    </xf>
    <xf numFmtId="0" fontId="0" fillId="0" borderId="0" xfId="0" applyAlignment="1">
      <alignment horizontal="center"/>
    </xf>
    <xf numFmtId="0" fontId="21" fillId="0" borderId="1" xfId="0" applyFont="1" applyBorder="1" applyAlignment="1">
      <alignment horizontal="center" vertical="center"/>
    </xf>
    <xf numFmtId="0" fontId="21" fillId="0" borderId="2" xfId="0" applyFont="1" applyFill="1" applyBorder="1" applyAlignment="1">
      <alignment horizontal="center" vertical="center"/>
    </xf>
    <xf numFmtId="0" fontId="20" fillId="0" borderId="0" xfId="0" applyFont="1" applyAlignment="1">
      <alignment horizontal="center"/>
    </xf>
    <xf numFmtId="43" fontId="20" fillId="0" borderId="0" xfId="333" applyFont="1" applyFill="1" applyBorder="1" applyAlignment="1">
      <alignment horizontal="center" vertical="center" wrapText="1"/>
    </xf>
    <xf numFmtId="0" fontId="20" fillId="5" borderId="7" xfId="0" applyFont="1" applyFill="1" applyBorder="1" applyAlignment="1">
      <alignment horizontal="left" vertical="center" wrapText="1"/>
    </xf>
    <xf numFmtId="0" fontId="20" fillId="0" borderId="2" xfId="0" applyFont="1" applyFill="1" applyBorder="1" applyAlignment="1">
      <alignment horizontal="left" vertical="center" wrapText="1"/>
    </xf>
    <xf numFmtId="0" fontId="20" fillId="0" borderId="2" xfId="0" applyFont="1" applyFill="1" applyBorder="1" applyAlignment="1">
      <alignment horizontal="center" vertical="center" wrapText="1"/>
    </xf>
    <xf numFmtId="0" fontId="21" fillId="0" borderId="1" xfId="0" applyFont="1" applyFill="1" applyBorder="1" applyAlignment="1">
      <alignment horizontal="center" vertical="center"/>
    </xf>
    <xf numFmtId="0" fontId="23" fillId="0" borderId="8" xfId="0" applyFont="1" applyBorder="1" applyAlignment="1">
      <alignment horizontal="left" vertical="center"/>
    </xf>
    <xf numFmtId="44" fontId="22" fillId="0" borderId="5" xfId="0" applyNumberFormat="1" applyFont="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xf>
    <xf numFmtId="0" fontId="22" fillId="5" borderId="1" xfId="0" applyFont="1" applyFill="1" applyBorder="1" applyAlignment="1">
      <alignment vertical="center" wrapText="1"/>
    </xf>
    <xf numFmtId="43" fontId="22" fillId="0" borderId="1" xfId="0" applyNumberFormat="1" applyFont="1" applyFill="1" applyBorder="1" applyAlignment="1">
      <alignment horizontal="center" vertical="center" wrapText="1"/>
    </xf>
    <xf numFmtId="0" fontId="20" fillId="0" borderId="1" xfId="0" applyFont="1" applyFill="1" applyBorder="1" applyAlignment="1">
      <alignment vertical="center"/>
    </xf>
    <xf numFmtId="0" fontId="22" fillId="0" borderId="1" xfId="0" applyFont="1" applyFill="1" applyBorder="1" applyAlignment="1">
      <alignment vertical="center"/>
    </xf>
    <xf numFmtId="0" fontId="23" fillId="0" borderId="1" xfId="0" applyFont="1" applyFill="1" applyBorder="1" applyAlignment="1">
      <alignment vertical="center"/>
    </xf>
    <xf numFmtId="0" fontId="22" fillId="5" borderId="1" xfId="0" applyFont="1" applyFill="1" applyBorder="1" applyAlignment="1">
      <alignment horizontal="left" vertical="center" wrapText="1"/>
    </xf>
    <xf numFmtId="0" fontId="23" fillId="0" borderId="1" xfId="0" applyFont="1" applyFill="1" applyBorder="1" applyAlignment="1">
      <alignment vertical="center" wrapText="1"/>
    </xf>
    <xf numFmtId="0" fontId="22" fillId="5" borderId="1" xfId="0" applyFont="1" applyFill="1" applyBorder="1" applyAlignment="1">
      <alignment horizontal="center" vertical="center" wrapText="1"/>
    </xf>
    <xf numFmtId="0" fontId="20" fillId="5" borderId="1" xfId="0" quotePrefix="1" applyFont="1" applyFill="1" applyBorder="1" applyAlignment="1">
      <alignment horizontal="left" vertical="center" wrapText="1"/>
    </xf>
    <xf numFmtId="0" fontId="20" fillId="5" borderId="1" xfId="0" applyFont="1" applyFill="1" applyBorder="1" applyAlignment="1">
      <alignment horizontal="center" vertical="center" wrapText="1"/>
    </xf>
    <xf numFmtId="43" fontId="20" fillId="0" borderId="1" xfId="0" applyNumberFormat="1" applyFont="1" applyFill="1" applyBorder="1" applyAlignment="1">
      <alignment horizontal="center" vertical="center" wrapText="1"/>
    </xf>
    <xf numFmtId="0" fontId="22" fillId="0" borderId="1" xfId="0" applyFont="1" applyFill="1" applyBorder="1" applyAlignment="1">
      <alignment vertical="center" wrapText="1" readingOrder="1"/>
    </xf>
    <xf numFmtId="0" fontId="23" fillId="0" borderId="1" xfId="0" applyFont="1" applyFill="1" applyBorder="1" applyAlignment="1">
      <alignment vertical="center" wrapText="1" readingOrder="1"/>
    </xf>
    <xf numFmtId="0" fontId="23" fillId="5" borderId="1" xfId="0" applyFont="1" applyFill="1" applyBorder="1" applyAlignment="1">
      <alignment horizontal="center" vertical="center" wrapText="1"/>
    </xf>
    <xf numFmtId="0" fontId="23" fillId="0" borderId="1" xfId="0" applyFont="1" applyFill="1" applyBorder="1" applyAlignment="1">
      <alignment horizontal="left" vertical="center" wrapText="1" readingOrder="1"/>
    </xf>
    <xf numFmtId="0" fontId="22" fillId="0" borderId="1" xfId="0" applyFont="1" applyFill="1" applyBorder="1" applyAlignment="1">
      <alignment vertical="center" wrapText="1"/>
    </xf>
    <xf numFmtId="0" fontId="20" fillId="5" borderId="1" xfId="0" applyFont="1" applyFill="1" applyBorder="1" applyAlignment="1">
      <alignment vertical="center" wrapText="1"/>
    </xf>
    <xf numFmtId="0" fontId="23" fillId="5" borderId="1" xfId="0" applyFont="1" applyFill="1" applyBorder="1" applyAlignment="1">
      <alignment vertical="center"/>
    </xf>
    <xf numFmtId="0" fontId="23" fillId="0" borderId="1" xfId="0" applyFont="1" applyBorder="1" applyAlignment="1">
      <alignment vertical="center"/>
    </xf>
    <xf numFmtId="0" fontId="20" fillId="6" borderId="1" xfId="0" applyFont="1" applyFill="1" applyBorder="1" applyAlignment="1">
      <alignment horizontal="left" vertical="center" wrapText="1"/>
    </xf>
    <xf numFmtId="0" fontId="22" fillId="6"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43" fontId="22" fillId="6" borderId="1" xfId="0" applyNumberFormat="1" applyFont="1" applyFill="1" applyBorder="1" applyAlignment="1">
      <alignment horizontal="center" vertical="center" wrapText="1"/>
    </xf>
    <xf numFmtId="0" fontId="20" fillId="6" borderId="1" xfId="0" applyFont="1" applyFill="1" applyBorder="1" applyAlignment="1">
      <alignment vertical="center"/>
    </xf>
    <xf numFmtId="0" fontId="22" fillId="6" borderId="1" xfId="0" applyFont="1" applyFill="1" applyBorder="1" applyAlignment="1">
      <alignment vertical="center"/>
    </xf>
    <xf numFmtId="0" fontId="23" fillId="6" borderId="1" xfId="0" applyFont="1" applyFill="1" applyBorder="1" applyAlignment="1">
      <alignment vertical="center"/>
    </xf>
    <xf numFmtId="0" fontId="20" fillId="6" borderId="0" xfId="0" applyFont="1" applyFill="1"/>
    <xf numFmtId="0" fontId="25" fillId="6" borderId="1" xfId="0" applyFont="1" applyFill="1" applyBorder="1" applyAlignment="1">
      <alignment horizontal="justify" vertical="center" wrapText="1"/>
    </xf>
    <xf numFmtId="43" fontId="20" fillId="6" borderId="1" xfId="333" applyFont="1" applyFill="1" applyBorder="1" applyAlignment="1">
      <alignment vertical="center" wrapText="1"/>
    </xf>
    <xf numFmtId="0" fontId="20" fillId="6" borderId="1" xfId="0" applyFont="1" applyFill="1" applyBorder="1" applyAlignment="1">
      <alignment vertical="center" wrapText="1"/>
    </xf>
    <xf numFmtId="0" fontId="20" fillId="5" borderId="2" xfId="0" applyFont="1" applyFill="1" applyBorder="1" applyAlignment="1">
      <alignment horizontal="left" vertical="center" wrapText="1"/>
    </xf>
    <xf numFmtId="0" fontId="20" fillId="7" borderId="7" xfId="0" applyFont="1" applyFill="1" applyBorder="1" applyAlignment="1">
      <alignment horizontal="left" vertical="center" wrapText="1"/>
    </xf>
    <xf numFmtId="0" fontId="20" fillId="7" borderId="1" xfId="0" applyFont="1" applyFill="1" applyBorder="1" applyAlignment="1">
      <alignment horizontal="center" vertical="center"/>
    </xf>
    <xf numFmtId="43" fontId="20" fillId="7" borderId="1" xfId="0" applyNumberFormat="1" applyFont="1" applyFill="1" applyBorder="1" applyAlignment="1">
      <alignment horizontal="center" vertical="center"/>
    </xf>
    <xf numFmtId="43" fontId="20" fillId="7" borderId="1" xfId="333" applyFont="1" applyFill="1" applyBorder="1" applyAlignment="1">
      <alignment vertical="center" wrapText="1"/>
    </xf>
    <xf numFmtId="0" fontId="21" fillId="7" borderId="1" xfId="0" applyFont="1" applyFill="1" applyBorder="1" applyAlignment="1">
      <alignment horizontal="center" vertical="center"/>
    </xf>
    <xf numFmtId="0" fontId="20" fillId="7" borderId="1" xfId="0" applyFont="1" applyFill="1" applyBorder="1" applyAlignment="1">
      <alignment vertical="center" wrapText="1"/>
    </xf>
    <xf numFmtId="0" fontId="20" fillId="7" borderId="6" xfId="0" applyFont="1" applyFill="1" applyBorder="1" applyAlignment="1">
      <alignment vertical="center"/>
    </xf>
    <xf numFmtId="0" fontId="20" fillId="7" borderId="6" xfId="0" applyFont="1" applyFill="1" applyBorder="1" applyAlignment="1">
      <alignment vertical="center" wrapText="1"/>
    </xf>
    <xf numFmtId="0" fontId="23" fillId="7" borderId="1" xfId="0" applyFont="1" applyFill="1" applyBorder="1" applyAlignment="1">
      <alignment vertical="center" wrapText="1"/>
    </xf>
    <xf numFmtId="0" fontId="20" fillId="7" borderId="1" xfId="0" applyFont="1" applyFill="1" applyBorder="1" applyAlignment="1">
      <alignment horizontal="center" vertical="center" wrapText="1"/>
    </xf>
    <xf numFmtId="4" fontId="20" fillId="7" borderId="1" xfId="0" applyNumberFormat="1" applyFont="1" applyFill="1" applyBorder="1" applyAlignment="1">
      <alignment vertical="center"/>
    </xf>
    <xf numFmtId="0" fontId="20" fillId="7" borderId="1" xfId="0" applyFont="1" applyFill="1" applyBorder="1" applyAlignment="1">
      <alignment vertical="center"/>
    </xf>
    <xf numFmtId="0" fontId="20" fillId="7" borderId="1" xfId="0" applyFont="1" applyFill="1" applyBorder="1" applyAlignment="1">
      <alignment horizontal="left" vertical="center" wrapText="1"/>
    </xf>
    <xf numFmtId="0" fontId="26" fillId="7" borderId="0" xfId="0" applyFont="1" applyFill="1" applyAlignment="1">
      <alignment vertical="center" wrapText="1"/>
    </xf>
    <xf numFmtId="43" fontId="27" fillId="7" borderId="0" xfId="333" applyFont="1" applyFill="1" applyAlignment="1">
      <alignment vertical="center"/>
    </xf>
    <xf numFmtId="0" fontId="24" fillId="8" borderId="0" xfId="0" applyFont="1" applyFill="1" applyAlignment="1">
      <alignment vertical="center" wrapText="1"/>
    </xf>
    <xf numFmtId="0" fontId="18" fillId="8" borderId="1" xfId="0" applyFont="1" applyFill="1" applyBorder="1" applyAlignment="1">
      <alignment horizontal="left" vertical="center" wrapText="1"/>
    </xf>
    <xf numFmtId="43" fontId="18" fillId="8" borderId="1" xfId="0" applyNumberFormat="1" applyFont="1" applyFill="1" applyBorder="1" applyAlignment="1">
      <alignment vertical="center"/>
    </xf>
    <xf numFmtId="0" fontId="16" fillId="8" borderId="1" xfId="0" applyFont="1" applyFill="1" applyBorder="1" applyAlignment="1">
      <alignment horizontal="center" vertical="center" wrapText="1"/>
    </xf>
    <xf numFmtId="43" fontId="18" fillId="8" borderId="1" xfId="0" applyNumberFormat="1" applyFont="1" applyFill="1" applyBorder="1" applyAlignment="1">
      <alignment horizontal="center" vertical="center" wrapText="1"/>
    </xf>
    <xf numFmtId="0" fontId="16" fillId="8" borderId="1" xfId="0" applyFont="1" applyFill="1" applyBorder="1" applyAlignment="1">
      <alignment vertical="center"/>
    </xf>
    <xf numFmtId="0" fontId="18" fillId="8" borderId="1" xfId="0" applyFont="1" applyFill="1" applyBorder="1" applyAlignment="1">
      <alignment vertical="center"/>
    </xf>
    <xf numFmtId="0" fontId="19" fillId="8" borderId="1" xfId="0" applyFont="1" applyFill="1" applyBorder="1" applyAlignment="1">
      <alignment vertical="center" wrapText="1"/>
    </xf>
    <xf numFmtId="0" fontId="16" fillId="7" borderId="1" xfId="0" applyFont="1" applyFill="1" applyBorder="1" applyAlignment="1">
      <alignment vertical="center" wrapText="1"/>
    </xf>
    <xf numFmtId="43" fontId="16" fillId="7" borderId="1" xfId="0" applyNumberFormat="1" applyFont="1" applyFill="1" applyBorder="1" applyAlignment="1">
      <alignment horizontal="center" vertical="center"/>
    </xf>
    <xf numFmtId="43" fontId="18" fillId="7" borderId="1" xfId="0" applyNumberFormat="1" applyFont="1" applyFill="1" applyBorder="1" applyAlignment="1">
      <alignment horizontal="center" vertical="center" wrapText="1"/>
    </xf>
    <xf numFmtId="0" fontId="16" fillId="7" borderId="1" xfId="0" applyFont="1" applyFill="1" applyBorder="1" applyAlignment="1">
      <alignment vertical="center"/>
    </xf>
    <xf numFmtId="0" fontId="18" fillId="7" borderId="1" xfId="0" applyFont="1" applyFill="1" applyBorder="1" applyAlignment="1">
      <alignment vertical="center"/>
    </xf>
    <xf numFmtId="0" fontId="16" fillId="7" borderId="1" xfId="0" applyFont="1" applyFill="1" applyBorder="1" applyAlignment="1">
      <alignment horizontal="center" vertical="center"/>
    </xf>
    <xf numFmtId="0" fontId="24" fillId="8" borderId="0" xfId="0" applyFont="1" applyFill="1" applyAlignment="1">
      <alignment horizontal="left" vertical="center" wrapText="1"/>
    </xf>
    <xf numFmtId="0" fontId="19" fillId="8" borderId="1" xfId="0" applyFont="1" applyFill="1" applyBorder="1" applyAlignment="1">
      <alignment horizontal="left" vertical="center" wrapText="1" readingOrder="1"/>
    </xf>
    <xf numFmtId="0" fontId="18" fillId="8" borderId="1" xfId="0" applyFont="1" applyFill="1" applyBorder="1" applyAlignment="1">
      <alignment vertical="center" wrapText="1"/>
    </xf>
    <xf numFmtId="0" fontId="16" fillId="8" borderId="1" xfId="0" applyFont="1" applyFill="1" applyBorder="1" applyAlignment="1">
      <alignment horizontal="center" vertical="center"/>
    </xf>
    <xf numFmtId="0" fontId="24" fillId="9" borderId="0" xfId="0" applyFont="1" applyFill="1" applyAlignment="1">
      <alignment vertical="center" wrapText="1"/>
    </xf>
    <xf numFmtId="0" fontId="16" fillId="9" borderId="1" xfId="0" applyFont="1" applyFill="1" applyBorder="1" applyAlignment="1">
      <alignment horizontal="center" vertical="center" wrapText="1"/>
    </xf>
    <xf numFmtId="0" fontId="18" fillId="8" borderId="7" xfId="0" applyFont="1" applyFill="1" applyBorder="1" applyAlignment="1">
      <alignment horizontal="left" vertical="center" wrapText="1"/>
    </xf>
    <xf numFmtId="43" fontId="18" fillId="8" borderId="7" xfId="0" applyNumberFormat="1" applyFont="1" applyFill="1" applyBorder="1" applyAlignment="1">
      <alignment vertical="center"/>
    </xf>
    <xf numFmtId="0" fontId="16" fillId="8" borderId="7" xfId="0" applyFont="1" applyFill="1" applyBorder="1" applyAlignment="1">
      <alignment horizontal="center" vertical="center" wrapText="1"/>
    </xf>
    <xf numFmtId="43" fontId="18" fillId="8" borderId="7" xfId="0" applyNumberFormat="1" applyFont="1" applyFill="1" applyBorder="1" applyAlignment="1">
      <alignment horizontal="center" vertical="center" wrapText="1"/>
    </xf>
    <xf numFmtId="0" fontId="16" fillId="8" borderId="7" xfId="0" applyFont="1" applyFill="1" applyBorder="1" applyAlignment="1">
      <alignment vertical="center"/>
    </xf>
    <xf numFmtId="0" fontId="18" fillId="8" borderId="7" xfId="0" applyFont="1" applyFill="1" applyBorder="1" applyAlignment="1">
      <alignment vertical="center"/>
    </xf>
    <xf numFmtId="0" fontId="19" fillId="8" borderId="7" xfId="0" applyFont="1" applyFill="1" applyBorder="1" applyAlignment="1">
      <alignment vertical="center" wrapText="1"/>
    </xf>
    <xf numFmtId="0" fontId="18" fillId="9" borderId="9" xfId="0" applyFont="1" applyFill="1" applyBorder="1" applyAlignment="1">
      <alignment horizontal="left" vertical="center" wrapText="1"/>
    </xf>
    <xf numFmtId="43" fontId="18" fillId="9" borderId="9" xfId="0" applyNumberFormat="1" applyFont="1" applyFill="1" applyBorder="1" applyAlignment="1">
      <alignment vertical="center"/>
    </xf>
    <xf numFmtId="43" fontId="18" fillId="9" borderId="9" xfId="0" applyNumberFormat="1" applyFont="1" applyFill="1" applyBorder="1" applyAlignment="1">
      <alignment horizontal="center" vertical="center" wrapText="1"/>
    </xf>
    <xf numFmtId="0" fontId="16" fillId="9" borderId="9" xfId="0" applyFont="1" applyFill="1" applyBorder="1" applyAlignment="1">
      <alignment vertical="center"/>
    </xf>
    <xf numFmtId="0" fontId="18" fillId="9" borderId="9" xfId="0" applyFont="1" applyFill="1" applyBorder="1" applyAlignment="1">
      <alignment vertical="center"/>
    </xf>
    <xf numFmtId="0" fontId="19" fillId="9" borderId="9" xfId="0" applyFont="1" applyFill="1" applyBorder="1" applyAlignment="1">
      <alignment vertical="center" wrapText="1"/>
    </xf>
    <xf numFmtId="0" fontId="20" fillId="9" borderId="1" xfId="0" applyFont="1" applyFill="1" applyBorder="1" applyAlignment="1">
      <alignment horizontal="left" vertical="center" wrapText="1"/>
    </xf>
    <xf numFmtId="0" fontId="20" fillId="9" borderId="1" xfId="0" applyFont="1" applyFill="1" applyBorder="1" applyAlignment="1">
      <alignment horizontal="center" vertical="center"/>
    </xf>
    <xf numFmtId="39" fontId="20" fillId="9" borderId="1" xfId="0" applyNumberFormat="1" applyFont="1" applyFill="1" applyBorder="1" applyAlignment="1">
      <alignment horizontal="right" vertical="center" wrapText="1"/>
    </xf>
    <xf numFmtId="0" fontId="21" fillId="9" borderId="1" xfId="0" applyFont="1" applyFill="1" applyBorder="1" applyAlignment="1">
      <alignment horizontal="center" vertical="center"/>
    </xf>
    <xf numFmtId="0" fontId="22" fillId="9" borderId="1" xfId="0" applyFont="1" applyFill="1" applyBorder="1" applyAlignment="1">
      <alignment vertical="center"/>
    </xf>
    <xf numFmtId="0" fontId="20" fillId="9" borderId="1" xfId="0" applyFont="1" applyFill="1" applyBorder="1" applyAlignment="1">
      <alignment vertical="center"/>
    </xf>
    <xf numFmtId="0" fontId="20" fillId="9" borderId="1" xfId="0" applyFont="1" applyFill="1" applyBorder="1" applyAlignment="1">
      <alignment vertical="center" wrapText="1"/>
    </xf>
    <xf numFmtId="0" fontId="16" fillId="9" borderId="1" xfId="0" applyFont="1" applyFill="1" applyBorder="1" applyAlignment="1">
      <alignment vertical="center" wrapText="1"/>
    </xf>
    <xf numFmtId="0" fontId="16" fillId="7" borderId="0" xfId="0" applyFont="1" applyFill="1" applyAlignment="1">
      <alignment vertical="center" wrapText="1"/>
    </xf>
    <xf numFmtId="4" fontId="20" fillId="9" borderId="0" xfId="0" applyNumberFormat="1" applyFont="1" applyFill="1" applyAlignment="1">
      <alignment vertical="center"/>
    </xf>
    <xf numFmtId="0" fontId="27" fillId="8" borderId="1" xfId="0" applyFont="1" applyFill="1" applyBorder="1" applyAlignment="1">
      <alignment vertical="center" wrapText="1"/>
    </xf>
    <xf numFmtId="0" fontId="20" fillId="8" borderId="1" xfId="0" applyFont="1" applyFill="1" applyBorder="1" applyAlignment="1">
      <alignment horizontal="left" vertical="center" wrapText="1"/>
    </xf>
    <xf numFmtId="0" fontId="20" fillId="8" borderId="1" xfId="0" applyFont="1" applyFill="1" applyBorder="1" applyAlignment="1">
      <alignment horizontal="center" vertical="center"/>
    </xf>
    <xf numFmtId="39" fontId="20" fillId="8" borderId="1" xfId="0" applyNumberFormat="1" applyFont="1" applyFill="1" applyBorder="1" applyAlignment="1">
      <alignment horizontal="right" vertical="center" wrapText="1"/>
    </xf>
    <xf numFmtId="0" fontId="21" fillId="8" borderId="1" xfId="0" applyFont="1" applyFill="1" applyBorder="1" applyAlignment="1">
      <alignment horizontal="center" vertical="center"/>
    </xf>
    <xf numFmtId="0" fontId="22" fillId="8" borderId="1" xfId="0" applyFont="1" applyFill="1" applyBorder="1" applyAlignment="1">
      <alignment vertical="center"/>
    </xf>
    <xf numFmtId="0" fontId="20" fillId="8" borderId="1" xfId="0" applyFont="1" applyFill="1" applyBorder="1" applyAlignment="1">
      <alignment vertical="center"/>
    </xf>
    <xf numFmtId="0" fontId="3" fillId="3" borderId="3" xfId="0" applyFont="1" applyFill="1" applyBorder="1" applyAlignment="1">
      <alignment horizontal="center"/>
    </xf>
    <xf numFmtId="0" fontId="3" fillId="3" borderId="0" xfId="0" applyFont="1" applyFill="1" applyAlignment="1">
      <alignment horizontal="center"/>
    </xf>
    <xf numFmtId="0" fontId="0" fillId="4" borderId="3" xfId="0" applyFill="1" applyBorder="1" applyAlignment="1">
      <alignment horizontal="center"/>
    </xf>
    <xf numFmtId="0" fontId="0" fillId="4" borderId="0" xfId="0" applyFill="1" applyAlignment="1">
      <alignment horizont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0" fontId="0" fillId="4" borderId="4" xfId="0" applyFill="1" applyBorder="1" applyAlignment="1">
      <alignment horizontal="center"/>
    </xf>
    <xf numFmtId="0" fontId="0" fillId="4" borderId="6" xfId="0" applyFill="1" applyBorder="1" applyAlignment="1">
      <alignment horizontal="center"/>
    </xf>
    <xf numFmtId="0" fontId="0" fillId="4" borderId="5" xfId="0" applyFill="1" applyBorder="1" applyAlignment="1">
      <alignment horizontal="center"/>
    </xf>
    <xf numFmtId="0" fontId="3" fillId="3" borderId="4" xfId="0" applyFont="1" applyFill="1" applyBorder="1" applyAlignment="1">
      <alignment horizontal="center"/>
    </xf>
    <xf numFmtId="0" fontId="3" fillId="3" borderId="6" xfId="0" applyFont="1" applyFill="1" applyBorder="1" applyAlignment="1">
      <alignment horizontal="center"/>
    </xf>
    <xf numFmtId="0" fontId="3" fillId="3" borderId="5" xfId="0" applyFont="1" applyFill="1" applyBorder="1" applyAlignment="1">
      <alignment horizontal="center"/>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165" fontId="1" fillId="2" borderId="7" xfId="0" applyNumberFormat="1" applyFont="1" applyFill="1" applyBorder="1" applyAlignment="1">
      <alignment horizontal="center" vertical="center" wrapText="1"/>
    </xf>
    <xf numFmtId="165" fontId="23" fillId="0" borderId="1" xfId="0" applyNumberFormat="1" applyFont="1" applyBorder="1" applyAlignment="1">
      <alignment horizontal="center" vertical="center"/>
    </xf>
    <xf numFmtId="165" fontId="22" fillId="5" borderId="1" xfId="0" applyNumberFormat="1" applyFont="1" applyFill="1" applyBorder="1" applyAlignment="1">
      <alignment vertical="center"/>
    </xf>
    <xf numFmtId="165" fontId="22" fillId="6" borderId="1" xfId="0" applyNumberFormat="1" applyFont="1" applyFill="1" applyBorder="1" applyAlignment="1">
      <alignment vertical="center"/>
    </xf>
    <xf numFmtId="165" fontId="20" fillId="5" borderId="1" xfId="0" applyNumberFormat="1" applyFont="1" applyFill="1" applyBorder="1" applyAlignment="1">
      <alignment vertical="center"/>
    </xf>
    <xf numFmtId="165" fontId="22" fillId="0" borderId="1" xfId="0" applyNumberFormat="1" applyFont="1" applyBorder="1" applyAlignment="1">
      <alignment horizontal="center" vertical="center"/>
    </xf>
    <xf numFmtId="165" fontId="22" fillId="0" borderId="1" xfId="0" applyNumberFormat="1" applyFont="1" applyFill="1" applyBorder="1" applyAlignment="1">
      <alignment vertical="center"/>
    </xf>
    <xf numFmtId="165" fontId="20" fillId="5" borderId="1" xfId="0" applyNumberFormat="1" applyFont="1" applyFill="1" applyBorder="1" applyAlignment="1">
      <alignment horizontal="center" vertical="center"/>
    </xf>
    <xf numFmtId="165" fontId="22" fillId="5" borderId="1" xfId="333" applyNumberFormat="1" applyFont="1" applyFill="1" applyBorder="1" applyAlignment="1">
      <alignment vertical="center"/>
    </xf>
    <xf numFmtId="165" fontId="20" fillId="0" borderId="0" xfId="0" applyNumberFormat="1" applyFont="1" applyAlignment="1">
      <alignment vertical="center"/>
    </xf>
    <xf numFmtId="165" fontId="20" fillId="0" borderId="1" xfId="0" applyNumberFormat="1" applyFont="1" applyFill="1" applyBorder="1" applyAlignment="1">
      <alignment horizontal="right" vertical="center" wrapText="1"/>
    </xf>
    <xf numFmtId="165" fontId="20" fillId="0" borderId="1" xfId="333" applyNumberFormat="1" applyFont="1" applyBorder="1" applyAlignment="1">
      <alignment vertical="center"/>
    </xf>
    <xf numFmtId="165" fontId="20" fillId="0" borderId="1" xfId="0" applyNumberFormat="1" applyFont="1" applyBorder="1" applyAlignment="1">
      <alignment vertical="center"/>
    </xf>
    <xf numFmtId="165" fontId="20" fillId="0" borderId="0" xfId="333" applyNumberFormat="1" applyFont="1" applyAlignment="1">
      <alignment vertical="center"/>
    </xf>
    <xf numFmtId="165" fontId="20" fillId="0" borderId="1" xfId="333" applyNumberFormat="1" applyFont="1" applyFill="1" applyBorder="1" applyAlignment="1">
      <alignment horizontal="center" vertical="center" wrapText="1"/>
    </xf>
    <xf numFmtId="165" fontId="20" fillId="0" borderId="0" xfId="333" applyNumberFormat="1" applyFont="1" applyFill="1" applyBorder="1" applyAlignment="1">
      <alignment horizontal="center" vertical="center" wrapText="1"/>
    </xf>
    <xf numFmtId="165" fontId="0" fillId="0" borderId="0" xfId="0" applyNumberFormat="1"/>
    <xf numFmtId="43" fontId="28" fillId="0" borderId="0" xfId="333" applyFont="1" applyAlignment="1">
      <alignment vertical="center"/>
    </xf>
  </cellXfs>
  <cellStyles count="334">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xfId="199" builtinId="8" hidden="1"/>
    <cellStyle name="Lien hypertexte" xfId="201" builtinId="8" hidden="1"/>
    <cellStyle name="Lien hypertexte" xfId="203" builtinId="8" hidden="1"/>
    <cellStyle name="Lien hypertexte" xfId="205" builtinId="8" hidden="1"/>
    <cellStyle name="Lien hypertexte" xfId="207" builtinId="8" hidden="1"/>
    <cellStyle name="Lien hypertexte" xfId="209" builtinId="8" hidden="1"/>
    <cellStyle name="Lien hypertexte" xfId="211" builtinId="8" hidden="1"/>
    <cellStyle name="Lien hypertexte" xfId="213" builtinId="8" hidden="1"/>
    <cellStyle name="Lien hypertexte" xfId="215" builtinId="8" hidden="1"/>
    <cellStyle name="Lien hypertexte" xfId="217" builtinId="8" hidden="1"/>
    <cellStyle name="Lien hypertexte" xfId="219" builtinId="8" hidden="1"/>
    <cellStyle name="Lien hypertexte" xfId="221" builtinId="8" hidden="1"/>
    <cellStyle name="Lien hypertexte" xfId="223" builtinId="8" hidden="1"/>
    <cellStyle name="Lien hypertexte" xfId="225" builtinId="8" hidden="1"/>
    <cellStyle name="Lien hypertexte" xfId="227" builtinId="8" hidden="1"/>
    <cellStyle name="Lien hypertexte" xfId="229" builtinId="8" hidden="1"/>
    <cellStyle name="Lien hypertexte" xfId="231" builtinId="8" hidden="1"/>
    <cellStyle name="Lien hypertexte" xfId="233" builtinId="8" hidden="1"/>
    <cellStyle name="Lien hypertexte" xfId="235" builtinId="8" hidden="1"/>
    <cellStyle name="Lien hypertexte" xfId="237" builtinId="8" hidden="1"/>
    <cellStyle name="Lien hypertexte" xfId="239" builtinId="8" hidden="1"/>
    <cellStyle name="Lien hypertexte" xfId="241" builtinId="8" hidden="1"/>
    <cellStyle name="Lien hypertexte" xfId="243" builtinId="8" hidden="1"/>
    <cellStyle name="Lien hypertexte" xfId="245" builtinId="8" hidden="1"/>
    <cellStyle name="Lien hypertexte" xfId="247" builtinId="8" hidden="1"/>
    <cellStyle name="Lien hypertexte" xfId="249" builtinId="8" hidden="1"/>
    <cellStyle name="Lien hypertexte" xfId="251" builtinId="8" hidden="1"/>
    <cellStyle name="Lien hypertexte" xfId="253" builtinId="8" hidden="1"/>
    <cellStyle name="Lien hypertexte" xfId="255" builtinId="8" hidden="1"/>
    <cellStyle name="Lien hypertexte" xfId="257" builtinId="8" hidden="1"/>
    <cellStyle name="Lien hypertexte" xfId="259" builtinId="8" hidden="1"/>
    <cellStyle name="Lien hypertexte" xfId="261" builtinId="8" hidden="1"/>
    <cellStyle name="Lien hypertexte" xfId="263" builtinId="8" hidden="1"/>
    <cellStyle name="Lien hypertexte" xfId="265" builtinId="8" hidden="1"/>
    <cellStyle name="Lien hypertexte" xfId="267" builtinId="8" hidden="1"/>
    <cellStyle name="Lien hypertexte" xfId="269" builtinId="8" hidden="1"/>
    <cellStyle name="Lien hypertexte" xfId="271" builtinId="8" hidden="1"/>
    <cellStyle name="Lien hypertexte" xfId="273" builtinId="8" hidden="1"/>
    <cellStyle name="Lien hypertexte" xfId="275" builtinId="8" hidden="1"/>
    <cellStyle name="Lien hypertexte" xfId="277" builtinId="8" hidden="1"/>
    <cellStyle name="Lien hypertexte" xfId="279" builtinId="8" hidden="1"/>
    <cellStyle name="Lien hypertexte" xfId="281" builtinId="8" hidden="1"/>
    <cellStyle name="Lien hypertexte" xfId="283" builtinId="8" hidden="1"/>
    <cellStyle name="Lien hypertexte" xfId="285" builtinId="8" hidden="1"/>
    <cellStyle name="Lien hypertexte" xfId="287" builtinId="8" hidden="1"/>
    <cellStyle name="Lien hypertexte" xfId="289" builtinId="8" hidden="1"/>
    <cellStyle name="Lien hypertexte" xfId="291" builtinId="8" hidden="1"/>
    <cellStyle name="Lien hypertexte" xfId="293" builtinId="8" hidden="1"/>
    <cellStyle name="Lien hypertexte" xfId="295" builtinId="8" hidden="1"/>
    <cellStyle name="Lien hypertexte" xfId="297" builtinId="8" hidden="1"/>
    <cellStyle name="Lien hypertexte" xfId="299" builtinId="8" hidden="1"/>
    <cellStyle name="Lien hypertexte" xfId="301" builtinId="8" hidden="1"/>
    <cellStyle name="Lien hypertexte" xfId="303" builtinId="8" hidden="1"/>
    <cellStyle name="Lien hypertexte" xfId="305" builtinId="8" hidden="1"/>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Lien hypertexte visité" xfId="200" builtinId="9" hidden="1"/>
    <cellStyle name="Lien hypertexte visité" xfId="202" builtinId="9" hidden="1"/>
    <cellStyle name="Lien hypertexte visité" xfId="204" builtinId="9" hidden="1"/>
    <cellStyle name="Lien hypertexte visité" xfId="206" builtinId="9" hidden="1"/>
    <cellStyle name="Lien hypertexte visité" xfId="208" builtinId="9" hidden="1"/>
    <cellStyle name="Lien hypertexte visité" xfId="210" builtinId="9" hidden="1"/>
    <cellStyle name="Lien hypertexte visité" xfId="212" builtinId="9" hidden="1"/>
    <cellStyle name="Lien hypertexte visité" xfId="214" builtinId="9" hidden="1"/>
    <cellStyle name="Lien hypertexte visité" xfId="216" builtinId="9" hidden="1"/>
    <cellStyle name="Lien hypertexte visité" xfId="218" builtinId="9" hidden="1"/>
    <cellStyle name="Lien hypertexte visité" xfId="220" builtinId="9" hidden="1"/>
    <cellStyle name="Lien hypertexte visité" xfId="222" builtinId="9" hidden="1"/>
    <cellStyle name="Lien hypertexte visité" xfId="224" builtinId="9" hidden="1"/>
    <cellStyle name="Lien hypertexte visité" xfId="226" builtinId="9" hidden="1"/>
    <cellStyle name="Lien hypertexte visité" xfId="228" builtinId="9" hidden="1"/>
    <cellStyle name="Lien hypertexte visité" xfId="230" builtinId="9" hidden="1"/>
    <cellStyle name="Lien hypertexte visité" xfId="232" builtinId="9" hidden="1"/>
    <cellStyle name="Lien hypertexte visité" xfId="234" builtinId="9" hidden="1"/>
    <cellStyle name="Lien hypertexte visité" xfId="236" builtinId="9" hidden="1"/>
    <cellStyle name="Lien hypertexte visité" xfId="238" builtinId="9" hidden="1"/>
    <cellStyle name="Lien hypertexte visité" xfId="240" builtinId="9" hidden="1"/>
    <cellStyle name="Lien hypertexte visité" xfId="242" builtinId="9" hidden="1"/>
    <cellStyle name="Lien hypertexte visité" xfId="244" builtinId="9" hidden="1"/>
    <cellStyle name="Lien hypertexte visité" xfId="246" builtinId="9" hidden="1"/>
    <cellStyle name="Lien hypertexte visité" xfId="248" builtinId="9" hidden="1"/>
    <cellStyle name="Lien hypertexte visité" xfId="250" builtinId="9" hidden="1"/>
    <cellStyle name="Lien hypertexte visité" xfId="252" builtinId="9" hidden="1"/>
    <cellStyle name="Lien hypertexte visité" xfId="254" builtinId="9" hidden="1"/>
    <cellStyle name="Lien hypertexte visité" xfId="256" builtinId="9" hidden="1"/>
    <cellStyle name="Lien hypertexte visité" xfId="258" builtinId="9" hidden="1"/>
    <cellStyle name="Lien hypertexte visité" xfId="260" builtinId="9" hidden="1"/>
    <cellStyle name="Lien hypertexte visité" xfId="262" builtinId="9" hidden="1"/>
    <cellStyle name="Lien hypertexte visité" xfId="264" builtinId="9" hidden="1"/>
    <cellStyle name="Lien hypertexte visité" xfId="266" builtinId="9" hidden="1"/>
    <cellStyle name="Lien hypertexte visité" xfId="268" builtinId="9" hidden="1"/>
    <cellStyle name="Lien hypertexte visité" xfId="270" builtinId="9" hidden="1"/>
    <cellStyle name="Lien hypertexte visité" xfId="272" builtinId="9" hidden="1"/>
    <cellStyle name="Lien hypertexte visité" xfId="274" builtinId="9" hidden="1"/>
    <cellStyle name="Lien hypertexte visité" xfId="276" builtinId="9" hidden="1"/>
    <cellStyle name="Lien hypertexte visité" xfId="278" builtinId="9" hidden="1"/>
    <cellStyle name="Lien hypertexte visité" xfId="280" builtinId="9" hidden="1"/>
    <cellStyle name="Lien hypertexte visité" xfId="282" builtinId="9" hidden="1"/>
    <cellStyle name="Lien hypertexte visité" xfId="284" builtinId="9" hidden="1"/>
    <cellStyle name="Lien hypertexte visité" xfId="286" builtinId="9" hidden="1"/>
    <cellStyle name="Lien hypertexte visité" xfId="288" builtinId="9" hidden="1"/>
    <cellStyle name="Lien hypertexte visité" xfId="290" builtinId="9" hidden="1"/>
    <cellStyle name="Lien hypertexte visité" xfId="292" builtinId="9" hidden="1"/>
    <cellStyle name="Lien hypertexte visité" xfId="294" builtinId="9" hidden="1"/>
    <cellStyle name="Lien hypertexte visité" xfId="296" builtinId="9" hidden="1"/>
    <cellStyle name="Lien hypertexte visité" xfId="298" builtinId="9" hidden="1"/>
    <cellStyle name="Lien hypertexte visité" xfId="300" builtinId="9" hidden="1"/>
    <cellStyle name="Lien hypertexte visité" xfId="302" builtinId="9" hidden="1"/>
    <cellStyle name="Lien hypertexte visité" xfId="304"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Milliers" xfId="333" builtinId="3"/>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K40"/>
  <sheetViews>
    <sheetView tabSelected="1" zoomScale="70" zoomScaleNormal="70" zoomScalePageLayoutView="150" workbookViewId="0">
      <selection activeCell="C44" sqref="C44"/>
    </sheetView>
  </sheetViews>
  <sheetFormatPr baseColWidth="10" defaultRowHeight="14.5" x14ac:dyDescent="0.35"/>
  <cols>
    <col min="1" max="1" width="60.36328125" style="11" customWidth="1"/>
    <col min="2" max="2" width="20.36328125" style="24" customWidth="1"/>
    <col min="3" max="3" width="25.36328125" style="80" customWidth="1"/>
    <col min="4" max="4" width="27.90625" style="81" customWidth="1"/>
    <col min="5" max="5" width="26" style="117" customWidth="1"/>
    <col min="6" max="6" width="15.453125" bestFit="1" customWidth="1"/>
    <col min="7" max="7" width="21.453125" customWidth="1"/>
    <col min="8" max="8" width="33.6328125" customWidth="1"/>
    <col min="9" max="9" width="18.36328125" style="7" customWidth="1"/>
    <col min="10" max="10" width="23.54296875" style="92" customWidth="1"/>
    <col min="11" max="11" width="61.453125" style="7" customWidth="1"/>
  </cols>
  <sheetData>
    <row r="1" spans="1:11" x14ac:dyDescent="0.35">
      <c r="I1" s="90" t="s">
        <v>6</v>
      </c>
      <c r="J1" s="91">
        <v>2026</v>
      </c>
      <c r="K1" s="93"/>
    </row>
    <row r="3" spans="1:11" ht="15.5" x14ac:dyDescent="0.35">
      <c r="A3" s="227" t="s">
        <v>7</v>
      </c>
      <c r="B3" s="228"/>
      <c r="C3" s="228"/>
      <c r="D3" s="228"/>
      <c r="E3" s="228"/>
      <c r="F3" s="228"/>
      <c r="G3" s="228"/>
      <c r="H3" s="228"/>
      <c r="I3" s="228"/>
      <c r="J3" s="228"/>
      <c r="K3" s="228"/>
    </row>
    <row r="4" spans="1:11" x14ac:dyDescent="0.35">
      <c r="A4" s="12" t="s">
        <v>79</v>
      </c>
      <c r="B4" s="229"/>
      <c r="C4" s="230"/>
      <c r="D4" s="230"/>
      <c r="E4" s="230"/>
      <c r="F4" s="230"/>
      <c r="G4" s="230"/>
      <c r="H4" s="230"/>
      <c r="I4" s="230"/>
      <c r="J4" s="230"/>
      <c r="K4" s="230"/>
    </row>
    <row r="6" spans="1:11" ht="29" x14ac:dyDescent="0.35">
      <c r="A6" s="8" t="s">
        <v>8</v>
      </c>
      <c r="B6" s="8" t="s">
        <v>0</v>
      </c>
      <c r="C6" s="31" t="s">
        <v>4</v>
      </c>
      <c r="D6" s="31" t="s">
        <v>78</v>
      </c>
      <c r="E6" s="8" t="s">
        <v>2</v>
      </c>
      <c r="F6" s="3" t="s">
        <v>9</v>
      </c>
      <c r="G6" s="8" t="s">
        <v>3</v>
      </c>
      <c r="H6" s="8" t="s">
        <v>1</v>
      </c>
      <c r="I6" s="8" t="s">
        <v>18</v>
      </c>
      <c r="J6" s="8" t="s">
        <v>5</v>
      </c>
      <c r="K6" s="3" t="s">
        <v>10</v>
      </c>
    </row>
    <row r="7" spans="1:11" s="82" customFormat="1" ht="72" hidden="1" customHeight="1" x14ac:dyDescent="0.35">
      <c r="A7" s="221" t="s">
        <v>88</v>
      </c>
      <c r="B7" s="222" t="s">
        <v>30</v>
      </c>
      <c r="C7" s="223">
        <v>5246250.76</v>
      </c>
      <c r="D7" s="221" t="s">
        <v>42</v>
      </c>
      <c r="E7" s="224" t="s">
        <v>190</v>
      </c>
      <c r="F7" s="225" t="s">
        <v>92</v>
      </c>
      <c r="G7" s="226" t="s">
        <v>96</v>
      </c>
      <c r="H7" s="226" t="s">
        <v>191</v>
      </c>
      <c r="I7" s="226" t="s">
        <v>103</v>
      </c>
      <c r="J7" s="226" t="s">
        <v>38</v>
      </c>
      <c r="K7" s="221" t="s">
        <v>98</v>
      </c>
    </row>
    <row r="8" spans="1:11" s="82" customFormat="1" ht="72" hidden="1" customHeight="1" x14ac:dyDescent="0.35">
      <c r="A8" s="88" t="s">
        <v>88</v>
      </c>
      <c r="B8" s="99" t="s">
        <v>30</v>
      </c>
      <c r="C8" s="89">
        <v>3430400</v>
      </c>
      <c r="D8" s="88" t="s">
        <v>42</v>
      </c>
      <c r="E8" s="118" t="s">
        <v>91</v>
      </c>
      <c r="F8" s="83" t="s">
        <v>92</v>
      </c>
      <c r="G8" s="84" t="s">
        <v>96</v>
      </c>
      <c r="H8" s="84" t="s">
        <v>93</v>
      </c>
      <c r="I8" s="84" t="s">
        <v>103</v>
      </c>
      <c r="J8" s="84" t="s">
        <v>38</v>
      </c>
      <c r="K8" s="100" t="s">
        <v>98</v>
      </c>
    </row>
    <row r="9" spans="1:11" s="82" customFormat="1" ht="72" hidden="1" customHeight="1" x14ac:dyDescent="0.35">
      <c r="A9" s="210" t="s">
        <v>89</v>
      </c>
      <c r="B9" s="211" t="s">
        <v>30</v>
      </c>
      <c r="C9" s="212">
        <v>4869600</v>
      </c>
      <c r="D9" s="210" t="s">
        <v>42</v>
      </c>
      <c r="E9" s="213" t="s">
        <v>91</v>
      </c>
      <c r="F9" s="214" t="s">
        <v>92</v>
      </c>
      <c r="G9" s="215" t="s">
        <v>97</v>
      </c>
      <c r="H9" s="216" t="s">
        <v>94</v>
      </c>
      <c r="I9" s="215" t="s">
        <v>103</v>
      </c>
      <c r="J9" s="215" t="s">
        <v>38</v>
      </c>
      <c r="K9" s="210" t="s">
        <v>99</v>
      </c>
    </row>
    <row r="10" spans="1:11" s="82" customFormat="1" ht="101.4" hidden="1" customHeight="1" x14ac:dyDescent="0.35">
      <c r="A10" s="88" t="s">
        <v>90</v>
      </c>
      <c r="B10" s="99" t="s">
        <v>30</v>
      </c>
      <c r="C10" s="89">
        <v>8000000</v>
      </c>
      <c r="D10" s="88" t="s">
        <v>42</v>
      </c>
      <c r="E10" s="118" t="s">
        <v>91</v>
      </c>
      <c r="F10" s="84" t="s">
        <v>92</v>
      </c>
      <c r="G10" s="84" t="s">
        <v>54</v>
      </c>
      <c r="H10" s="98" t="s">
        <v>95</v>
      </c>
      <c r="I10" s="84" t="s">
        <v>103</v>
      </c>
      <c r="J10" s="84" t="s">
        <v>38</v>
      </c>
      <c r="K10" s="100" t="s">
        <v>100</v>
      </c>
    </row>
    <row r="11" spans="1:11" s="82" customFormat="1" ht="72" hidden="1" customHeight="1" x14ac:dyDescent="0.35">
      <c r="A11" s="100" t="s">
        <v>102</v>
      </c>
      <c r="B11" s="86" t="s">
        <v>32</v>
      </c>
      <c r="C11" s="87">
        <v>216000</v>
      </c>
      <c r="D11" s="103" t="s">
        <v>75</v>
      </c>
      <c r="E11" s="118" t="s">
        <v>91</v>
      </c>
      <c r="F11" s="83"/>
      <c r="G11" s="84"/>
      <c r="H11" s="84" t="s">
        <v>104</v>
      </c>
      <c r="I11" s="84" t="s">
        <v>103</v>
      </c>
      <c r="J11" s="84" t="s">
        <v>101</v>
      </c>
      <c r="K11" s="85"/>
    </row>
    <row r="12" spans="1:11" s="82" customFormat="1" ht="72" hidden="1" customHeight="1" x14ac:dyDescent="0.35">
      <c r="A12" s="88" t="s">
        <v>20</v>
      </c>
      <c r="B12" s="86" t="s">
        <v>30</v>
      </c>
      <c r="C12" s="87">
        <v>3900000</v>
      </c>
      <c r="D12" s="103" t="s">
        <v>42</v>
      </c>
      <c r="E12" s="118" t="s">
        <v>91</v>
      </c>
      <c r="F12" s="83" t="s">
        <v>106</v>
      </c>
      <c r="G12" s="84" t="s">
        <v>97</v>
      </c>
      <c r="H12" s="98" t="s">
        <v>167</v>
      </c>
      <c r="I12" s="84" t="s">
        <v>107</v>
      </c>
      <c r="J12" s="84" t="s">
        <v>38</v>
      </c>
      <c r="K12" s="85" t="s">
        <v>108</v>
      </c>
    </row>
    <row r="13" spans="1:11" s="82" customFormat="1" ht="71.400000000000006" hidden="1" customHeight="1" x14ac:dyDescent="0.35">
      <c r="A13" s="88" t="s">
        <v>21</v>
      </c>
      <c r="B13" s="86" t="s">
        <v>31</v>
      </c>
      <c r="C13" s="87">
        <v>3000000</v>
      </c>
      <c r="D13" s="103" t="s">
        <v>42</v>
      </c>
      <c r="E13" s="118" t="s">
        <v>91</v>
      </c>
      <c r="F13" s="83" t="s">
        <v>106</v>
      </c>
      <c r="G13" s="84" t="s">
        <v>97</v>
      </c>
      <c r="H13" s="98" t="s">
        <v>109</v>
      </c>
      <c r="I13" s="84" t="s">
        <v>107</v>
      </c>
      <c r="J13" s="84" t="s">
        <v>38</v>
      </c>
      <c r="K13" s="85" t="s">
        <v>110</v>
      </c>
    </row>
    <row r="14" spans="1:11" s="82" customFormat="1" ht="69.650000000000006" hidden="1" customHeight="1" x14ac:dyDescent="0.35">
      <c r="A14" s="88" t="s">
        <v>22</v>
      </c>
      <c r="B14" s="99" t="s">
        <v>31</v>
      </c>
      <c r="C14" s="87">
        <v>2086284</v>
      </c>
      <c r="D14" s="103" t="s">
        <v>42</v>
      </c>
      <c r="E14" s="118" t="s">
        <v>91</v>
      </c>
      <c r="F14" s="84" t="s">
        <v>92</v>
      </c>
      <c r="G14" s="84" t="s">
        <v>54</v>
      </c>
      <c r="H14" s="98" t="s">
        <v>169</v>
      </c>
      <c r="I14" s="84" t="s">
        <v>107</v>
      </c>
      <c r="J14" s="98" t="s">
        <v>38</v>
      </c>
      <c r="K14" s="98" t="s">
        <v>171</v>
      </c>
    </row>
    <row r="15" spans="1:11" s="82" customFormat="1" ht="69.650000000000006" hidden="1" customHeight="1" x14ac:dyDescent="0.35">
      <c r="A15" s="174" t="s">
        <v>22</v>
      </c>
      <c r="B15" s="163" t="s">
        <v>31</v>
      </c>
      <c r="C15" s="219">
        <v>1714716.81</v>
      </c>
      <c r="D15" s="165" t="s">
        <v>42</v>
      </c>
      <c r="E15" s="166" t="s">
        <v>91</v>
      </c>
      <c r="F15" s="173"/>
      <c r="G15" s="173"/>
      <c r="H15" s="167" t="s">
        <v>170</v>
      </c>
      <c r="I15" s="173" t="s">
        <v>107</v>
      </c>
      <c r="J15" s="167" t="s">
        <v>38</v>
      </c>
      <c r="K15" s="167" t="s">
        <v>172</v>
      </c>
    </row>
    <row r="16" spans="1:11" s="82" customFormat="1" ht="117.65" hidden="1" customHeight="1" x14ac:dyDescent="0.35">
      <c r="A16" s="88" t="s">
        <v>168</v>
      </c>
      <c r="B16" s="99" t="s">
        <v>30</v>
      </c>
      <c r="C16" s="87">
        <v>106272</v>
      </c>
      <c r="D16" s="103" t="s">
        <v>75</v>
      </c>
      <c r="E16" s="118" t="s">
        <v>91</v>
      </c>
      <c r="F16" s="84" t="s">
        <v>113</v>
      </c>
      <c r="G16" s="84" t="s">
        <v>96</v>
      </c>
      <c r="H16" s="84" t="s">
        <v>114</v>
      </c>
      <c r="I16" s="84" t="s">
        <v>107</v>
      </c>
      <c r="J16" s="98" t="s">
        <v>101</v>
      </c>
      <c r="K16" s="84" t="s">
        <v>115</v>
      </c>
    </row>
    <row r="17" spans="1:11" s="82" customFormat="1" ht="117.65" hidden="1" customHeight="1" x14ac:dyDescent="0.35">
      <c r="A17" s="175" t="s">
        <v>175</v>
      </c>
      <c r="B17" s="163" t="s">
        <v>30</v>
      </c>
      <c r="C17" s="176">
        <v>793728</v>
      </c>
      <c r="D17" s="165" t="s">
        <v>75</v>
      </c>
      <c r="E17" s="166" t="s">
        <v>91</v>
      </c>
      <c r="F17" s="173" t="s">
        <v>113</v>
      </c>
      <c r="G17" s="173" t="s">
        <v>54</v>
      </c>
      <c r="H17" s="173" t="s">
        <v>176</v>
      </c>
      <c r="I17" s="173" t="s">
        <v>107</v>
      </c>
      <c r="J17" s="167" t="s">
        <v>101</v>
      </c>
      <c r="K17" s="167" t="s">
        <v>177</v>
      </c>
    </row>
    <row r="18" spans="1:11" s="104" customFormat="1" ht="57.65" customHeight="1" x14ac:dyDescent="0.35">
      <c r="A18" s="88" t="s">
        <v>24</v>
      </c>
      <c r="B18" s="99" t="s">
        <v>30</v>
      </c>
      <c r="C18" s="87">
        <v>120000</v>
      </c>
      <c r="D18" s="103" t="s">
        <v>42</v>
      </c>
      <c r="E18" s="118" t="s">
        <v>91</v>
      </c>
      <c r="F18" s="84" t="s">
        <v>113</v>
      </c>
      <c r="G18" s="84" t="s">
        <v>116</v>
      </c>
      <c r="H18" s="84" t="s">
        <v>117</v>
      </c>
      <c r="I18" s="84" t="s">
        <v>107</v>
      </c>
      <c r="J18" s="98" t="s">
        <v>38</v>
      </c>
      <c r="K18" s="84" t="s">
        <v>118</v>
      </c>
    </row>
    <row r="19" spans="1:11" s="104" customFormat="1" ht="108" hidden="1" customHeight="1" x14ac:dyDescent="0.35">
      <c r="A19" s="85" t="s">
        <v>156</v>
      </c>
      <c r="B19" s="86" t="s">
        <v>31</v>
      </c>
      <c r="C19" s="105">
        <v>2000000</v>
      </c>
      <c r="D19" s="103" t="s">
        <v>40</v>
      </c>
      <c r="E19" s="118" t="s">
        <v>91</v>
      </c>
      <c r="F19" s="106" t="s">
        <v>106</v>
      </c>
      <c r="G19" s="99" t="s">
        <v>54</v>
      </c>
      <c r="H19" s="98" t="s">
        <v>120</v>
      </c>
      <c r="I19" s="84" t="s">
        <v>107</v>
      </c>
      <c r="J19" s="98" t="s">
        <v>38</v>
      </c>
      <c r="K19" s="85" t="s">
        <v>119</v>
      </c>
    </row>
    <row r="20" spans="1:11" s="104" customFormat="1" ht="158.4" hidden="1" customHeight="1" x14ac:dyDescent="0.35">
      <c r="A20" s="85" t="s">
        <v>80</v>
      </c>
      <c r="B20" s="86" t="s">
        <v>81</v>
      </c>
      <c r="C20" s="105">
        <v>150000</v>
      </c>
      <c r="D20" s="103" t="s">
        <v>50</v>
      </c>
      <c r="E20" s="118" t="s">
        <v>91</v>
      </c>
      <c r="F20" s="106" t="s">
        <v>106</v>
      </c>
      <c r="G20" s="99" t="s">
        <v>96</v>
      </c>
      <c r="H20" s="98" t="s">
        <v>120</v>
      </c>
      <c r="I20" s="84"/>
      <c r="J20" s="98" t="s">
        <v>38</v>
      </c>
      <c r="K20" s="85" t="s">
        <v>125</v>
      </c>
    </row>
    <row r="21" spans="1:11" s="104" customFormat="1" ht="158.4" hidden="1" customHeight="1" x14ac:dyDescent="0.35">
      <c r="A21" s="85" t="s">
        <v>82</v>
      </c>
      <c r="B21" s="86" t="s">
        <v>81</v>
      </c>
      <c r="C21" s="105">
        <v>150000</v>
      </c>
      <c r="D21" s="103" t="s">
        <v>50</v>
      </c>
      <c r="E21" s="118" t="s">
        <v>91</v>
      </c>
      <c r="F21" s="106" t="s">
        <v>106</v>
      </c>
      <c r="G21" s="99" t="s">
        <v>96</v>
      </c>
      <c r="H21" s="98" t="s">
        <v>121</v>
      </c>
      <c r="I21" s="84"/>
      <c r="J21" s="98" t="s">
        <v>38</v>
      </c>
      <c r="K21" s="85" t="s">
        <v>126</v>
      </c>
    </row>
    <row r="22" spans="1:11" s="104" customFormat="1" ht="137" hidden="1" customHeight="1" x14ac:dyDescent="0.35">
      <c r="A22" s="170" t="s">
        <v>83</v>
      </c>
      <c r="B22" s="171" t="s">
        <v>81</v>
      </c>
      <c r="C22" s="172">
        <v>150000</v>
      </c>
      <c r="D22" s="165" t="s">
        <v>50</v>
      </c>
      <c r="E22" s="166" t="s">
        <v>91</v>
      </c>
      <c r="F22" s="163" t="s">
        <v>106</v>
      </c>
      <c r="G22" s="163" t="s">
        <v>96</v>
      </c>
      <c r="H22" s="167" t="s">
        <v>121</v>
      </c>
      <c r="I22" s="173"/>
      <c r="J22" s="167" t="s">
        <v>38</v>
      </c>
      <c r="K22" s="170" t="s">
        <v>127</v>
      </c>
    </row>
    <row r="23" spans="1:11" s="104" customFormat="1" ht="103.25" hidden="1" customHeight="1" x14ac:dyDescent="0.35">
      <c r="A23" s="85" t="s">
        <v>84</v>
      </c>
      <c r="B23" s="86" t="s">
        <v>31</v>
      </c>
      <c r="C23" s="105">
        <v>3000000</v>
      </c>
      <c r="D23" s="103" t="s">
        <v>40</v>
      </c>
      <c r="E23" s="118" t="s">
        <v>91</v>
      </c>
      <c r="F23" s="106" t="s">
        <v>106</v>
      </c>
      <c r="G23" s="99" t="s">
        <v>54</v>
      </c>
      <c r="H23" s="98" t="s">
        <v>121</v>
      </c>
      <c r="I23" s="84" t="s">
        <v>107</v>
      </c>
      <c r="J23" s="98" t="s">
        <v>38</v>
      </c>
      <c r="K23" s="85" t="s">
        <v>128</v>
      </c>
    </row>
    <row r="24" spans="1:11" s="104" customFormat="1" ht="141" hidden="1" customHeight="1" x14ac:dyDescent="0.35">
      <c r="A24" s="85" t="s">
        <v>85</v>
      </c>
      <c r="B24" s="86" t="s">
        <v>31</v>
      </c>
      <c r="C24" s="105">
        <v>4800000</v>
      </c>
      <c r="D24" s="103" t="s">
        <v>40</v>
      </c>
      <c r="E24" s="118" t="s">
        <v>91</v>
      </c>
      <c r="F24" s="106" t="s">
        <v>106</v>
      </c>
      <c r="G24" s="99" t="s">
        <v>124</v>
      </c>
      <c r="H24" s="98" t="s">
        <v>122</v>
      </c>
      <c r="I24" s="84" t="s">
        <v>107</v>
      </c>
      <c r="J24" s="98" t="s">
        <v>38</v>
      </c>
      <c r="K24" s="98" t="s">
        <v>129</v>
      </c>
    </row>
    <row r="25" spans="1:11" s="104" customFormat="1" ht="103.25" hidden="1" customHeight="1" x14ac:dyDescent="0.35">
      <c r="A25" s="85" t="s">
        <v>86</v>
      </c>
      <c r="B25" s="86" t="s">
        <v>31</v>
      </c>
      <c r="C25" s="105">
        <v>2000000</v>
      </c>
      <c r="D25" s="103" t="s">
        <v>87</v>
      </c>
      <c r="E25" s="118" t="s">
        <v>91</v>
      </c>
      <c r="F25" s="106" t="s">
        <v>106</v>
      </c>
      <c r="G25" s="99" t="s">
        <v>54</v>
      </c>
      <c r="H25" s="98" t="s">
        <v>123</v>
      </c>
      <c r="I25" s="84" t="s">
        <v>107</v>
      </c>
      <c r="J25" s="98" t="s">
        <v>38</v>
      </c>
      <c r="K25" s="98" t="s">
        <v>130</v>
      </c>
    </row>
    <row r="26" spans="1:11" s="104" customFormat="1" ht="58.25" hidden="1" customHeight="1" x14ac:dyDescent="0.35">
      <c r="A26" s="88" t="s">
        <v>131</v>
      </c>
      <c r="B26" s="107" t="s">
        <v>30</v>
      </c>
      <c r="C26" s="108">
        <v>5000000</v>
      </c>
      <c r="D26" s="103" t="s">
        <v>42</v>
      </c>
      <c r="E26" s="118" t="s">
        <v>91</v>
      </c>
      <c r="F26" s="106" t="s">
        <v>113</v>
      </c>
      <c r="G26" s="106" t="s">
        <v>97</v>
      </c>
      <c r="H26" s="109" t="s">
        <v>132</v>
      </c>
      <c r="I26" s="84" t="s">
        <v>103</v>
      </c>
      <c r="J26" s="98" t="s">
        <v>38</v>
      </c>
      <c r="K26" s="84" t="s">
        <v>134</v>
      </c>
    </row>
    <row r="27" spans="1:11" s="104" customFormat="1" ht="58.25" hidden="1" customHeight="1" x14ac:dyDescent="0.35">
      <c r="A27" s="88" t="s">
        <v>137</v>
      </c>
      <c r="B27" s="107" t="s">
        <v>30</v>
      </c>
      <c r="C27" s="108">
        <v>3248000</v>
      </c>
      <c r="D27" s="103" t="s">
        <v>42</v>
      </c>
      <c r="E27" s="118" t="s">
        <v>91</v>
      </c>
      <c r="F27" s="106" t="s">
        <v>113</v>
      </c>
      <c r="G27" s="106" t="s">
        <v>97</v>
      </c>
      <c r="H27" s="109" t="s">
        <v>133</v>
      </c>
      <c r="I27" s="84" t="s">
        <v>103</v>
      </c>
      <c r="J27" s="98" t="s">
        <v>38</v>
      </c>
      <c r="K27" s="84" t="s">
        <v>135</v>
      </c>
    </row>
    <row r="28" spans="1:11" s="104" customFormat="1" ht="58.25" hidden="1" customHeight="1" x14ac:dyDescent="0.35">
      <c r="A28" s="162" t="s">
        <v>173</v>
      </c>
      <c r="B28" s="163" t="s">
        <v>30</v>
      </c>
      <c r="C28" s="164">
        <v>4752000</v>
      </c>
      <c r="D28" s="165" t="s">
        <v>42</v>
      </c>
      <c r="E28" s="166" t="s">
        <v>91</v>
      </c>
      <c r="F28" s="163" t="s">
        <v>113</v>
      </c>
      <c r="G28" s="163" t="s">
        <v>54</v>
      </c>
      <c r="H28" s="167" t="s">
        <v>43</v>
      </c>
      <c r="I28" s="168" t="s">
        <v>103</v>
      </c>
      <c r="J28" s="169" t="s">
        <v>38</v>
      </c>
      <c r="K28" s="169" t="s">
        <v>174</v>
      </c>
    </row>
    <row r="29" spans="1:11" s="104" customFormat="1" ht="60.65" hidden="1" customHeight="1" x14ac:dyDescent="0.35">
      <c r="A29" s="122" t="s">
        <v>138</v>
      </c>
      <c r="B29" s="110" t="s">
        <v>32</v>
      </c>
      <c r="C29" s="111">
        <v>500000</v>
      </c>
      <c r="D29" s="161" t="s">
        <v>139</v>
      </c>
      <c r="E29" s="119" t="s">
        <v>91</v>
      </c>
      <c r="F29" s="112" t="s">
        <v>140</v>
      </c>
      <c r="G29" s="112" t="s">
        <v>116</v>
      </c>
      <c r="H29" s="113" t="s">
        <v>43</v>
      </c>
      <c r="I29" s="82" t="s">
        <v>103</v>
      </c>
      <c r="J29" s="114" t="s">
        <v>101</v>
      </c>
      <c r="K29" s="82" t="s">
        <v>141</v>
      </c>
    </row>
    <row r="30" spans="1:11" s="104" customFormat="1" ht="60.65" hidden="1" customHeight="1" x14ac:dyDescent="0.35">
      <c r="A30" s="88" t="s">
        <v>142</v>
      </c>
      <c r="B30" s="99" t="s">
        <v>32</v>
      </c>
      <c r="C30" s="87">
        <v>318960</v>
      </c>
      <c r="D30" s="101" t="s">
        <v>75</v>
      </c>
      <c r="E30" s="125" t="s">
        <v>91</v>
      </c>
      <c r="F30" s="106" t="s">
        <v>143</v>
      </c>
      <c r="G30" s="106" t="s">
        <v>97</v>
      </c>
      <c r="H30" s="109" t="s">
        <v>43</v>
      </c>
      <c r="I30" s="84" t="s">
        <v>103</v>
      </c>
      <c r="J30" s="98" t="s">
        <v>101</v>
      </c>
      <c r="K30" s="98" t="s">
        <v>144</v>
      </c>
    </row>
    <row r="31" spans="1:11" s="104" customFormat="1" ht="60.65" hidden="1" customHeight="1" x14ac:dyDescent="0.35">
      <c r="A31" s="100" t="s">
        <v>145</v>
      </c>
      <c r="B31" s="99" t="s">
        <v>32</v>
      </c>
      <c r="C31" s="102">
        <v>838800</v>
      </c>
      <c r="D31" s="101" t="s">
        <v>75</v>
      </c>
      <c r="E31" s="125" t="s">
        <v>91</v>
      </c>
      <c r="F31" s="106" t="s">
        <v>143</v>
      </c>
      <c r="G31" s="106" t="s">
        <v>54</v>
      </c>
      <c r="H31" s="109" t="s">
        <v>132</v>
      </c>
      <c r="I31" s="84" t="s">
        <v>103</v>
      </c>
      <c r="J31" s="98" t="s">
        <v>101</v>
      </c>
      <c r="K31" s="98" t="s">
        <v>146</v>
      </c>
    </row>
    <row r="32" spans="1:11" s="104" customFormat="1" ht="60.65" hidden="1" customHeight="1" x14ac:dyDescent="0.35">
      <c r="A32" s="123" t="s">
        <v>157</v>
      </c>
      <c r="B32" s="110" t="s">
        <v>32</v>
      </c>
      <c r="C32" s="121">
        <v>984600</v>
      </c>
      <c r="D32" s="124" t="s">
        <v>70</v>
      </c>
      <c r="E32" s="119"/>
      <c r="F32" s="112"/>
      <c r="G32" s="112"/>
      <c r="H32" s="113"/>
      <c r="I32" s="82"/>
      <c r="J32" s="114" t="s">
        <v>101</v>
      </c>
      <c r="K32" s="114" t="s">
        <v>158</v>
      </c>
    </row>
    <row r="33" spans="1:11" s="104" customFormat="1" ht="60.65" hidden="1" customHeight="1" x14ac:dyDescent="0.35">
      <c r="A33" s="88" t="s">
        <v>147</v>
      </c>
      <c r="B33" s="99" t="s">
        <v>32</v>
      </c>
      <c r="C33" s="87">
        <v>934000</v>
      </c>
      <c r="D33" s="88" t="s">
        <v>75</v>
      </c>
      <c r="E33" s="125" t="s">
        <v>91</v>
      </c>
      <c r="F33" s="106" t="s">
        <v>113</v>
      </c>
      <c r="G33" s="106" t="s">
        <v>97</v>
      </c>
      <c r="H33" s="109" t="s">
        <v>148</v>
      </c>
      <c r="I33" s="84" t="s">
        <v>103</v>
      </c>
      <c r="J33" s="98" t="s">
        <v>101</v>
      </c>
      <c r="K33" s="98" t="s">
        <v>149</v>
      </c>
    </row>
    <row r="34" spans="1:11" s="115" customFormat="1" ht="29" hidden="1" x14ac:dyDescent="0.35">
      <c r="A34" s="158" t="s">
        <v>164</v>
      </c>
      <c r="B34" s="152" t="s">
        <v>32</v>
      </c>
      <c r="C34" s="159" t="s">
        <v>192</v>
      </c>
      <c r="D34" s="159"/>
      <c r="E34" s="152" t="s">
        <v>91</v>
      </c>
      <c r="F34" s="160" t="s">
        <v>165</v>
      </c>
      <c r="G34" s="160"/>
      <c r="H34" s="160" t="s">
        <v>49</v>
      </c>
      <c r="I34" s="160" t="s">
        <v>103</v>
      </c>
      <c r="J34" s="160"/>
      <c r="K34" s="160" t="s">
        <v>166</v>
      </c>
    </row>
    <row r="35" spans="1:11" s="104" customFormat="1" x14ac:dyDescent="0.35">
      <c r="A35" s="115"/>
      <c r="B35" s="110"/>
      <c r="C35" s="111"/>
      <c r="D35" s="116"/>
      <c r="E35" s="120"/>
      <c r="I35" s="82"/>
      <c r="J35" s="114"/>
      <c r="K35" s="82"/>
    </row>
    <row r="37" spans="1:11" x14ac:dyDescent="0.35">
      <c r="B37" s="24" t="s">
        <v>194</v>
      </c>
      <c r="C37" s="80">
        <f>SUM(C7:C34)</f>
        <v>62309611.569999993</v>
      </c>
    </row>
    <row r="38" spans="1:11" x14ac:dyDescent="0.35">
      <c r="B38" s="24" t="s">
        <v>195</v>
      </c>
      <c r="C38" s="80">
        <f>2739000</f>
        <v>2739000</v>
      </c>
    </row>
    <row r="39" spans="1:11" x14ac:dyDescent="0.35">
      <c r="B39" s="24" t="s">
        <v>196</v>
      </c>
      <c r="C39" s="80">
        <v>400000</v>
      </c>
    </row>
    <row r="40" spans="1:11" ht="23.5" x14ac:dyDescent="0.35">
      <c r="B40" s="24" t="s">
        <v>193</v>
      </c>
      <c r="C40" s="260">
        <f>SUM(C37:C39)</f>
        <v>65448611.569999993</v>
      </c>
    </row>
  </sheetData>
  <autoFilter ref="A6:K34" xr:uid="{00000000-0009-0000-0000-000000000000}">
    <filterColumn colId="0">
      <filters>
        <filter val="Acquisition de climatiseurs"/>
      </filters>
    </filterColumn>
  </autoFilter>
  <mergeCells count="2">
    <mergeCell ref="A3:K3"/>
    <mergeCell ref="B4:K4"/>
  </mergeCells>
  <dataValidations count="1">
    <dataValidation type="list" allowBlank="1" showInputMessage="1" showErrorMessage="1" sqref="B19:B25 B11:B13" xr:uid="{00000000-0002-0000-0000-000000000000}">
      <formula1>"Travaux,Fournitures,Services,Etudes"</formula1>
    </dataValidation>
  </dataValidations>
  <pageMargins left="0.31496062992125984" right="0.15748031496062992" top="0.53" bottom="0.74803149606299213" header="0.31496062992125984" footer="0.31496062992125984"/>
  <pageSetup paperSize="9" scale="42" fitToHeight="0" orientation="landscape"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34"/>
  <sheetViews>
    <sheetView topLeftCell="A32" zoomScale="80" zoomScaleNormal="80" zoomScalePageLayoutView="60" workbookViewId="0">
      <selection activeCell="C35" sqref="C35"/>
    </sheetView>
  </sheetViews>
  <sheetFormatPr baseColWidth="10" defaultRowHeight="15.5" x14ac:dyDescent="0.35"/>
  <cols>
    <col min="1" max="1" width="79.08984375" style="32" customWidth="1"/>
    <col min="2" max="2" width="12.453125" style="33" bestFit="1" customWidth="1"/>
    <col min="3" max="3" width="25.36328125" style="34" customWidth="1"/>
    <col min="4" max="4" width="25.36328125" style="35" customWidth="1"/>
    <col min="5" max="5" width="13.453125" style="32" customWidth="1"/>
    <col min="6" max="6" width="13.90625" style="32" customWidth="1"/>
    <col min="7" max="7" width="39" style="32" customWidth="1"/>
    <col min="8" max="8" width="25.36328125" style="73" customWidth="1"/>
    <col min="9" max="9" width="93.36328125" style="32" customWidth="1"/>
  </cols>
  <sheetData>
    <row r="1" spans="1:32" x14ac:dyDescent="0.35">
      <c r="H1" s="36" t="s">
        <v>6</v>
      </c>
      <c r="I1" s="37">
        <v>2025</v>
      </c>
    </row>
    <row r="3" spans="1:32" x14ac:dyDescent="0.35">
      <c r="A3" s="231" t="s">
        <v>7</v>
      </c>
      <c r="B3" s="232"/>
      <c r="C3" s="231"/>
      <c r="D3" s="231"/>
      <c r="E3" s="231"/>
      <c r="F3" s="231"/>
      <c r="G3" s="231"/>
      <c r="H3" s="231"/>
      <c r="I3" s="231"/>
    </row>
    <row r="4" spans="1:32" x14ac:dyDescent="0.35">
      <c r="A4" s="38" t="s">
        <v>17</v>
      </c>
      <c r="B4" s="233"/>
      <c r="C4" s="234"/>
      <c r="D4" s="234"/>
      <c r="E4" s="234"/>
      <c r="F4" s="234"/>
      <c r="G4" s="234"/>
      <c r="H4" s="234"/>
      <c r="I4" s="234"/>
    </row>
    <row r="6" spans="1:32" ht="61.5" customHeight="1" x14ac:dyDescent="0.35">
      <c r="A6" s="39" t="s">
        <v>8</v>
      </c>
      <c r="B6" s="39" t="s">
        <v>0</v>
      </c>
      <c r="C6" s="40" t="s">
        <v>4</v>
      </c>
      <c r="D6" s="40" t="s">
        <v>33</v>
      </c>
      <c r="E6" s="39" t="s">
        <v>9</v>
      </c>
      <c r="F6" s="39" t="s">
        <v>3</v>
      </c>
      <c r="G6" s="39" t="s">
        <v>1</v>
      </c>
      <c r="H6" s="39" t="s">
        <v>5</v>
      </c>
      <c r="I6" s="41" t="s">
        <v>10</v>
      </c>
    </row>
    <row r="7" spans="1:32" s="50" customFormat="1" ht="83.4" customHeight="1" x14ac:dyDescent="0.35">
      <c r="A7" s="42" t="s">
        <v>34</v>
      </c>
      <c r="B7" s="43" t="s">
        <v>32</v>
      </c>
      <c r="C7" s="44">
        <v>150000</v>
      </c>
      <c r="D7" s="45" t="s">
        <v>70</v>
      </c>
      <c r="E7" s="46"/>
      <c r="F7" s="46" t="s">
        <v>36</v>
      </c>
      <c r="G7" s="47" t="s">
        <v>37</v>
      </c>
      <c r="H7" s="48" t="s">
        <v>38</v>
      </c>
      <c r="I7" s="49" t="s">
        <v>39</v>
      </c>
    </row>
    <row r="8" spans="1:32" ht="84" customHeight="1" x14ac:dyDescent="0.35">
      <c r="A8" s="42" t="s">
        <v>73</v>
      </c>
      <c r="B8" s="78" t="s">
        <v>32</v>
      </c>
      <c r="C8" s="44">
        <v>75000</v>
      </c>
      <c r="D8" s="57" t="s">
        <v>163</v>
      </c>
      <c r="E8" s="45" t="s">
        <v>58</v>
      </c>
      <c r="F8" s="46" t="s">
        <v>36</v>
      </c>
      <c r="G8" s="47" t="s">
        <v>59</v>
      </c>
      <c r="H8" s="61" t="s">
        <v>101</v>
      </c>
      <c r="I8" s="65" t="s">
        <v>60</v>
      </c>
      <c r="J8" s="66"/>
      <c r="K8" s="66"/>
      <c r="L8" s="66"/>
      <c r="M8" s="66"/>
      <c r="N8" s="66"/>
      <c r="O8" s="66"/>
      <c r="P8" s="66"/>
      <c r="Q8" s="66"/>
      <c r="R8" s="66"/>
      <c r="S8" s="66"/>
      <c r="T8" s="66"/>
      <c r="U8" s="66"/>
      <c r="V8" s="66"/>
      <c r="W8" s="66"/>
      <c r="X8" s="66"/>
      <c r="Y8" s="66"/>
      <c r="Z8" s="66"/>
      <c r="AA8" s="66"/>
      <c r="AB8" s="66"/>
      <c r="AC8" s="66"/>
      <c r="AD8" s="66"/>
      <c r="AE8" s="66"/>
      <c r="AF8" s="66"/>
    </row>
    <row r="9" spans="1:32" ht="84" customHeight="1" x14ac:dyDescent="0.35">
      <c r="A9" s="177" t="s">
        <v>160</v>
      </c>
      <c r="B9" s="178" t="s">
        <v>32</v>
      </c>
      <c r="C9" s="179">
        <v>125000</v>
      </c>
      <c r="D9" s="180" t="s">
        <v>163</v>
      </c>
      <c r="E9" s="181" t="s">
        <v>58</v>
      </c>
      <c r="F9" s="182" t="s">
        <v>96</v>
      </c>
      <c r="G9" s="183" t="s">
        <v>161</v>
      </c>
      <c r="H9" s="182" t="s">
        <v>101</v>
      </c>
      <c r="I9" s="184" t="s">
        <v>162</v>
      </c>
      <c r="J9" s="66"/>
      <c r="K9" s="66"/>
      <c r="L9" s="66"/>
      <c r="M9" s="66"/>
      <c r="N9" s="66"/>
      <c r="O9" s="66"/>
      <c r="P9" s="66"/>
      <c r="Q9" s="66"/>
      <c r="R9" s="66"/>
      <c r="S9" s="66"/>
      <c r="T9" s="66"/>
      <c r="U9" s="66"/>
      <c r="V9" s="66"/>
      <c r="W9" s="66"/>
      <c r="X9" s="66"/>
      <c r="Y9" s="66"/>
      <c r="Z9" s="66"/>
      <c r="AA9" s="66"/>
      <c r="AB9" s="66"/>
      <c r="AC9" s="66"/>
      <c r="AD9" s="66"/>
      <c r="AE9" s="66"/>
      <c r="AF9" s="66"/>
    </row>
    <row r="10" spans="1:32" ht="84" customHeight="1" x14ac:dyDescent="0.35">
      <c r="A10" s="42" t="s">
        <v>74</v>
      </c>
      <c r="B10" s="78" t="s">
        <v>32</v>
      </c>
      <c r="C10" s="44">
        <v>100200</v>
      </c>
      <c r="D10" s="57" t="s">
        <v>57</v>
      </c>
      <c r="E10" s="45" t="s">
        <v>58</v>
      </c>
      <c r="F10" s="46" t="s">
        <v>36</v>
      </c>
      <c r="G10" s="47" t="s">
        <v>59</v>
      </c>
      <c r="H10" s="61" t="s">
        <v>101</v>
      </c>
      <c r="I10" s="65" t="s">
        <v>60</v>
      </c>
      <c r="J10" s="66"/>
      <c r="K10" s="66"/>
      <c r="L10" s="66"/>
      <c r="M10" s="66"/>
      <c r="N10" s="66"/>
      <c r="O10" s="66"/>
      <c r="P10" s="66"/>
      <c r="Q10" s="66"/>
      <c r="R10" s="66"/>
      <c r="S10" s="66"/>
      <c r="T10" s="66"/>
      <c r="U10" s="66"/>
      <c r="V10" s="66"/>
      <c r="W10" s="66"/>
      <c r="X10" s="66"/>
      <c r="Y10" s="66"/>
      <c r="Z10" s="66"/>
      <c r="AA10" s="66"/>
      <c r="AB10" s="66"/>
      <c r="AC10" s="66"/>
      <c r="AD10" s="66"/>
      <c r="AE10" s="66"/>
      <c r="AF10" s="66"/>
    </row>
    <row r="11" spans="1:32" ht="84" customHeight="1" x14ac:dyDescent="0.35">
      <c r="A11" s="191" t="s">
        <v>180</v>
      </c>
      <c r="B11" s="197" t="s">
        <v>32</v>
      </c>
      <c r="C11" s="198">
        <v>37800</v>
      </c>
      <c r="D11" s="199" t="s">
        <v>57</v>
      </c>
      <c r="E11" s="200"/>
      <c r="F11" s="201" t="s">
        <v>97</v>
      </c>
      <c r="G11" s="202" t="s">
        <v>181</v>
      </c>
      <c r="H11" s="201" t="s">
        <v>101</v>
      </c>
      <c r="I11" s="203"/>
      <c r="J11" s="66"/>
      <c r="K11" s="66"/>
      <c r="L11" s="66"/>
      <c r="M11" s="66"/>
      <c r="N11" s="66"/>
      <c r="O11" s="66"/>
      <c r="P11" s="66"/>
      <c r="Q11" s="66"/>
      <c r="R11" s="66"/>
      <c r="S11" s="66"/>
      <c r="T11" s="66"/>
      <c r="U11" s="66"/>
      <c r="V11" s="66"/>
      <c r="W11" s="66"/>
      <c r="X11" s="66"/>
      <c r="Y11" s="66"/>
      <c r="Z11" s="66"/>
      <c r="AA11" s="66"/>
      <c r="AB11" s="66"/>
      <c r="AC11" s="66"/>
      <c r="AD11" s="66"/>
      <c r="AE11" s="66"/>
      <c r="AF11" s="66"/>
    </row>
    <row r="12" spans="1:32" ht="84" customHeight="1" x14ac:dyDescent="0.35">
      <c r="A12" s="220" t="s">
        <v>182</v>
      </c>
      <c r="B12" s="178" t="s">
        <v>32</v>
      </c>
      <c r="C12" s="179">
        <v>14000</v>
      </c>
      <c r="D12" s="180" t="s">
        <v>57</v>
      </c>
      <c r="E12" s="181"/>
      <c r="F12" s="182" t="s">
        <v>97</v>
      </c>
      <c r="G12" s="183" t="s">
        <v>183</v>
      </c>
      <c r="H12" s="182" t="s">
        <v>101</v>
      </c>
      <c r="I12" s="184"/>
      <c r="J12" s="66"/>
      <c r="K12" s="66"/>
      <c r="L12" s="66"/>
      <c r="M12" s="66"/>
      <c r="N12" s="66"/>
      <c r="O12" s="66"/>
      <c r="P12" s="66"/>
      <c r="Q12" s="66"/>
      <c r="R12" s="66"/>
      <c r="S12" s="66"/>
      <c r="T12" s="66"/>
      <c r="U12" s="66"/>
      <c r="V12" s="66"/>
      <c r="W12" s="66"/>
      <c r="X12" s="66"/>
      <c r="Y12" s="66"/>
      <c r="Z12" s="66"/>
      <c r="AA12" s="66"/>
      <c r="AB12" s="66"/>
      <c r="AC12" s="66"/>
      <c r="AD12" s="66"/>
      <c r="AE12" s="66"/>
      <c r="AF12" s="66"/>
    </row>
    <row r="13" spans="1:32" ht="84" customHeight="1" x14ac:dyDescent="0.35">
      <c r="A13" s="195" t="s">
        <v>186</v>
      </c>
      <c r="B13" s="204" t="s">
        <v>32</v>
      </c>
      <c r="C13" s="205">
        <v>48000</v>
      </c>
      <c r="D13" s="196" t="s">
        <v>57</v>
      </c>
      <c r="E13" s="206"/>
      <c r="F13" s="207" t="s">
        <v>97</v>
      </c>
      <c r="G13" s="208" t="s">
        <v>187</v>
      </c>
      <c r="H13" s="207" t="s">
        <v>101</v>
      </c>
      <c r="I13" s="209"/>
      <c r="J13" s="66"/>
      <c r="K13" s="66"/>
      <c r="L13" s="66"/>
      <c r="M13" s="66"/>
      <c r="N13" s="66"/>
      <c r="O13" s="66"/>
      <c r="P13" s="66"/>
      <c r="Q13" s="66"/>
      <c r="R13" s="66"/>
      <c r="S13" s="66"/>
      <c r="T13" s="66"/>
      <c r="U13" s="66"/>
      <c r="V13" s="66"/>
      <c r="W13" s="66"/>
      <c r="X13" s="66"/>
      <c r="Y13" s="66"/>
      <c r="Z13" s="66"/>
      <c r="AA13" s="66"/>
      <c r="AB13" s="66"/>
      <c r="AC13" s="66"/>
      <c r="AD13" s="66"/>
      <c r="AE13" s="66"/>
      <c r="AF13" s="66"/>
    </row>
    <row r="14" spans="1:32" ht="84" customHeight="1" x14ac:dyDescent="0.35">
      <c r="A14" s="42" t="s">
        <v>25</v>
      </c>
      <c r="B14" s="59" t="s">
        <v>30</v>
      </c>
      <c r="C14" s="44">
        <v>200000</v>
      </c>
      <c r="D14" s="57" t="s">
        <v>70</v>
      </c>
      <c r="E14" s="45" t="s">
        <v>58</v>
      </c>
      <c r="F14" s="46" t="s">
        <v>36</v>
      </c>
      <c r="G14" s="47" t="s">
        <v>61</v>
      </c>
      <c r="H14" s="61" t="s">
        <v>101</v>
      </c>
      <c r="I14" s="49" t="s">
        <v>62</v>
      </c>
      <c r="J14" s="66"/>
      <c r="K14" s="66"/>
      <c r="L14" s="66"/>
      <c r="M14" s="66"/>
      <c r="N14" s="66"/>
      <c r="O14" s="66"/>
      <c r="P14" s="66"/>
      <c r="Q14" s="66"/>
      <c r="R14" s="66"/>
      <c r="S14" s="66"/>
      <c r="T14" s="66"/>
      <c r="U14" s="66"/>
      <c r="V14" s="66"/>
      <c r="W14" s="66"/>
      <c r="X14" s="66"/>
      <c r="Y14" s="66"/>
      <c r="Z14" s="66"/>
      <c r="AA14" s="66"/>
      <c r="AB14" s="66"/>
      <c r="AC14" s="66"/>
      <c r="AD14" s="66"/>
      <c r="AE14" s="66"/>
      <c r="AF14" s="66"/>
    </row>
    <row r="15" spans="1:32" ht="84" customHeight="1" x14ac:dyDescent="0.35">
      <c r="A15" s="67" t="s">
        <v>26</v>
      </c>
      <c r="B15" s="68" t="s">
        <v>30</v>
      </c>
      <c r="C15" s="69">
        <v>100000</v>
      </c>
      <c r="D15" s="57" t="s">
        <v>70</v>
      </c>
      <c r="E15" s="70" t="s">
        <v>58</v>
      </c>
      <c r="F15" s="46" t="s">
        <v>36</v>
      </c>
      <c r="G15" s="71" t="s">
        <v>59</v>
      </c>
      <c r="H15" s="61" t="s">
        <v>101</v>
      </c>
      <c r="I15" s="72" t="s">
        <v>68</v>
      </c>
      <c r="J15" s="66"/>
      <c r="K15" s="66"/>
      <c r="L15" s="66"/>
      <c r="M15" s="66"/>
      <c r="N15" s="66"/>
      <c r="O15" s="66"/>
      <c r="P15" s="66"/>
      <c r="Q15" s="66"/>
      <c r="R15" s="66"/>
      <c r="S15" s="66"/>
      <c r="T15" s="66"/>
      <c r="U15" s="66"/>
      <c r="V15" s="66"/>
      <c r="W15" s="66"/>
      <c r="X15" s="66"/>
      <c r="Y15" s="66"/>
      <c r="Z15" s="66"/>
      <c r="AA15" s="66"/>
      <c r="AB15" s="66"/>
      <c r="AC15" s="66"/>
      <c r="AD15" s="66"/>
      <c r="AE15" s="66"/>
      <c r="AF15" s="66"/>
    </row>
    <row r="16" spans="1:32" ht="84" customHeight="1" x14ac:dyDescent="0.35">
      <c r="A16" s="67" t="s">
        <v>27</v>
      </c>
      <c r="B16" s="68" t="s">
        <v>32</v>
      </c>
      <c r="C16" s="69">
        <v>200000</v>
      </c>
      <c r="D16" s="68" t="s">
        <v>70</v>
      </c>
      <c r="E16" s="70" t="s">
        <v>58</v>
      </c>
      <c r="F16" s="46" t="s">
        <v>36</v>
      </c>
      <c r="G16" s="46" t="s">
        <v>59</v>
      </c>
      <c r="H16" s="61" t="s">
        <v>101</v>
      </c>
      <c r="I16" s="72" t="s">
        <v>68</v>
      </c>
      <c r="J16" s="66"/>
      <c r="K16" s="66"/>
      <c r="L16" s="66"/>
      <c r="M16" s="66"/>
      <c r="N16" s="66"/>
      <c r="O16" s="66"/>
      <c r="P16" s="66"/>
      <c r="Q16" s="66"/>
      <c r="R16" s="66"/>
      <c r="S16" s="66"/>
      <c r="T16" s="66"/>
      <c r="U16" s="66"/>
      <c r="V16" s="66"/>
      <c r="W16" s="66"/>
      <c r="X16" s="66"/>
      <c r="Y16" s="66"/>
      <c r="Z16" s="66"/>
      <c r="AA16" s="66"/>
      <c r="AB16" s="66"/>
      <c r="AC16" s="66"/>
      <c r="AD16" s="66"/>
      <c r="AE16" s="66"/>
      <c r="AF16" s="66"/>
    </row>
    <row r="17" spans="1:32" ht="84" customHeight="1" x14ac:dyDescent="0.35">
      <c r="A17" s="42" t="s">
        <v>28</v>
      </c>
      <c r="B17" s="59" t="s">
        <v>32</v>
      </c>
      <c r="C17" s="44">
        <v>200000</v>
      </c>
      <c r="D17" s="68" t="s">
        <v>70</v>
      </c>
      <c r="E17" s="45" t="s">
        <v>58</v>
      </c>
      <c r="F17" s="46" t="s">
        <v>36</v>
      </c>
      <c r="G17" s="47" t="s">
        <v>59</v>
      </c>
      <c r="H17" s="61" t="s">
        <v>101</v>
      </c>
      <c r="I17" s="72" t="s">
        <v>68</v>
      </c>
      <c r="J17" s="66"/>
      <c r="K17" s="66"/>
      <c r="L17" s="66"/>
      <c r="M17" s="66"/>
      <c r="N17" s="66"/>
      <c r="O17" s="66"/>
      <c r="P17" s="66"/>
      <c r="Q17" s="66"/>
      <c r="R17" s="66"/>
      <c r="S17" s="66"/>
      <c r="T17" s="66"/>
      <c r="U17" s="66"/>
      <c r="V17" s="66"/>
      <c r="W17" s="66"/>
      <c r="X17" s="66"/>
      <c r="Y17" s="66"/>
      <c r="Z17" s="66"/>
      <c r="AA17" s="66"/>
      <c r="AB17" s="66"/>
      <c r="AC17" s="66"/>
      <c r="AD17" s="66"/>
      <c r="AE17" s="66"/>
      <c r="AF17" s="66"/>
    </row>
    <row r="18" spans="1:32" ht="114" customHeight="1" thickBot="1" x14ac:dyDescent="0.4">
      <c r="A18" s="67" t="s">
        <v>66</v>
      </c>
      <c r="B18" s="68" t="s">
        <v>30</v>
      </c>
      <c r="C18" s="69">
        <v>100000</v>
      </c>
      <c r="D18" s="60" t="s">
        <v>75</v>
      </c>
      <c r="E18" s="70" t="s">
        <v>58</v>
      </c>
      <c r="F18" s="46" t="s">
        <v>67</v>
      </c>
      <c r="G18" s="71" t="s">
        <v>64</v>
      </c>
      <c r="H18" s="61" t="s">
        <v>101</v>
      </c>
      <c r="I18" s="72" t="s">
        <v>65</v>
      </c>
      <c r="J18" s="66"/>
      <c r="K18" s="66"/>
      <c r="L18" s="66"/>
      <c r="M18" s="66"/>
      <c r="N18" s="66"/>
      <c r="O18" s="66"/>
      <c r="P18" s="66"/>
      <c r="Q18" s="66"/>
      <c r="R18" s="66"/>
      <c r="S18" s="66"/>
      <c r="T18" s="66"/>
      <c r="U18" s="66"/>
      <c r="V18" s="66"/>
      <c r="W18" s="66"/>
      <c r="X18" s="66"/>
      <c r="Y18" s="66"/>
      <c r="Z18" s="66"/>
      <c r="AA18" s="66"/>
      <c r="AB18" s="66"/>
      <c r="AC18" s="66"/>
      <c r="AD18" s="66"/>
      <c r="AE18" s="66"/>
      <c r="AF18" s="66"/>
    </row>
    <row r="19" spans="1:32" s="50" customFormat="1" ht="85.25" customHeight="1" thickBot="1" x14ac:dyDescent="0.4">
      <c r="A19" s="77" t="s">
        <v>71</v>
      </c>
      <c r="B19" s="94" t="s">
        <v>31</v>
      </c>
      <c r="C19" s="95">
        <v>200000</v>
      </c>
      <c r="D19" s="45" t="s">
        <v>40</v>
      </c>
      <c r="E19" s="74" t="s">
        <v>53</v>
      </c>
      <c r="F19" s="75" t="s">
        <v>36</v>
      </c>
      <c r="G19" s="76" t="s">
        <v>72</v>
      </c>
      <c r="H19" s="48" t="s">
        <v>38</v>
      </c>
      <c r="I19" s="53" t="s">
        <v>41</v>
      </c>
    </row>
    <row r="20" spans="1:32" s="50" customFormat="1" ht="85.25" customHeight="1" x14ac:dyDescent="0.35">
      <c r="A20" s="54" t="s">
        <v>45</v>
      </c>
      <c r="B20" s="51" t="s">
        <v>30</v>
      </c>
      <c r="C20" s="52">
        <v>110024</v>
      </c>
      <c r="D20" s="45" t="s">
        <v>42</v>
      </c>
      <c r="E20" s="46"/>
      <c r="F20" s="46" t="s">
        <v>46</v>
      </c>
      <c r="G20" s="47" t="s">
        <v>43</v>
      </c>
      <c r="H20" s="48" t="s">
        <v>38</v>
      </c>
      <c r="I20" s="46" t="s">
        <v>44</v>
      </c>
    </row>
    <row r="21" spans="1:32" s="50" customFormat="1" ht="85.25" customHeight="1" x14ac:dyDescent="0.35">
      <c r="A21" s="192" t="s">
        <v>184</v>
      </c>
      <c r="B21" s="193" t="s">
        <v>30</v>
      </c>
      <c r="C21" s="179">
        <v>89976</v>
      </c>
      <c r="D21" s="181" t="s">
        <v>42</v>
      </c>
      <c r="E21" s="182"/>
      <c r="F21" s="182" t="s">
        <v>97</v>
      </c>
      <c r="G21" s="183" t="s">
        <v>185</v>
      </c>
      <c r="H21" s="194" t="s">
        <v>38</v>
      </c>
      <c r="I21" s="182"/>
    </row>
    <row r="22" spans="1:32" s="50" customFormat="1" ht="85.25" customHeight="1" x14ac:dyDescent="0.35">
      <c r="A22" s="42" t="s">
        <v>159</v>
      </c>
      <c r="B22" s="55" t="s">
        <v>48</v>
      </c>
      <c r="C22" s="56">
        <v>14800</v>
      </c>
      <c r="D22" s="45" t="s">
        <v>35</v>
      </c>
      <c r="E22" s="46"/>
      <c r="F22" s="46" t="s">
        <v>36</v>
      </c>
      <c r="G22" s="47" t="s">
        <v>49</v>
      </c>
      <c r="H22" s="48" t="s">
        <v>38</v>
      </c>
      <c r="I22" s="46" t="s">
        <v>44</v>
      </c>
    </row>
    <row r="23" spans="1:32" s="50" customFormat="1" ht="85.25" customHeight="1" x14ac:dyDescent="0.35">
      <c r="A23" s="218" t="s">
        <v>189</v>
      </c>
      <c r="B23" s="185" t="s">
        <v>48</v>
      </c>
      <c r="C23" s="186">
        <v>19200</v>
      </c>
      <c r="D23" s="187" t="s">
        <v>35</v>
      </c>
      <c r="E23" s="188"/>
      <c r="F23" s="188" t="s">
        <v>97</v>
      </c>
      <c r="G23" s="189" t="s">
        <v>178</v>
      </c>
      <c r="H23" s="190" t="s">
        <v>38</v>
      </c>
      <c r="I23" s="188" t="s">
        <v>179</v>
      </c>
    </row>
    <row r="24" spans="1:32" s="50" customFormat="1" ht="85.25" customHeight="1" x14ac:dyDescent="0.35">
      <c r="A24" s="217" t="s">
        <v>188</v>
      </c>
      <c r="B24" s="185" t="s">
        <v>48</v>
      </c>
      <c r="C24" s="186">
        <v>55000</v>
      </c>
      <c r="D24" s="187" t="s">
        <v>35</v>
      </c>
      <c r="E24" s="188"/>
      <c r="F24" s="188" t="s">
        <v>97</v>
      </c>
      <c r="G24" s="189"/>
      <c r="H24" s="190"/>
      <c r="I24" s="188"/>
    </row>
    <row r="25" spans="1:32" s="50" customFormat="1" ht="85.25" customHeight="1" x14ac:dyDescent="0.35">
      <c r="A25" s="42" t="s">
        <v>51</v>
      </c>
      <c r="B25" s="55" t="s">
        <v>48</v>
      </c>
      <c r="C25" s="56">
        <v>20000</v>
      </c>
      <c r="D25" s="57" t="s">
        <v>50</v>
      </c>
      <c r="E25" s="46"/>
      <c r="F25" s="46" t="s">
        <v>36</v>
      </c>
      <c r="G25" s="47" t="s">
        <v>49</v>
      </c>
      <c r="H25" s="48" t="s">
        <v>38</v>
      </c>
      <c r="I25" s="46" t="s">
        <v>44</v>
      </c>
    </row>
    <row r="26" spans="1:32" s="64" customFormat="1" ht="84" customHeight="1" x14ac:dyDescent="0.35">
      <c r="A26" s="58" t="s">
        <v>52</v>
      </c>
      <c r="B26" s="59" t="s">
        <v>30</v>
      </c>
      <c r="C26" s="96">
        <v>200000</v>
      </c>
      <c r="D26" s="60" t="s">
        <v>42</v>
      </c>
      <c r="E26" s="61" t="s">
        <v>53</v>
      </c>
      <c r="F26" s="62" t="s">
        <v>54</v>
      </c>
      <c r="G26" s="62" t="s">
        <v>55</v>
      </c>
      <c r="H26" s="61" t="s">
        <v>101</v>
      </c>
      <c r="I26" s="63" t="s">
        <v>56</v>
      </c>
    </row>
    <row r="27" spans="1:32" ht="114" customHeight="1" x14ac:dyDescent="0.35">
      <c r="A27" s="67" t="s">
        <v>63</v>
      </c>
      <c r="B27" s="68" t="s">
        <v>30</v>
      </c>
      <c r="C27" s="69">
        <v>280000</v>
      </c>
      <c r="D27" s="60" t="s">
        <v>42</v>
      </c>
      <c r="E27" s="70" t="s">
        <v>58</v>
      </c>
      <c r="F27" s="46" t="s">
        <v>36</v>
      </c>
      <c r="G27" s="71" t="s">
        <v>64</v>
      </c>
      <c r="H27" s="61" t="s">
        <v>101</v>
      </c>
      <c r="I27" s="72" t="s">
        <v>65</v>
      </c>
      <c r="J27" s="66"/>
      <c r="K27" s="66"/>
      <c r="L27" s="66"/>
      <c r="M27" s="66"/>
      <c r="N27" s="66"/>
      <c r="O27" s="66"/>
      <c r="P27" s="66"/>
      <c r="Q27" s="66"/>
      <c r="R27" s="66"/>
      <c r="S27" s="66"/>
      <c r="T27" s="66"/>
      <c r="U27" s="66"/>
      <c r="V27" s="66"/>
      <c r="W27" s="66"/>
      <c r="X27" s="66"/>
      <c r="Y27" s="66"/>
      <c r="Z27" s="66"/>
      <c r="AA27" s="66"/>
      <c r="AB27" s="66"/>
      <c r="AC27" s="66"/>
      <c r="AD27" s="66"/>
      <c r="AE27" s="66"/>
      <c r="AF27" s="66"/>
    </row>
    <row r="28" spans="1:32" ht="84" customHeight="1" x14ac:dyDescent="0.35">
      <c r="A28" s="42" t="s">
        <v>69</v>
      </c>
      <c r="B28" s="97" t="s">
        <v>32</v>
      </c>
      <c r="C28" s="56">
        <v>100000</v>
      </c>
      <c r="D28" s="57" t="s">
        <v>57</v>
      </c>
      <c r="E28" s="45" t="s">
        <v>58</v>
      </c>
      <c r="F28" s="46" t="s">
        <v>36</v>
      </c>
      <c r="G28" s="47" t="s">
        <v>59</v>
      </c>
      <c r="H28" s="61" t="s">
        <v>101</v>
      </c>
      <c r="I28" s="72" t="s">
        <v>68</v>
      </c>
      <c r="J28" s="66"/>
      <c r="K28" s="66"/>
      <c r="L28" s="66"/>
      <c r="M28" s="66"/>
      <c r="N28" s="66"/>
      <c r="O28" s="66"/>
      <c r="P28" s="66"/>
      <c r="Q28" s="66"/>
      <c r="R28" s="66"/>
      <c r="S28" s="66"/>
      <c r="T28" s="66"/>
      <c r="U28" s="66"/>
      <c r="V28" s="66"/>
      <c r="W28" s="66"/>
      <c r="X28" s="66"/>
      <c r="Y28" s="66"/>
      <c r="Z28" s="66"/>
      <c r="AA28" s="66"/>
      <c r="AB28" s="66"/>
      <c r="AC28" s="66"/>
      <c r="AD28" s="66"/>
      <c r="AE28" s="66"/>
      <c r="AF28" s="66"/>
    </row>
    <row r="29" spans="1:32" ht="84" customHeight="1" x14ac:dyDescent="0.35">
      <c r="A29" s="42" t="s">
        <v>136</v>
      </c>
      <c r="B29" s="97" t="s">
        <v>32</v>
      </c>
      <c r="C29" s="34">
        <v>100000</v>
      </c>
      <c r="D29" s="57" t="s">
        <v>57</v>
      </c>
      <c r="E29" s="45" t="s">
        <v>113</v>
      </c>
      <c r="F29" s="46" t="s">
        <v>67</v>
      </c>
      <c r="G29" s="47" t="s">
        <v>133</v>
      </c>
      <c r="H29" s="61" t="s">
        <v>101</v>
      </c>
      <c r="I29" s="72" t="s">
        <v>68</v>
      </c>
      <c r="J29" s="66"/>
      <c r="K29" s="66"/>
      <c r="L29" s="66"/>
      <c r="M29" s="66"/>
      <c r="N29" s="66"/>
      <c r="O29" s="66"/>
      <c r="P29" s="66"/>
      <c r="Q29" s="66"/>
      <c r="R29" s="66"/>
      <c r="S29" s="66"/>
      <c r="T29" s="66"/>
      <c r="U29" s="66"/>
      <c r="V29" s="66"/>
      <c r="W29" s="66"/>
      <c r="X29" s="66"/>
      <c r="Y29" s="66"/>
      <c r="Z29" s="66"/>
      <c r="AA29" s="66"/>
      <c r="AB29" s="66"/>
      <c r="AC29" s="66"/>
      <c r="AD29" s="66"/>
      <c r="AE29" s="66"/>
      <c r="AF29" s="66"/>
    </row>
    <row r="30" spans="1:32" ht="84" customHeight="1" x14ac:dyDescent="0.35">
      <c r="A30" s="30" t="s">
        <v>150</v>
      </c>
      <c r="B30" s="97" t="s">
        <v>30</v>
      </c>
      <c r="C30" s="34">
        <v>100000</v>
      </c>
      <c r="D30" s="57" t="s">
        <v>42</v>
      </c>
      <c r="E30" s="45" t="s">
        <v>151</v>
      </c>
      <c r="F30" s="46" t="s">
        <v>54</v>
      </c>
      <c r="G30" s="47" t="s">
        <v>133</v>
      </c>
      <c r="H30" s="61" t="s">
        <v>38</v>
      </c>
      <c r="I30" s="72" t="s">
        <v>152</v>
      </c>
      <c r="J30" s="66"/>
      <c r="K30" s="66"/>
      <c r="L30" s="66"/>
      <c r="M30" s="66"/>
      <c r="N30" s="66"/>
      <c r="O30" s="66"/>
      <c r="P30" s="66"/>
      <c r="Q30" s="66"/>
      <c r="R30" s="66"/>
      <c r="S30" s="66"/>
      <c r="T30" s="66"/>
      <c r="U30" s="66"/>
      <c r="V30" s="66"/>
      <c r="W30" s="66"/>
      <c r="X30" s="66"/>
      <c r="Y30" s="66"/>
      <c r="Z30" s="66"/>
      <c r="AA30" s="66"/>
      <c r="AB30" s="66"/>
      <c r="AC30" s="66"/>
      <c r="AD30" s="66"/>
      <c r="AE30" s="66"/>
      <c r="AF30" s="66"/>
    </row>
    <row r="31" spans="1:32" ht="84" customHeight="1" x14ac:dyDescent="0.35">
      <c r="A31" s="30" t="s">
        <v>153</v>
      </c>
      <c r="B31" s="97" t="s">
        <v>30</v>
      </c>
      <c r="C31" s="56">
        <v>100000</v>
      </c>
      <c r="D31" s="57" t="s">
        <v>42</v>
      </c>
      <c r="E31" s="45" t="s">
        <v>154</v>
      </c>
      <c r="F31" s="46" t="s">
        <v>54</v>
      </c>
      <c r="G31" s="47" t="s">
        <v>133</v>
      </c>
      <c r="H31" s="61" t="s">
        <v>38</v>
      </c>
      <c r="I31" s="72" t="s">
        <v>155</v>
      </c>
      <c r="J31" s="66"/>
      <c r="K31" s="66"/>
      <c r="L31" s="66"/>
      <c r="M31" s="66"/>
      <c r="N31" s="66"/>
      <c r="O31" s="66"/>
      <c r="P31" s="66"/>
      <c r="Q31" s="66"/>
      <c r="R31" s="66"/>
      <c r="S31" s="66"/>
      <c r="T31" s="66"/>
      <c r="U31" s="66"/>
      <c r="V31" s="66"/>
      <c r="W31" s="66"/>
      <c r="X31" s="66"/>
      <c r="Y31" s="66"/>
      <c r="Z31" s="66"/>
      <c r="AA31" s="66"/>
      <c r="AB31" s="66"/>
      <c r="AC31" s="66"/>
      <c r="AD31" s="66"/>
      <c r="AE31" s="66"/>
      <c r="AF31" s="66"/>
    </row>
    <row r="34" spans="2:3" x14ac:dyDescent="0.35">
      <c r="B34" s="33" t="s">
        <v>193</v>
      </c>
      <c r="C34" s="34">
        <f>SUM(C7:C31)</f>
        <v>2739000</v>
      </c>
    </row>
  </sheetData>
  <autoFilter ref="A6:I31" xr:uid="{00000000-0009-0000-0000-000001000000}"/>
  <mergeCells count="2">
    <mergeCell ref="A3:I3"/>
    <mergeCell ref="B4:I4"/>
  </mergeCells>
  <dataValidations count="1">
    <dataValidation type="list" allowBlank="1" showInputMessage="1" showErrorMessage="1" sqref="B26:B27 B18:B19 B7:B16" xr:uid="{00000000-0002-0000-0100-000000000000}">
      <formula1>"Travaux,Fournitures,Services,Etudes"</formula1>
    </dataValidation>
  </dataValidations>
  <pageMargins left="0.70866141732283472" right="0.70866141732283472" top="0.98425196850393704" bottom="0.39370078740157483" header="0.70866141732283472" footer="0.19685039370078741"/>
  <pageSetup paperSize="9" scale="40" fitToHeight="0" orientation="landscape" r:id="rId1"/>
  <headerFooter>
    <oddFooter>&amp;R&amp;14&amp;P/&amp;N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zoomScale="75" zoomScaleNormal="75" zoomScalePageLayoutView="200" workbookViewId="0">
      <selection activeCell="C9" sqref="C9"/>
    </sheetView>
  </sheetViews>
  <sheetFormatPr baseColWidth="10" defaultRowHeight="14.5" x14ac:dyDescent="0.35"/>
  <cols>
    <col min="1" max="1" width="82" bestFit="1" customWidth="1"/>
    <col min="2" max="2" width="14.453125" bestFit="1" customWidth="1"/>
    <col min="3" max="3" width="16.90625" bestFit="1" customWidth="1"/>
    <col min="4" max="5" width="12" bestFit="1" customWidth="1"/>
    <col min="6" max="6" width="36" bestFit="1" customWidth="1"/>
    <col min="7" max="7" width="16.08984375" bestFit="1" customWidth="1"/>
    <col min="8" max="8" width="50.54296875" bestFit="1" customWidth="1"/>
  </cols>
  <sheetData>
    <row r="1" spans="1:8" x14ac:dyDescent="0.35">
      <c r="G1" s="6" t="s">
        <v>6</v>
      </c>
      <c r="H1" s="29">
        <v>2026</v>
      </c>
    </row>
    <row r="3" spans="1:8" ht="15.5" x14ac:dyDescent="0.35">
      <c r="A3" s="238" t="s">
        <v>7</v>
      </c>
      <c r="B3" s="239"/>
      <c r="C3" s="239"/>
      <c r="D3" s="239"/>
      <c r="E3" s="239"/>
      <c r="F3" s="239"/>
      <c r="G3" s="239"/>
      <c r="H3" s="240"/>
    </row>
    <row r="4" spans="1:8" x14ac:dyDescent="0.35">
      <c r="A4" s="5" t="s">
        <v>17</v>
      </c>
      <c r="B4" s="235"/>
      <c r="C4" s="236"/>
      <c r="D4" s="236"/>
      <c r="E4" s="236"/>
      <c r="F4" s="236"/>
      <c r="G4" s="236"/>
      <c r="H4" s="237"/>
    </row>
    <row r="6" spans="1:8" ht="29" x14ac:dyDescent="0.35">
      <c r="A6" s="8" t="s">
        <v>8</v>
      </c>
      <c r="B6" s="8" t="s">
        <v>0</v>
      </c>
      <c r="C6" s="8" t="s">
        <v>4</v>
      </c>
      <c r="D6" s="8" t="s">
        <v>0</v>
      </c>
      <c r="E6" s="8" t="s">
        <v>9</v>
      </c>
      <c r="F6" s="8" t="s">
        <v>1</v>
      </c>
      <c r="G6" s="8" t="s">
        <v>5</v>
      </c>
      <c r="H6" s="3" t="s">
        <v>10</v>
      </c>
    </row>
    <row r="7" spans="1:8" ht="72.5" x14ac:dyDescent="0.35">
      <c r="A7" s="30" t="s">
        <v>29</v>
      </c>
      <c r="B7" s="2" t="s">
        <v>50</v>
      </c>
      <c r="C7" s="21">
        <v>400000</v>
      </c>
      <c r="D7" s="2" t="s">
        <v>50</v>
      </c>
      <c r="E7" s="10">
        <v>2026</v>
      </c>
      <c r="F7" s="10" t="s">
        <v>76</v>
      </c>
      <c r="G7" s="10" t="s">
        <v>38</v>
      </c>
      <c r="H7" s="79" t="s">
        <v>77</v>
      </c>
    </row>
    <row r="8" spans="1:8" x14ac:dyDescent="0.35">
      <c r="A8" s="10"/>
      <c r="B8" s="2"/>
      <c r="C8" s="21"/>
      <c r="D8" s="10"/>
      <c r="E8" s="9"/>
      <c r="F8" s="9"/>
      <c r="G8" s="10"/>
      <c r="H8" s="22"/>
    </row>
    <row r="9" spans="1:8" ht="18" customHeight="1" x14ac:dyDescent="0.35">
      <c r="F9" s="28"/>
    </row>
  </sheetData>
  <mergeCells count="2">
    <mergeCell ref="B4:H4"/>
    <mergeCell ref="A3:H3"/>
  </mergeCell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
  <sheetViews>
    <sheetView topLeftCell="A7" zoomScale="84" zoomScaleNormal="84" workbookViewId="0">
      <selection activeCell="A4" sqref="A4:B4"/>
    </sheetView>
  </sheetViews>
  <sheetFormatPr baseColWidth="10" defaultRowHeight="14.5" x14ac:dyDescent="0.35"/>
  <cols>
    <col min="1" max="1" width="36.453125" customWidth="1"/>
    <col min="2" max="2" width="14.08984375" customWidth="1"/>
    <col min="3" max="3" width="21.90625" customWidth="1"/>
    <col min="4" max="4" width="20.54296875" customWidth="1"/>
    <col min="5" max="5" width="10.453125" customWidth="1"/>
    <col min="6" max="6" width="11.453125" customWidth="1"/>
    <col min="7" max="7" width="7.453125" customWidth="1"/>
    <col min="8" max="8" width="15" customWidth="1"/>
    <col min="9" max="9" width="15.54296875" customWidth="1"/>
    <col min="10" max="10" width="14.453125" customWidth="1"/>
    <col min="13" max="13" width="15" customWidth="1"/>
    <col min="14" max="14" width="21.08984375" customWidth="1"/>
  </cols>
  <sheetData>
    <row r="1" spans="1:14" x14ac:dyDescent="0.35">
      <c r="J1" s="6" t="s">
        <v>6</v>
      </c>
      <c r="K1" s="4">
        <v>2026</v>
      </c>
    </row>
    <row r="3" spans="1:14" ht="15.5" x14ac:dyDescent="0.35">
      <c r="A3" s="227" t="s">
        <v>7</v>
      </c>
      <c r="B3" s="228"/>
      <c r="C3" s="228"/>
      <c r="D3" s="228"/>
      <c r="E3" s="228"/>
      <c r="F3" s="228"/>
      <c r="G3" s="228"/>
      <c r="H3" s="228"/>
      <c r="I3" s="228"/>
      <c r="J3" s="228"/>
      <c r="K3" s="228"/>
      <c r="L3" s="228"/>
      <c r="M3" s="228"/>
      <c r="N3" s="228"/>
    </row>
    <row r="4" spans="1:14" ht="25.5" customHeight="1" x14ac:dyDescent="0.35">
      <c r="A4" s="241" t="s">
        <v>19</v>
      </c>
      <c r="B4" s="242"/>
      <c r="C4" s="229"/>
      <c r="D4" s="230"/>
      <c r="E4" s="230"/>
      <c r="F4" s="230"/>
      <c r="G4" s="230"/>
      <c r="H4" s="230"/>
      <c r="I4" s="230"/>
      <c r="J4" s="230"/>
      <c r="K4" s="230"/>
      <c r="L4" s="230"/>
      <c r="M4" s="230"/>
      <c r="N4" s="230"/>
    </row>
    <row r="5" spans="1:14" ht="58" x14ac:dyDescent="0.35">
      <c r="A5" s="1" t="s">
        <v>8</v>
      </c>
      <c r="B5" s="1" t="s">
        <v>14</v>
      </c>
      <c r="C5" s="1" t="s">
        <v>0</v>
      </c>
      <c r="D5" s="1" t="s">
        <v>11</v>
      </c>
      <c r="E5" s="1" t="s">
        <v>12</v>
      </c>
      <c r="F5" s="1" t="s">
        <v>13</v>
      </c>
      <c r="G5" s="1" t="s">
        <v>16</v>
      </c>
      <c r="H5" s="1" t="s">
        <v>15</v>
      </c>
      <c r="I5" s="1" t="s">
        <v>4</v>
      </c>
      <c r="J5" s="1" t="s">
        <v>2</v>
      </c>
      <c r="K5" s="1" t="s">
        <v>9</v>
      </c>
      <c r="L5" s="1" t="s">
        <v>3</v>
      </c>
      <c r="M5" s="1" t="s">
        <v>1</v>
      </c>
      <c r="N5" s="1" t="s">
        <v>10</v>
      </c>
    </row>
    <row r="6" spans="1:14" s="7" customFormat="1" x14ac:dyDescent="0.35">
      <c r="A6" s="23"/>
      <c r="B6" s="18"/>
      <c r="C6" s="19"/>
      <c r="D6" s="24"/>
      <c r="E6" s="17"/>
      <c r="F6" s="16"/>
      <c r="G6" s="14"/>
      <c r="H6" s="25"/>
      <c r="I6" s="15"/>
      <c r="J6" s="18"/>
      <c r="K6" s="14"/>
      <c r="L6" s="14"/>
      <c r="M6" s="2"/>
      <c r="N6" s="13"/>
    </row>
    <row r="7" spans="1:14" s="7" customFormat="1" x14ac:dyDescent="0.35">
      <c r="A7" s="20"/>
      <c r="B7" s="18"/>
      <c r="C7" s="19"/>
      <c r="D7" s="26"/>
      <c r="E7" s="17"/>
      <c r="F7" s="16"/>
      <c r="G7" s="14"/>
      <c r="H7" s="27"/>
      <c r="I7" s="15"/>
      <c r="J7" s="18"/>
      <c r="K7" s="14"/>
      <c r="L7" s="14"/>
      <c r="M7" s="2"/>
      <c r="N7" s="13"/>
    </row>
  </sheetData>
  <mergeCells count="3">
    <mergeCell ref="A3:N3"/>
    <mergeCell ref="A4:B4"/>
    <mergeCell ref="C4:N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4"/>
  <sheetViews>
    <sheetView topLeftCell="A37" zoomScale="60" zoomScaleNormal="60" workbookViewId="0">
      <selection activeCell="C44" sqref="C44"/>
    </sheetView>
  </sheetViews>
  <sheetFormatPr baseColWidth="10" defaultRowHeight="14.5" x14ac:dyDescent="0.35"/>
  <cols>
    <col min="1" max="1" width="153.453125" bestFit="1" customWidth="1"/>
    <col min="2" max="2" width="35.6328125" bestFit="1" customWidth="1"/>
    <col min="3" max="3" width="20.36328125" style="259" bestFit="1" customWidth="1"/>
    <col min="4" max="4" width="38.54296875" bestFit="1" customWidth="1"/>
    <col min="5" max="5" width="10.54296875" bestFit="1" customWidth="1"/>
    <col min="6" max="6" width="15.453125" bestFit="1" customWidth="1"/>
    <col min="7" max="7" width="38" bestFit="1" customWidth="1"/>
    <col min="8" max="8" width="19.453125" bestFit="1" customWidth="1"/>
    <col min="9" max="9" width="62.453125" bestFit="1" customWidth="1"/>
  </cols>
  <sheetData>
    <row r="1" spans="1:9" ht="46.5" x14ac:dyDescent="0.35">
      <c r="A1" s="8" t="s">
        <v>8</v>
      </c>
      <c r="B1" s="8" t="s">
        <v>0</v>
      </c>
      <c r="C1" s="243" t="s">
        <v>4</v>
      </c>
      <c r="D1" s="8" t="s">
        <v>0</v>
      </c>
      <c r="E1" s="8" t="s">
        <v>9</v>
      </c>
      <c r="F1" s="39" t="s">
        <v>3</v>
      </c>
      <c r="G1" s="8" t="s">
        <v>1</v>
      </c>
      <c r="H1" s="8" t="s">
        <v>5</v>
      </c>
      <c r="I1" s="3" t="s">
        <v>10</v>
      </c>
    </row>
    <row r="2" spans="1:9" s="104" customFormat="1" ht="29" x14ac:dyDescent="0.35">
      <c r="A2" s="88" t="s">
        <v>29</v>
      </c>
      <c r="B2" s="98" t="s">
        <v>50</v>
      </c>
      <c r="C2" s="244">
        <v>400000</v>
      </c>
      <c r="D2" s="98" t="s">
        <v>50</v>
      </c>
      <c r="E2" s="84">
        <v>2026</v>
      </c>
      <c r="F2" s="84"/>
      <c r="G2" s="84" t="s">
        <v>76</v>
      </c>
      <c r="H2" s="84" t="s">
        <v>38</v>
      </c>
      <c r="I2" s="85" t="s">
        <v>77</v>
      </c>
    </row>
    <row r="3" spans="1:9" s="104" customFormat="1" x14ac:dyDescent="0.35">
      <c r="A3" s="88" t="s">
        <v>34</v>
      </c>
      <c r="B3" s="131" t="s">
        <v>32</v>
      </c>
      <c r="C3" s="245">
        <v>150000</v>
      </c>
      <c r="D3" s="132" t="s">
        <v>70</v>
      </c>
      <c r="E3" s="133"/>
      <c r="F3" s="133" t="s">
        <v>36</v>
      </c>
      <c r="G3" s="134" t="s">
        <v>37</v>
      </c>
      <c r="H3" s="106" t="s">
        <v>38</v>
      </c>
      <c r="I3" s="135" t="s">
        <v>39</v>
      </c>
    </row>
    <row r="4" spans="1:9" s="104" customFormat="1" ht="43.5" x14ac:dyDescent="0.35">
      <c r="A4" s="88" t="s">
        <v>73</v>
      </c>
      <c r="B4" s="136" t="s">
        <v>32</v>
      </c>
      <c r="C4" s="245">
        <v>200000</v>
      </c>
      <c r="D4" s="101" t="s">
        <v>57</v>
      </c>
      <c r="E4" s="132" t="s">
        <v>58</v>
      </c>
      <c r="F4" s="133" t="s">
        <v>36</v>
      </c>
      <c r="G4" s="134" t="s">
        <v>59</v>
      </c>
      <c r="H4" s="84" t="s">
        <v>101</v>
      </c>
      <c r="I4" s="137" t="s">
        <v>60</v>
      </c>
    </row>
    <row r="5" spans="1:9" s="104" customFormat="1" ht="43.5" x14ac:dyDescent="0.35">
      <c r="A5" s="88" t="s">
        <v>74</v>
      </c>
      <c r="B5" s="136" t="s">
        <v>32</v>
      </c>
      <c r="C5" s="245">
        <v>200000</v>
      </c>
      <c r="D5" s="101" t="s">
        <v>57</v>
      </c>
      <c r="E5" s="132" t="s">
        <v>58</v>
      </c>
      <c r="F5" s="133" t="s">
        <v>36</v>
      </c>
      <c r="G5" s="134" t="s">
        <v>59</v>
      </c>
      <c r="H5" s="84" t="s">
        <v>101</v>
      </c>
      <c r="I5" s="137" t="s">
        <v>60</v>
      </c>
    </row>
    <row r="6" spans="1:9" s="157" customFormat="1" x14ac:dyDescent="0.35">
      <c r="A6" s="150" t="s">
        <v>25</v>
      </c>
      <c r="B6" s="151" t="s">
        <v>30</v>
      </c>
      <c r="C6" s="246">
        <v>200000</v>
      </c>
      <c r="D6" s="152" t="s">
        <v>70</v>
      </c>
      <c r="E6" s="153" t="s">
        <v>58</v>
      </c>
      <c r="F6" s="154" t="s">
        <v>36</v>
      </c>
      <c r="G6" s="155" t="s">
        <v>61</v>
      </c>
      <c r="H6" s="154" t="s">
        <v>101</v>
      </c>
      <c r="I6" s="156" t="s">
        <v>62</v>
      </c>
    </row>
    <row r="7" spans="1:9" s="104" customFormat="1" x14ac:dyDescent="0.35">
      <c r="A7" s="139" t="s">
        <v>26</v>
      </c>
      <c r="B7" s="140" t="s">
        <v>30</v>
      </c>
      <c r="C7" s="247">
        <v>100000</v>
      </c>
      <c r="D7" s="101" t="s">
        <v>70</v>
      </c>
      <c r="E7" s="141" t="s">
        <v>58</v>
      </c>
      <c r="F7" s="133" t="s">
        <v>36</v>
      </c>
      <c r="G7" s="142" t="s">
        <v>59</v>
      </c>
      <c r="H7" s="84" t="s">
        <v>101</v>
      </c>
      <c r="I7" s="143" t="s">
        <v>68</v>
      </c>
    </row>
    <row r="8" spans="1:9" s="104" customFormat="1" x14ac:dyDescent="0.35">
      <c r="A8" s="139" t="s">
        <v>27</v>
      </c>
      <c r="B8" s="140" t="s">
        <v>32</v>
      </c>
      <c r="C8" s="247">
        <v>200000</v>
      </c>
      <c r="D8" s="140" t="s">
        <v>70</v>
      </c>
      <c r="E8" s="141" t="s">
        <v>58</v>
      </c>
      <c r="F8" s="133" t="s">
        <v>36</v>
      </c>
      <c r="G8" s="133" t="s">
        <v>59</v>
      </c>
      <c r="H8" s="84" t="s">
        <v>101</v>
      </c>
      <c r="I8" s="143" t="s">
        <v>68</v>
      </c>
    </row>
    <row r="9" spans="1:9" s="104" customFormat="1" x14ac:dyDescent="0.35">
      <c r="A9" s="88" t="s">
        <v>28</v>
      </c>
      <c r="B9" s="138" t="s">
        <v>32</v>
      </c>
      <c r="C9" s="245">
        <v>200000</v>
      </c>
      <c r="D9" s="140" t="s">
        <v>70</v>
      </c>
      <c r="E9" s="132" t="s">
        <v>58</v>
      </c>
      <c r="F9" s="133" t="s">
        <v>36</v>
      </c>
      <c r="G9" s="134" t="s">
        <v>59</v>
      </c>
      <c r="H9" s="84" t="s">
        <v>101</v>
      </c>
      <c r="I9" s="143" t="s">
        <v>68</v>
      </c>
    </row>
    <row r="10" spans="1:9" s="104" customFormat="1" ht="29.5" thickBot="1" x14ac:dyDescent="0.4">
      <c r="A10" s="139" t="s">
        <v>66</v>
      </c>
      <c r="B10" s="140" t="s">
        <v>30</v>
      </c>
      <c r="C10" s="247">
        <v>100000</v>
      </c>
      <c r="D10" s="144" t="s">
        <v>75</v>
      </c>
      <c r="E10" s="141" t="s">
        <v>58</v>
      </c>
      <c r="F10" s="133" t="s">
        <v>67</v>
      </c>
      <c r="G10" s="142" t="s">
        <v>64</v>
      </c>
      <c r="H10" s="84" t="s">
        <v>101</v>
      </c>
      <c r="I10" s="143" t="s">
        <v>65</v>
      </c>
    </row>
    <row r="11" spans="1:9" s="104" customFormat="1" ht="29.5" thickBot="1" x14ac:dyDescent="0.4">
      <c r="A11" s="126" t="s">
        <v>71</v>
      </c>
      <c r="B11" s="127" t="s">
        <v>31</v>
      </c>
      <c r="C11" s="248">
        <v>200000</v>
      </c>
      <c r="D11" s="132" t="s">
        <v>40</v>
      </c>
      <c r="E11" s="128" t="s">
        <v>53</v>
      </c>
      <c r="F11" s="129" t="s">
        <v>36</v>
      </c>
      <c r="G11" s="130" t="s">
        <v>72</v>
      </c>
      <c r="H11" s="106" t="s">
        <v>38</v>
      </c>
      <c r="I11" s="109" t="s">
        <v>41</v>
      </c>
    </row>
    <row r="12" spans="1:9" s="104" customFormat="1" x14ac:dyDescent="0.35">
      <c r="A12" s="145" t="s">
        <v>45</v>
      </c>
      <c r="B12" s="146" t="s">
        <v>30</v>
      </c>
      <c r="C12" s="249">
        <v>200000</v>
      </c>
      <c r="D12" s="132" t="s">
        <v>42</v>
      </c>
      <c r="E12" s="133"/>
      <c r="F12" s="133" t="s">
        <v>46</v>
      </c>
      <c r="G12" s="134" t="s">
        <v>43</v>
      </c>
      <c r="H12" s="106" t="s">
        <v>38</v>
      </c>
      <c r="I12" s="133" t="s">
        <v>44</v>
      </c>
    </row>
    <row r="13" spans="1:9" s="104" customFormat="1" ht="29" x14ac:dyDescent="0.35">
      <c r="A13" s="88" t="s">
        <v>47</v>
      </c>
      <c r="B13" s="147" t="s">
        <v>48</v>
      </c>
      <c r="C13" s="250">
        <v>100000</v>
      </c>
      <c r="D13" s="132" t="s">
        <v>35</v>
      </c>
      <c r="E13" s="133"/>
      <c r="F13" s="133" t="s">
        <v>36</v>
      </c>
      <c r="G13" s="134" t="s">
        <v>49</v>
      </c>
      <c r="H13" s="106" t="s">
        <v>38</v>
      </c>
      <c r="I13" s="133" t="s">
        <v>44</v>
      </c>
    </row>
    <row r="14" spans="1:9" s="104" customFormat="1" x14ac:dyDescent="0.35">
      <c r="A14" s="88" t="s">
        <v>51</v>
      </c>
      <c r="B14" s="147" t="s">
        <v>48</v>
      </c>
      <c r="C14" s="250">
        <v>20000</v>
      </c>
      <c r="D14" s="101" t="s">
        <v>50</v>
      </c>
      <c r="E14" s="133"/>
      <c r="F14" s="133" t="s">
        <v>36</v>
      </c>
      <c r="G14" s="134" t="s">
        <v>49</v>
      </c>
      <c r="H14" s="106" t="s">
        <v>38</v>
      </c>
      <c r="I14" s="133" t="s">
        <v>44</v>
      </c>
    </row>
    <row r="15" spans="1:9" s="104" customFormat="1" x14ac:dyDescent="0.35">
      <c r="A15" s="148" t="s">
        <v>52</v>
      </c>
      <c r="B15" s="138" t="s">
        <v>30</v>
      </c>
      <c r="C15" s="251">
        <v>200000</v>
      </c>
      <c r="D15" s="144" t="s">
        <v>42</v>
      </c>
      <c r="E15" s="84" t="s">
        <v>53</v>
      </c>
      <c r="F15" s="83" t="s">
        <v>54</v>
      </c>
      <c r="G15" s="83" t="s">
        <v>55</v>
      </c>
      <c r="H15" s="84" t="s">
        <v>101</v>
      </c>
      <c r="I15" s="149" t="s">
        <v>56</v>
      </c>
    </row>
    <row r="16" spans="1:9" s="104" customFormat="1" ht="29" x14ac:dyDescent="0.35">
      <c r="A16" s="139" t="s">
        <v>63</v>
      </c>
      <c r="B16" s="140" t="s">
        <v>30</v>
      </c>
      <c r="C16" s="247">
        <v>280000</v>
      </c>
      <c r="D16" s="144" t="s">
        <v>42</v>
      </c>
      <c r="E16" s="141" t="s">
        <v>58</v>
      </c>
      <c r="F16" s="133" t="s">
        <v>36</v>
      </c>
      <c r="G16" s="142" t="s">
        <v>64</v>
      </c>
      <c r="H16" s="84" t="s">
        <v>101</v>
      </c>
      <c r="I16" s="143" t="s">
        <v>65</v>
      </c>
    </row>
    <row r="17" spans="1:9" s="104" customFormat="1" x14ac:dyDescent="0.35">
      <c r="A17" s="88" t="s">
        <v>69</v>
      </c>
      <c r="B17" s="107" t="s">
        <v>32</v>
      </c>
      <c r="C17" s="250">
        <v>100000</v>
      </c>
      <c r="D17" s="101" t="s">
        <v>57</v>
      </c>
      <c r="E17" s="132" t="s">
        <v>58</v>
      </c>
      <c r="F17" s="133" t="s">
        <v>36</v>
      </c>
      <c r="G17" s="134" t="s">
        <v>59</v>
      </c>
      <c r="H17" s="84" t="s">
        <v>101</v>
      </c>
      <c r="I17" s="143" t="s">
        <v>68</v>
      </c>
    </row>
    <row r="18" spans="1:9" s="104" customFormat="1" x14ac:dyDescent="0.35">
      <c r="A18" s="88" t="s">
        <v>136</v>
      </c>
      <c r="B18" s="107" t="s">
        <v>32</v>
      </c>
      <c r="C18" s="252">
        <v>100000</v>
      </c>
      <c r="D18" s="101" t="s">
        <v>57</v>
      </c>
      <c r="E18" s="132" t="s">
        <v>113</v>
      </c>
      <c r="F18" s="133" t="s">
        <v>67</v>
      </c>
      <c r="G18" s="134" t="s">
        <v>133</v>
      </c>
      <c r="H18" s="84" t="s">
        <v>101</v>
      </c>
      <c r="I18" s="143" t="s">
        <v>68</v>
      </c>
    </row>
    <row r="19" spans="1:9" s="104" customFormat="1" x14ac:dyDescent="0.35">
      <c r="A19" s="88" t="s">
        <v>150</v>
      </c>
      <c r="B19" s="107" t="s">
        <v>30</v>
      </c>
      <c r="C19" s="252">
        <v>100000</v>
      </c>
      <c r="D19" s="101" t="s">
        <v>42</v>
      </c>
      <c r="E19" s="132" t="s">
        <v>151</v>
      </c>
      <c r="F19" s="133" t="s">
        <v>54</v>
      </c>
      <c r="G19" s="134" t="s">
        <v>133</v>
      </c>
      <c r="H19" s="84" t="s">
        <v>38</v>
      </c>
      <c r="I19" s="143" t="s">
        <v>152</v>
      </c>
    </row>
    <row r="20" spans="1:9" s="104" customFormat="1" ht="29" x14ac:dyDescent="0.35">
      <c r="A20" s="88" t="s">
        <v>153</v>
      </c>
      <c r="B20" s="107" t="s">
        <v>30</v>
      </c>
      <c r="C20" s="250">
        <v>100000</v>
      </c>
      <c r="D20" s="101" t="s">
        <v>42</v>
      </c>
      <c r="E20" s="132" t="s">
        <v>154</v>
      </c>
      <c r="F20" s="133" t="s">
        <v>54</v>
      </c>
      <c r="G20" s="134" t="s">
        <v>133</v>
      </c>
      <c r="H20" s="84" t="s">
        <v>38</v>
      </c>
      <c r="I20" s="143" t="s">
        <v>155</v>
      </c>
    </row>
    <row r="21" spans="1:9" s="104" customFormat="1" x14ac:dyDescent="0.35">
      <c r="A21" s="88" t="s">
        <v>88</v>
      </c>
      <c r="B21" s="99" t="s">
        <v>30</v>
      </c>
      <c r="C21" s="253">
        <v>4000000</v>
      </c>
      <c r="D21" s="88" t="s">
        <v>42</v>
      </c>
      <c r="E21" s="83" t="s">
        <v>92</v>
      </c>
      <c r="F21" s="84" t="s">
        <v>96</v>
      </c>
      <c r="G21" s="84" t="s">
        <v>93</v>
      </c>
      <c r="H21" s="84" t="s">
        <v>38</v>
      </c>
      <c r="I21" s="100" t="s">
        <v>98</v>
      </c>
    </row>
    <row r="22" spans="1:9" s="104" customFormat="1" ht="29" x14ac:dyDescent="0.35">
      <c r="A22" s="88" t="s">
        <v>89</v>
      </c>
      <c r="B22" s="99" t="s">
        <v>30</v>
      </c>
      <c r="C22" s="253">
        <v>4300000</v>
      </c>
      <c r="D22" s="88" t="s">
        <v>42</v>
      </c>
      <c r="E22" s="83" t="s">
        <v>92</v>
      </c>
      <c r="F22" s="84" t="s">
        <v>97</v>
      </c>
      <c r="G22" s="98" t="s">
        <v>94</v>
      </c>
      <c r="H22" s="84" t="s">
        <v>38</v>
      </c>
      <c r="I22" s="100" t="s">
        <v>99</v>
      </c>
    </row>
    <row r="23" spans="1:9" s="104" customFormat="1" ht="72.5" x14ac:dyDescent="0.35">
      <c r="A23" s="88" t="s">
        <v>90</v>
      </c>
      <c r="B23" s="99" t="s">
        <v>30</v>
      </c>
      <c r="C23" s="253">
        <v>8000000</v>
      </c>
      <c r="D23" s="88" t="s">
        <v>42</v>
      </c>
      <c r="E23" s="84" t="s">
        <v>92</v>
      </c>
      <c r="F23" s="84" t="s">
        <v>54</v>
      </c>
      <c r="G23" s="98" t="s">
        <v>95</v>
      </c>
      <c r="H23" s="84" t="s">
        <v>38</v>
      </c>
      <c r="I23" s="100" t="s">
        <v>100</v>
      </c>
    </row>
    <row r="24" spans="1:9" s="104" customFormat="1" x14ac:dyDescent="0.35">
      <c r="A24" s="100" t="s">
        <v>102</v>
      </c>
      <c r="B24" s="86" t="s">
        <v>32</v>
      </c>
      <c r="C24" s="254">
        <v>216000</v>
      </c>
      <c r="D24" s="103" t="s">
        <v>75</v>
      </c>
      <c r="E24" s="83"/>
      <c r="F24" s="84"/>
      <c r="G24" s="84" t="s">
        <v>104</v>
      </c>
      <c r="H24" s="84" t="s">
        <v>101</v>
      </c>
      <c r="I24" s="85"/>
    </row>
    <row r="25" spans="1:9" s="104" customFormat="1" ht="29" x14ac:dyDescent="0.35">
      <c r="A25" s="88" t="s">
        <v>20</v>
      </c>
      <c r="B25" s="86" t="s">
        <v>30</v>
      </c>
      <c r="C25" s="254">
        <v>3900000</v>
      </c>
      <c r="D25" s="103" t="s">
        <v>42</v>
      </c>
      <c r="E25" s="83" t="s">
        <v>106</v>
      </c>
      <c r="F25" s="84" t="s">
        <v>97</v>
      </c>
      <c r="G25" s="98" t="s">
        <v>105</v>
      </c>
      <c r="H25" s="84" t="s">
        <v>38</v>
      </c>
      <c r="I25" s="85" t="s">
        <v>108</v>
      </c>
    </row>
    <row r="26" spans="1:9" s="104" customFormat="1" ht="29" x14ac:dyDescent="0.35">
      <c r="A26" s="88" t="s">
        <v>21</v>
      </c>
      <c r="B26" s="86" t="s">
        <v>31</v>
      </c>
      <c r="C26" s="254">
        <v>3000000</v>
      </c>
      <c r="D26" s="103" t="s">
        <v>42</v>
      </c>
      <c r="E26" s="83" t="s">
        <v>106</v>
      </c>
      <c r="F26" s="84" t="s">
        <v>97</v>
      </c>
      <c r="G26" s="98" t="s">
        <v>109</v>
      </c>
      <c r="H26" s="84" t="s">
        <v>38</v>
      </c>
      <c r="I26" s="85" t="s">
        <v>110</v>
      </c>
    </row>
    <row r="27" spans="1:9" s="104" customFormat="1" ht="43.5" x14ac:dyDescent="0.35">
      <c r="A27" s="88" t="s">
        <v>22</v>
      </c>
      <c r="B27" s="99" t="s">
        <v>31</v>
      </c>
      <c r="C27" s="254">
        <v>3800000</v>
      </c>
      <c r="D27" s="103" t="s">
        <v>42</v>
      </c>
      <c r="E27" s="84" t="s">
        <v>92</v>
      </c>
      <c r="F27" s="84" t="s">
        <v>54</v>
      </c>
      <c r="G27" s="98" t="s">
        <v>111</v>
      </c>
      <c r="H27" s="98" t="s">
        <v>38</v>
      </c>
      <c r="I27" s="98" t="s">
        <v>112</v>
      </c>
    </row>
    <row r="28" spans="1:9" s="104" customFormat="1" ht="29" x14ac:dyDescent="0.35">
      <c r="A28" s="88" t="s">
        <v>23</v>
      </c>
      <c r="B28" s="99" t="s">
        <v>30</v>
      </c>
      <c r="C28" s="254">
        <v>900000</v>
      </c>
      <c r="D28" s="103" t="s">
        <v>75</v>
      </c>
      <c r="E28" s="84" t="s">
        <v>113</v>
      </c>
      <c r="F28" s="84" t="s">
        <v>96</v>
      </c>
      <c r="G28" s="84" t="s">
        <v>114</v>
      </c>
      <c r="H28" s="98" t="s">
        <v>101</v>
      </c>
      <c r="I28" s="84" t="s">
        <v>115</v>
      </c>
    </row>
    <row r="29" spans="1:9" s="104" customFormat="1" x14ac:dyDescent="0.35">
      <c r="A29" s="88" t="s">
        <v>24</v>
      </c>
      <c r="B29" s="99" t="s">
        <v>30</v>
      </c>
      <c r="C29" s="254">
        <v>120000</v>
      </c>
      <c r="D29" s="103" t="s">
        <v>42</v>
      </c>
      <c r="E29" s="84" t="s">
        <v>113</v>
      </c>
      <c r="F29" s="84" t="s">
        <v>116</v>
      </c>
      <c r="G29" s="84" t="s">
        <v>117</v>
      </c>
      <c r="H29" s="98" t="s">
        <v>38</v>
      </c>
      <c r="I29" s="84" t="s">
        <v>118</v>
      </c>
    </row>
    <row r="30" spans="1:9" s="104" customFormat="1" ht="58" x14ac:dyDescent="0.35">
      <c r="A30" s="85" t="s">
        <v>156</v>
      </c>
      <c r="B30" s="86" t="s">
        <v>31</v>
      </c>
      <c r="C30" s="255">
        <v>2000000</v>
      </c>
      <c r="D30" s="103" t="s">
        <v>40</v>
      </c>
      <c r="E30" s="106" t="s">
        <v>106</v>
      </c>
      <c r="F30" s="99" t="s">
        <v>54</v>
      </c>
      <c r="G30" s="98" t="s">
        <v>120</v>
      </c>
      <c r="H30" s="98" t="s">
        <v>38</v>
      </c>
      <c r="I30" s="85" t="s">
        <v>119</v>
      </c>
    </row>
    <row r="31" spans="1:9" s="104" customFormat="1" ht="130.5" x14ac:dyDescent="0.35">
      <c r="A31" s="85" t="s">
        <v>80</v>
      </c>
      <c r="B31" s="86" t="s">
        <v>81</v>
      </c>
      <c r="C31" s="255">
        <v>120000</v>
      </c>
      <c r="D31" s="103" t="s">
        <v>50</v>
      </c>
      <c r="E31" s="106" t="s">
        <v>106</v>
      </c>
      <c r="F31" s="99" t="s">
        <v>96</v>
      </c>
      <c r="G31" s="98" t="s">
        <v>120</v>
      </c>
      <c r="H31" s="98" t="s">
        <v>38</v>
      </c>
      <c r="I31" s="85" t="s">
        <v>125</v>
      </c>
    </row>
    <row r="32" spans="1:9" s="104" customFormat="1" ht="87" x14ac:dyDescent="0.35">
      <c r="A32" s="85" t="s">
        <v>82</v>
      </c>
      <c r="B32" s="86" t="s">
        <v>81</v>
      </c>
      <c r="C32" s="255">
        <v>180000</v>
      </c>
      <c r="D32" s="103" t="s">
        <v>50</v>
      </c>
      <c r="E32" s="106" t="s">
        <v>106</v>
      </c>
      <c r="F32" s="99" t="s">
        <v>96</v>
      </c>
      <c r="G32" s="98" t="s">
        <v>121</v>
      </c>
      <c r="H32" s="98" t="s">
        <v>38</v>
      </c>
      <c r="I32" s="85" t="s">
        <v>126</v>
      </c>
    </row>
    <row r="33" spans="1:9" s="104" customFormat="1" ht="101.5" x14ac:dyDescent="0.35">
      <c r="A33" s="85" t="s">
        <v>83</v>
      </c>
      <c r="B33" s="86" t="s">
        <v>81</v>
      </c>
      <c r="C33" s="255">
        <v>150000</v>
      </c>
      <c r="D33" s="103" t="s">
        <v>50</v>
      </c>
      <c r="E33" s="106" t="s">
        <v>106</v>
      </c>
      <c r="F33" s="99" t="s">
        <v>96</v>
      </c>
      <c r="G33" s="98" t="s">
        <v>121</v>
      </c>
      <c r="H33" s="98" t="s">
        <v>38</v>
      </c>
      <c r="I33" s="85" t="s">
        <v>127</v>
      </c>
    </row>
    <row r="34" spans="1:9" s="104" customFormat="1" ht="43.5" x14ac:dyDescent="0.35">
      <c r="A34" s="85" t="s">
        <v>84</v>
      </c>
      <c r="B34" s="86" t="s">
        <v>31</v>
      </c>
      <c r="C34" s="255">
        <v>3000000</v>
      </c>
      <c r="D34" s="103" t="s">
        <v>40</v>
      </c>
      <c r="E34" s="106" t="s">
        <v>106</v>
      </c>
      <c r="F34" s="99" t="s">
        <v>54</v>
      </c>
      <c r="G34" s="98" t="s">
        <v>121</v>
      </c>
      <c r="H34" s="98" t="s">
        <v>38</v>
      </c>
      <c r="I34" s="85" t="s">
        <v>128</v>
      </c>
    </row>
    <row r="35" spans="1:9" s="104" customFormat="1" ht="101.5" x14ac:dyDescent="0.35">
      <c r="A35" s="85" t="s">
        <v>85</v>
      </c>
      <c r="B35" s="86" t="s">
        <v>31</v>
      </c>
      <c r="C35" s="255">
        <v>4800000</v>
      </c>
      <c r="D35" s="103" t="s">
        <v>40</v>
      </c>
      <c r="E35" s="106" t="s">
        <v>106</v>
      </c>
      <c r="F35" s="99" t="s">
        <v>124</v>
      </c>
      <c r="G35" s="98" t="s">
        <v>122</v>
      </c>
      <c r="H35" s="98" t="s">
        <v>38</v>
      </c>
      <c r="I35" s="98" t="s">
        <v>129</v>
      </c>
    </row>
    <row r="36" spans="1:9" s="104" customFormat="1" ht="72.5" x14ac:dyDescent="0.35">
      <c r="A36" s="85" t="s">
        <v>86</v>
      </c>
      <c r="B36" s="86" t="s">
        <v>31</v>
      </c>
      <c r="C36" s="255">
        <v>2000000</v>
      </c>
      <c r="D36" s="103" t="s">
        <v>87</v>
      </c>
      <c r="E36" s="106" t="s">
        <v>106</v>
      </c>
      <c r="F36" s="99" t="s">
        <v>54</v>
      </c>
      <c r="G36" s="98" t="s">
        <v>123</v>
      </c>
      <c r="H36" s="98" t="s">
        <v>38</v>
      </c>
      <c r="I36" s="98" t="s">
        <v>130</v>
      </c>
    </row>
    <row r="37" spans="1:9" s="104" customFormat="1" x14ac:dyDescent="0.35">
      <c r="A37" s="88" t="s">
        <v>131</v>
      </c>
      <c r="B37" s="107" t="s">
        <v>30</v>
      </c>
      <c r="C37" s="250">
        <v>5000000</v>
      </c>
      <c r="D37" s="103" t="s">
        <v>42</v>
      </c>
      <c r="E37" s="106" t="s">
        <v>113</v>
      </c>
      <c r="F37" s="106" t="s">
        <v>97</v>
      </c>
      <c r="G37" s="109" t="s">
        <v>132</v>
      </c>
      <c r="H37" s="98" t="s">
        <v>38</v>
      </c>
      <c r="I37" s="84" t="s">
        <v>134</v>
      </c>
    </row>
    <row r="38" spans="1:9" s="104" customFormat="1" x14ac:dyDescent="0.35">
      <c r="A38" s="88" t="s">
        <v>137</v>
      </c>
      <c r="B38" s="107" t="s">
        <v>30</v>
      </c>
      <c r="C38" s="250">
        <v>8000000</v>
      </c>
      <c r="D38" s="103" t="s">
        <v>42</v>
      </c>
      <c r="E38" s="106" t="s">
        <v>113</v>
      </c>
      <c r="F38" s="106" t="s">
        <v>97</v>
      </c>
      <c r="G38" s="109" t="s">
        <v>133</v>
      </c>
      <c r="H38" s="98" t="s">
        <v>38</v>
      </c>
      <c r="I38" s="84" t="s">
        <v>135</v>
      </c>
    </row>
    <row r="39" spans="1:9" s="104" customFormat="1" x14ac:dyDescent="0.35">
      <c r="A39" s="122" t="s">
        <v>138</v>
      </c>
      <c r="B39" s="110" t="s">
        <v>32</v>
      </c>
      <c r="C39" s="256">
        <v>500000</v>
      </c>
      <c r="D39" s="122" t="s">
        <v>139</v>
      </c>
      <c r="E39" s="112" t="s">
        <v>140</v>
      </c>
      <c r="F39" s="112" t="s">
        <v>116</v>
      </c>
      <c r="G39" s="113" t="s">
        <v>43</v>
      </c>
      <c r="H39" s="114" t="s">
        <v>101</v>
      </c>
      <c r="I39" s="82" t="s">
        <v>141</v>
      </c>
    </row>
    <row r="40" spans="1:9" s="104" customFormat="1" ht="29" x14ac:dyDescent="0.35">
      <c r="A40" s="88" t="s">
        <v>142</v>
      </c>
      <c r="B40" s="99" t="s">
        <v>32</v>
      </c>
      <c r="C40" s="254">
        <v>318960</v>
      </c>
      <c r="D40" s="101" t="s">
        <v>75</v>
      </c>
      <c r="E40" s="106" t="s">
        <v>143</v>
      </c>
      <c r="F40" s="106" t="s">
        <v>97</v>
      </c>
      <c r="G40" s="109" t="s">
        <v>43</v>
      </c>
      <c r="H40" s="98" t="s">
        <v>101</v>
      </c>
      <c r="I40" s="98" t="s">
        <v>144</v>
      </c>
    </row>
    <row r="41" spans="1:9" s="104" customFormat="1" ht="29" x14ac:dyDescent="0.35">
      <c r="A41" s="100" t="s">
        <v>145</v>
      </c>
      <c r="B41" s="99" t="s">
        <v>32</v>
      </c>
      <c r="C41" s="257">
        <v>838800</v>
      </c>
      <c r="D41" s="101" t="s">
        <v>75</v>
      </c>
      <c r="E41" s="106" t="s">
        <v>143</v>
      </c>
      <c r="F41" s="106" t="s">
        <v>54</v>
      </c>
      <c r="G41" s="109" t="s">
        <v>132</v>
      </c>
      <c r="H41" s="98" t="s">
        <v>101</v>
      </c>
      <c r="I41" s="98" t="s">
        <v>146</v>
      </c>
    </row>
    <row r="42" spans="1:9" s="104" customFormat="1" x14ac:dyDescent="0.35">
      <c r="A42" s="123" t="s">
        <v>157</v>
      </c>
      <c r="B42" s="110" t="s">
        <v>32</v>
      </c>
      <c r="C42" s="258">
        <v>984600</v>
      </c>
      <c r="D42" s="124" t="s">
        <v>70</v>
      </c>
      <c r="E42" s="112"/>
      <c r="F42" s="112"/>
      <c r="G42" s="113"/>
      <c r="H42" s="114" t="s">
        <v>101</v>
      </c>
      <c r="I42" s="114" t="s">
        <v>158</v>
      </c>
    </row>
    <row r="43" spans="1:9" s="104" customFormat="1" ht="29" x14ac:dyDescent="0.35">
      <c r="A43" s="88" t="s">
        <v>147</v>
      </c>
      <c r="B43" s="99" t="s">
        <v>32</v>
      </c>
      <c r="C43" s="254">
        <v>934000</v>
      </c>
      <c r="D43" s="88" t="s">
        <v>75</v>
      </c>
      <c r="E43" s="106" t="s">
        <v>113</v>
      </c>
      <c r="F43" s="106" t="s">
        <v>97</v>
      </c>
      <c r="G43" s="109" t="s">
        <v>148</v>
      </c>
      <c r="H43" s="98" t="s">
        <v>101</v>
      </c>
      <c r="I43" s="98" t="s">
        <v>149</v>
      </c>
    </row>
    <row r="44" spans="1:9" x14ac:dyDescent="0.35">
      <c r="C44" s="259">
        <f>SUBTOTAL(9,C2:C43)</f>
        <v>60212360</v>
      </c>
    </row>
  </sheetData>
  <autoFilter ref="A1:I43" xr:uid="{00000000-0009-0000-0000-000004000000}"/>
  <dataValidations count="1">
    <dataValidation type="list" allowBlank="1" showInputMessage="1" showErrorMessage="1" sqref="B3:B8 B10:B11 B15:B16 B30:B36 B24:B26" xr:uid="{00000000-0002-0000-0400-000000000000}">
      <formula1>"Travaux,Fournitures,Services,Etudes"</formula1>
    </dataValidation>
  </dataValidations>
  <pageMargins left="0.70866141732283472" right="0.70866141732283472" top="0.74803149606299213" bottom="0.74803149606299213" header="0.31496062992125984" footer="0.31496062992125984"/>
  <pageSetup paperSize="9" scale="3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2</vt:i4>
      </vt:variant>
    </vt:vector>
  </HeadingPairs>
  <TitlesOfParts>
    <vt:vector size="7" baseType="lpstr">
      <vt:lpstr>Marchés</vt:lpstr>
      <vt:lpstr>Bons de commande</vt:lpstr>
      <vt:lpstr>Contrat-Convention de droit com</vt:lpstr>
      <vt:lpstr>Contrats prod</vt:lpstr>
      <vt:lpstr>Global</vt:lpstr>
      <vt:lpstr>Marchés!Impression_des_titres</vt:lpstr>
      <vt:lpstr>'Bons de commande'!Zone_d_impression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HP</cp:lastModifiedBy>
  <cp:lastPrinted>2026-07-09T10:49:26Z</cp:lastPrinted>
  <dcterms:created xsi:type="dcterms:W3CDTF">2021-01-08T14:23:18Z</dcterms:created>
  <dcterms:modified xsi:type="dcterms:W3CDTF">2026-07-24T14:01:10Z</dcterms:modified>
</cp:coreProperties>
</file>