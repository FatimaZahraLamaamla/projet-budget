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A-BC2026" sheetId="1" state="visible" r:id="rId3"/>
    <sheet name="PPA PRESTATIONS RD et TV -2026" sheetId="2" state="visible" r:id="rId4"/>
  </sheets>
  <externalReferences>
    <externalReference r:id="rId5"/>
  </externalReferences>
  <definedNames>
    <definedName function="false" hidden="true" localSheetId="1" name="_xlnm._FilterDatabase" vbProcedure="false">'PPA PRESTATIONS RD et TV -2026'!$A$5:$Q$5</definedName>
    <definedName function="false" hidden="false" localSheetId="0" name="_xlnm.Print_Area" vbProcedure="false">'PPA-BC2026'!$A$1:$J$4</definedName>
    <definedName function="false" hidden="false" localSheetId="0" name="_xlnm.Print_Titles" vbProcedure="false">'PPA-BC2026'!$1:$3</definedName>
    <definedName function="false" hidden="true" localSheetId="0" name="_xlnm._FilterDatabase" vbProcedure="false">'PPA-BC2026'!$A$3:$J$4</definedName>
    <definedName function="false" hidden="false" name="Base_Annee" vbProcedure="false">[1]Base!$D$1:$D$65536</definedName>
    <definedName function="false" hidden="false" name="Base_BDG" vbProcedure="false">[1]Base!$E$1:$E$65536</definedName>
    <definedName function="false" hidden="false" name="Base_DIR" vbProcedure="false">[1]Base!$A$1:$A$65536</definedName>
    <definedName function="false" hidden="false" name="Base_LIB" vbProcedure="false">[1]Base!$B$1:$B$65536</definedName>
    <definedName function="false" hidden="false" name="Base_MNT" vbProcedure="false">[1]Base!$F$1:$F$65536</definedName>
    <definedName function="false" hidden="false" name="Base_Nature" vbProcedure="false">[1]Base!$C$1:$C$65536</definedName>
    <definedName function="false" hidden="false" name="BC21_BDG" vbProcedure="false">#REF!</definedName>
    <definedName function="false" hidden="false" name="BC21_DIR" vbProcedure="false">#REF!</definedName>
    <definedName function="false" hidden="false" name="BC21_MNT" vbProcedure="false">#REF!</definedName>
    <definedName function="false" hidden="false" name="BC_ANNEE" vbProcedure="false">'[1]BC16-20'!$A$1:$A$65536</definedName>
    <definedName function="false" hidden="false" name="BC_BDG" vbProcedure="false">'[1]BC16-20'!$K$1:$K$65536</definedName>
    <definedName function="false" hidden="false" name="BC_DIRECTION" vbProcedure="false">'[1]BC16-20'!$J$1:$J$65536</definedName>
    <definedName function="false" hidden="false" name="BC_TTC" vbProcedure="false">'[1]BC16-20'!$H$1:$H$65536</definedName>
    <definedName function="false" hidden="false" name="CONTRA_ANNE" vbProcedure="false">'[1]CONTRAT16-20'!$A$1:$A$65536</definedName>
    <definedName function="false" hidden="false" name="CONTRA_BDG" vbProcedure="false">'[1]CONTRAT16-20'!$W$1:$W$65536</definedName>
    <definedName function="false" hidden="false" name="CONTRA_DIRECT" vbProcedure="false">'[1]CONTRAT16-20'!$D$1:$D$65536</definedName>
    <definedName function="false" hidden="false" name="CONTRA_TTC" vbProcedure="false">'[1]CONTRAT16-20'!$V$1:$V$65536</definedName>
    <definedName function="false" hidden="false" name="DIRECTIONS" vbProcedure="false">[1]Base!$A$2:$A$24</definedName>
    <definedName function="false" hidden="false" name="LIB" vbProcedure="false">[1]Parametres!$A$2:$A$24</definedName>
    <definedName function="false" hidden="false" name="MAR21_BDG" vbProcedure="false">#REF!</definedName>
    <definedName function="false" hidden="false" name="MAR21_DIR" vbProcedure="false">#REF!</definedName>
    <definedName function="false" hidden="false" name="MAR21_MNT" vbProcedure="false">#REF!</definedName>
    <definedName function="false" hidden="false" name="MARCHE_ANNE" vbProcedure="false">'[1]MARCHES16-20'!$A$1:$A$65536</definedName>
    <definedName function="false" hidden="false" name="MARCHE_BDG" vbProcedure="false">'[1]MARCHES16-20'!$Q$1:$Q$65536</definedName>
    <definedName function="false" hidden="false" name="MARCHE_DIRCT" vbProcedure="false">'[1]MARCHES16-20'!$B$1:$B$65536</definedName>
    <definedName function="false" hidden="false" name="MARCHE_TTC" vbProcedure="false">'[1]MARCHES16-20'!$O$1:$O$65536</definedName>
    <definedName function="false" hidden="false" name="MOY" vbProcedure="false">'[1]SYNTHESE GENERALE'!$AC$5:$AE$26</definedName>
    <definedName function="false" hidden="false" name="PROD_ANNE" vbProcedure="false">'[1]PRODUCTION16-20'!$A$1:$A$65536</definedName>
    <definedName function="false" hidden="false" name="PROD_AO" vbProcedure="false">'[1]PRODUCTION16-20'!$I$1:$I$65536</definedName>
    <definedName function="false" hidden="false" name="PROD_BDG" vbProcedure="false">'[1]PRODUCTION16-20'!$M$1:$M$65536</definedName>
    <definedName function="false" hidden="false" name="PROD_DIRCT" vbProcedure="false">'[1]PRODUCTION16-20'!$C$1:$C$65536</definedName>
    <definedName function="false" hidden="false" name="PROD_HT" vbProcedure="false">'[1]PRODUCTION16-20'!$K$1:$K$65536</definedName>
    <definedName function="false" hidden="false" name="PROD_TTC" vbProcedure="false">'[1]PRODUCTION16-20'!$L$1:$L$65536</definedName>
    <definedName function="false" hidden="false" name="RECAP_ANNEE" vbProcedure="false">'[1]SYNTHESE GENERALE'!$A$4:$AJ$26</definedName>
    <definedName function="false" hidden="false" localSheetId="0" name="BC21_BDG" vbProcedure="false">'PPA-BC2026'!$I:$I</definedName>
    <definedName function="false" hidden="false" localSheetId="0" name="BC21_DIR" vbProcedure="false">'PPA-BC2026'!$A:$A</definedName>
    <definedName function="false" hidden="false" localSheetId="0" name="BC21_MNT" vbProcedure="false">'PPA-BC2026'!$D:$D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<sst xmlns="http://schemas.openxmlformats.org/spreadsheetml/2006/main" count="1204" uniqueCount="292">
  <si>
    <t xml:space="preserve">PROGRAMME PREVISIONNEL DES ACHATS DES BONS DE COMMANDE -2026-</t>
  </si>
  <si>
    <t xml:space="preserve">DIRECTION </t>
  </si>
  <si>
    <t xml:space="preserve">OBJET
(le plus détaillé possible)</t>
  </si>
  <si>
    <t xml:space="preserve">Nature de la prestation </t>
  </si>
  <si>
    <t xml:space="preserve">Budget Prévisionnel (TTC)</t>
  </si>
  <si>
    <t xml:space="preserve">Période d'exécution</t>
  </si>
  <si>
    <t xml:space="preserve">Période prévue 
pour le lancement</t>
  </si>
  <si>
    <t xml:space="preserve">Lieu d'execution</t>
  </si>
  <si>
    <t xml:space="preserve">Nature Budget</t>
  </si>
  <si>
    <t xml:space="preserve">Nature Budget présentée</t>
  </si>
  <si>
    <t xml:space="preserve">Justification du besoin</t>
  </si>
  <si>
    <t xml:space="preserve">DIRECTION des Programmes et de la Production des Chaînes Coraniques</t>
  </si>
  <si>
    <t xml:space="preserve">Achats non stockés de matières et fournitures </t>
  </si>
  <si>
    <t xml:space="preserve">matières et forunitures</t>
  </si>
  <si>
    <t xml:space="preserve">12 mois </t>
  </si>
  <si>
    <t xml:space="preserve">Rabat</t>
  </si>
  <si>
    <t xml:space="preserve">BC</t>
  </si>
  <si>
    <t xml:space="preserve">Fonctionnement</t>
  </si>
  <si>
    <t xml:space="preserve">Nouveaux besoins</t>
  </si>
  <si>
    <t xml:space="preserve">DIRECTION DES CHAINES CORANIQUES</t>
  </si>
  <si>
    <t xml:space="preserve">Année 2026</t>
  </si>
  <si>
    <t xml:space="preserve">PRESTATIONS RD et TV</t>
  </si>
  <si>
    <t xml:space="preserve">PROGRAMME PREVISIONNEL DES ACHATS</t>
  </si>
  <si>
    <t xml:space="preserve">Objet de l'engagement 2026</t>
  </si>
  <si>
    <t xml:space="preserve">NOMBRE DE PROGRAMME ET PRESTATION 2026</t>
  </si>
  <si>
    <t xml:space="preserve">Nature engagement (Exploitation/ Investissement 2026</t>
  </si>
  <si>
    <t xml:space="preserve">Description 2026</t>
  </si>
  <si>
    <t xml:space="preserve">Besoin (Nouveau / Reconduction) 2026</t>
  </si>
  <si>
    <t xml:space="preserve">Délais prévisionnel de réalisation Annuelle)</t>
  </si>
  <si>
    <t xml:space="preserve">Type du prestataire (Société/personne physique)</t>
  </si>
  <si>
    <t xml:space="preserve">PRESTATAIRE 2026</t>
  </si>
  <si>
    <t xml:space="preserve">QUANTITE ANNUELLE / épisodes </t>
  </si>
  <si>
    <t xml:space="preserve">DUREE</t>
  </si>
  <si>
    <t xml:space="preserve">FREQUENCE</t>
  </si>
  <si>
    <t xml:space="preserve">Montant mensuel  brut par mois </t>
  </si>
  <si>
    <t xml:space="preserve">Estimation du coût ( Prix Unitaire BRUT par épisode 2026</t>
  </si>
  <si>
    <t xml:space="preserve">Estimation du coût TOTAL  BRUT par AN 2026</t>
  </si>
  <si>
    <t xml:space="preserve">Lieu d'execution 2026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</si>
  <si>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 </t>
    </r>
    <r>
      <rPr>
        <b val="true"/>
        <sz val="40"/>
        <color theme="1"/>
        <rFont val="Calibri"/>
        <family val="2"/>
        <charset val="1"/>
      </rPr>
      <t xml:space="preserve">ورتل القران ترتيلا</t>
    </r>
  </si>
  <si>
    <t xml:space="preserve">01 prestation/ 01 prestataire</t>
  </si>
  <si>
    <t xml:space="preserve">EXPLOITATION</t>
  </si>
  <si>
    <t xml:space="preserve">Emission RD</t>
  </si>
  <si>
    <t xml:space="preserve">RECONDUCTION</t>
  </si>
  <si>
    <t xml:space="preserve">Grille Radio Mohammed VI du saint coran</t>
  </si>
  <si>
    <t xml:space="preserve">ANNUEL</t>
  </si>
  <si>
    <t xml:space="preserve">PERSONNE PHYSIQUE</t>
  </si>
  <si>
    <t xml:space="preserve">MOHAMMED TOURABI</t>
  </si>
  <si>
    <t xml:space="preserve">Hebdomadaire</t>
  </si>
  <si>
    <t xml:space="preserve">JAN/2026</t>
  </si>
  <si>
    <r>
      <rPr>
        <b val="true"/>
        <sz val="40"/>
        <color theme="1"/>
        <rFont val="Arial Black"/>
        <family val="2"/>
        <charset val="1"/>
      </rPr>
      <t xml:space="preserve">Préparation et présentation RD   </t>
    </r>
    <r>
      <rPr>
        <b val="true"/>
        <sz val="40"/>
        <color theme="1"/>
        <rFont val="Calibri"/>
        <family val="2"/>
        <charset val="1"/>
      </rPr>
      <t xml:space="preserve">إبتهلات </t>
    </r>
  </si>
  <si>
    <t xml:space="preserve">01 prestation/ 02  prestataires</t>
  </si>
  <si>
    <t xml:space="preserve">Remplaçant TOURABI</t>
  </si>
  <si>
    <t xml:space="preserve">HAKIM KHIZRANE (remplace MOHAMMED TOURABI)</t>
  </si>
  <si>
    <t xml:space="preserve">3</t>
  </si>
  <si>
    <t xml:space="preserve">Quotidienne EN RAMADAN</t>
  </si>
  <si>
    <r>
      <rPr>
        <b val="true"/>
        <sz val="40"/>
        <color theme="1"/>
        <rFont val="Arial Black"/>
        <family val="2"/>
        <charset val="1"/>
      </rPr>
      <t xml:space="preserve">Préparation et présentation RD </t>
    </r>
    <r>
      <rPr>
        <b val="true"/>
        <sz val="40"/>
        <color theme="1"/>
        <rFont val="Calibri"/>
        <family val="2"/>
        <charset val="1"/>
      </rPr>
      <t xml:space="preserve">الابتهالات </t>
    </r>
  </si>
  <si>
    <t xml:space="preserve">Nouveau CT</t>
  </si>
  <si>
    <t xml:space="preserve">MOHAMMAD AMIN SINIA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</si>
  <si>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RD  </t>
    </r>
    <r>
      <rPr>
        <b val="true"/>
        <sz val="40"/>
        <color theme="1"/>
        <rFont val="Calibri"/>
        <family val="2"/>
        <charset val="1"/>
      </rPr>
      <t xml:space="preserve">المتنافسون</t>
    </r>
  </si>
  <si>
    <t xml:space="preserve">2 prestations / 01 prestataire</t>
  </si>
  <si>
    <t xml:space="preserve">ABDELLATIF BOUBALA</t>
  </si>
  <si>
    <t xml:space="preserve">52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</si>
  <si>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RD  </t>
    </r>
    <r>
      <rPr>
        <b val="true"/>
        <sz val="40"/>
        <color theme="1"/>
        <rFont val="Calibri"/>
        <family val="2"/>
        <charset val="1"/>
      </rPr>
      <t xml:space="preserve">ملتقى الأطفال</t>
    </r>
  </si>
  <si>
    <t xml:space="preserve">120</t>
  </si>
  <si>
    <t xml:space="preserve">Plusieurs régions du Royaume</t>
  </si>
  <si>
    <r>
      <rPr>
        <b val="true"/>
        <sz val="40"/>
        <rFont val="Arial Black"/>
        <family val="2"/>
        <charset val="1"/>
      </rPr>
      <t xml:space="preserve">Préparation et présentation de l'émission TV </t>
    </r>
    <r>
      <rPr>
        <b val="true"/>
        <sz val="40"/>
        <rFont val="Calibri"/>
        <family val="2"/>
        <charset val="1"/>
      </rPr>
      <t xml:space="preserve">الكراسي العلمية</t>
    </r>
  </si>
  <si>
    <t xml:space="preserve">01 prestation / 07 prestataires
</t>
  </si>
  <si>
    <t xml:space="preserve">Emission TV</t>
  </si>
  <si>
    <t xml:space="preserve">Grille ASSADISSA</t>
  </si>
  <si>
    <t xml:space="preserve">MOSTAPHA  BENHAMZA</t>
  </si>
  <si>
    <t xml:space="preserve"> Quotidienne </t>
  </si>
  <si>
    <t xml:space="preserve">ABDERAHIM NABOULSSI</t>
  </si>
  <si>
    <t xml:space="preserve">MOHAMMED RAOUGUI</t>
  </si>
  <si>
    <t xml:space="preserve">MOSTAPHA BAHIAOUI</t>
  </si>
  <si>
    <t xml:space="preserve">JAN/2025</t>
  </si>
  <si>
    <t xml:space="preserve">MOHAMMED BENKIRANE</t>
  </si>
  <si>
    <t xml:space="preserve">ABDERAHMANE ALIOUI </t>
  </si>
  <si>
    <t xml:space="preserve">ABOUATALLAH  ABDALLAH </t>
  </si>
  <si>
    <r>
      <rPr>
        <b val="true"/>
        <sz val="40"/>
        <color rgb="FF000000"/>
        <rFont val="Arial Black"/>
        <family val="2"/>
        <charset val="1"/>
      </rPr>
      <t xml:space="preserve">Réponse  sur antenne TV aux questions des téléspectateurs et téléspectatrices  </t>
    </r>
    <r>
      <rPr>
        <b val="true"/>
        <sz val="40"/>
        <color rgb="FF000000"/>
        <rFont val="Calibri"/>
        <family val="2"/>
        <charset val="1"/>
      </rPr>
      <t xml:space="preserve">يسألونك  </t>
    </r>
  </si>
  <si>
    <t xml:space="preserve">01 prestation / 06 prestataires</t>
  </si>
  <si>
    <t xml:space="preserve">LAHCEN ID SAID</t>
  </si>
  <si>
    <t xml:space="preserve"> 4 semaine Quotidienne en RAMADAN </t>
  </si>
  <si>
    <t xml:space="preserve">HOUSSAIN MIFRAH</t>
  </si>
  <si>
    <t xml:space="preserve">MOHAMMED ELYOUSSOUFI</t>
  </si>
  <si>
    <t xml:space="preserve">MOSTAPHA ZAMEHNNA </t>
  </si>
  <si>
    <t xml:space="preserve">GRILLE ASSADISSA</t>
  </si>
  <si>
    <t xml:space="preserve">KHADIJA ABOUZID</t>
  </si>
  <si>
    <t xml:space="preserve">BOUTHAINA ELGHALBZOURI</t>
  </si>
  <si>
    <r>
      <rPr>
        <b val="true"/>
        <sz val="40"/>
        <rFont val="Arial Black"/>
        <family val="2"/>
        <charset val="1"/>
      </rPr>
      <t xml:space="preserve">Préparation et présentation de l'émission TV </t>
    </r>
    <r>
      <rPr>
        <b val="true"/>
        <sz val="40"/>
        <rFont val="Calibri"/>
        <family val="2"/>
        <charset val="1"/>
      </rPr>
      <t xml:space="preserve">يسألونك</t>
    </r>
  </si>
  <si>
    <t xml:space="preserve">01 prestation/ 02 prestataires</t>
  </si>
  <si>
    <t xml:space="preserve">NOUVEAU CT</t>
  </si>
  <si>
    <t xml:space="preserve">FATIHA HAMMOUTI</t>
  </si>
  <si>
    <t xml:space="preserve">26</t>
  </si>
  <si>
    <t xml:space="preserve">EMISSION TV</t>
  </si>
  <si>
    <t xml:space="preserve">ANNUEL </t>
  </si>
  <si>
    <t xml:space="preserve">HICHAM LAHLIMI </t>
  </si>
  <si>
    <t xml:space="preserve">ANIMATION RD/TV: la gestion d'antenne RD</t>
  </si>
  <si>
    <t xml:space="preserve">2 prestations / 1 prestataire </t>
  </si>
  <si>
    <t xml:space="preserve">Prestataire RD/TV</t>
  </si>
  <si>
    <t xml:space="preserve">NOUVEAU CT </t>
  </si>
  <si>
    <t xml:space="preserve">MOHAMMED EL KHIRAOUI</t>
  </si>
  <si>
    <r>
      <rPr>
        <b val="true"/>
        <sz val="40"/>
        <rFont val="Arial Black"/>
        <family val="2"/>
        <charset val="1"/>
      </rPr>
      <t xml:space="preserve">Préparation et présentation de l'émission RD  </t>
    </r>
    <r>
      <rPr>
        <b val="true"/>
        <sz val="40"/>
        <rFont val="Calibri"/>
        <family val="2"/>
        <charset val="1"/>
      </rPr>
      <t xml:space="preserve">يسألونك</t>
    </r>
  </si>
  <si>
    <t xml:space="preserve">EMISSION RD</t>
  </si>
  <si>
    <t xml:space="preserve">Quotidienne</t>
  </si>
  <si>
    <r>
      <rPr>
        <b val="true"/>
        <sz val="40"/>
        <rFont val="Arial Black"/>
        <family val="2"/>
        <charset val="1"/>
      </rPr>
      <t xml:space="preserve">Préparation et présentation de l'émission TV  </t>
    </r>
    <r>
      <rPr>
        <b val="true"/>
        <sz val="40"/>
        <rFont val="Calibri"/>
        <family val="2"/>
        <charset val="1"/>
      </rPr>
      <t xml:space="preserve">المسالك </t>
    </r>
  </si>
  <si>
    <t xml:space="preserve">01 prestation / 01 prestataire</t>
  </si>
  <si>
    <t xml:space="preserve">LAYACHI QABBOUSSI</t>
  </si>
  <si>
    <r>
      <rPr>
        <b val="true"/>
        <sz val="40"/>
        <rFont val="Arial Black"/>
        <family val="2"/>
        <charset val="1"/>
      </rPr>
      <t xml:space="preserve">Préparation et présentation de l'émission TV</t>
    </r>
    <r>
      <rPr>
        <b val="true"/>
        <sz val="40"/>
        <rFont val="Calibri"/>
        <family val="2"/>
        <charset val="1"/>
      </rPr>
      <t xml:space="preserve">السيرة النبوية قضايا وأعلام</t>
    </r>
  </si>
  <si>
    <t xml:space="preserve">YOUSSEF ENNACIRI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</si>
  <si>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de l'émission TV </t>
    </r>
    <r>
      <rPr>
        <b val="true"/>
        <sz val="40"/>
        <color rgb="FF000000"/>
        <rFont val="Calibri"/>
        <family val="2"/>
        <charset val="1"/>
      </rPr>
      <t xml:space="preserve">أسوة حسنة</t>
    </r>
  </si>
  <si>
    <r>
      <rPr>
        <b val="true"/>
        <sz val="33"/>
        <color rgb="FF000000"/>
        <rFont val="Arial Black"/>
        <family val="2"/>
        <charset val="1"/>
      </rPr>
      <t xml:space="preserve">Remplaçant </t>
    </r>
    <r>
      <rPr>
        <b val="true"/>
        <sz val="33"/>
        <color rgb="FFFF0000"/>
        <rFont val="Arial Black"/>
        <family val="2"/>
        <charset val="1"/>
      </rPr>
      <t xml:space="preserve">(remplace l'émission TV </t>
    </r>
    <r>
      <rPr>
        <b val="true"/>
        <sz val="33"/>
        <color rgb="FFFF0000"/>
        <rFont val="Calibri"/>
        <family val="2"/>
        <charset val="1"/>
      </rPr>
      <t xml:space="preserve">جلسات قرانية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</si>
  <si>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TAYEB AIT OUAGHURI</t>
  </si>
  <si>
    <r>
      <rPr>
        <b val="true"/>
        <sz val="40"/>
        <color theme="1"/>
        <rFont val="Arial Black"/>
        <family val="2"/>
        <charset val="1"/>
      </rPr>
      <t xml:space="preserve">Réponses sur antenne RD aux questions des Auditeurs et Auditrices  </t>
    </r>
    <r>
      <rPr>
        <b val="true"/>
        <sz val="40"/>
        <color theme="1"/>
        <rFont val="Calibri"/>
        <family val="2"/>
        <charset val="1"/>
      </rPr>
      <t xml:space="preserve">يسألونك</t>
    </r>
  </si>
  <si>
    <t xml:space="preserve">ABDERAHIM LAMINE</t>
  </si>
  <si>
    <t xml:space="preserve">Quotedienne </t>
  </si>
  <si>
    <t xml:space="preserve">LAHASSAN ID SAID</t>
  </si>
  <si>
    <t xml:space="preserve">EL HOUSSAIN MIFRAH</t>
  </si>
  <si>
    <t xml:space="preserve">ABDERAHMAN ALIOUI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</si>
  <si>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de la capsule  RD </t>
    </r>
    <r>
      <rPr>
        <b val="true"/>
        <sz val="40"/>
        <color rgb="FF000000"/>
        <rFont val="Calibri"/>
        <family val="2"/>
        <charset val="1"/>
      </rPr>
      <t xml:space="preserve">حكم من القران والسنة</t>
    </r>
  </si>
  <si>
    <t xml:space="preserve">1 prestation / 1 prestataire </t>
  </si>
  <si>
    <t xml:space="preserve">Capsule RD</t>
  </si>
  <si>
    <t xml:space="preserve">NAWAL ZERRAD</t>
  </si>
  <si>
    <t xml:space="preserve">3-5</t>
  </si>
  <si>
    <r>
      <rPr>
        <b val="true"/>
        <sz val="40"/>
        <rFont val="Arial Black"/>
        <family val="2"/>
        <charset val="1"/>
      </rPr>
      <t xml:space="preserve">Préparation et présentation de l'émission TV  </t>
    </r>
    <r>
      <rPr>
        <b val="true"/>
        <sz val="40"/>
        <rFont val="Calibri"/>
        <family val="2"/>
        <charset val="1"/>
      </rPr>
      <t xml:space="preserve">مشكاة المصابيح  </t>
    </r>
  </si>
  <si>
    <t xml:space="preserve">02 prestations / 01 prestataire </t>
  </si>
  <si>
    <r>
      <rPr>
        <b val="true"/>
        <sz val="33"/>
        <color rgb="FFFF0000"/>
        <rFont val="Arial Black"/>
        <family val="2"/>
        <charset val="1"/>
      </rPr>
      <t xml:space="preserve"> (remplace l'émission</t>
    </r>
    <r>
      <rPr>
        <b val="true"/>
        <sz val="33"/>
        <color theme="1"/>
        <rFont val="Arial Black"/>
        <family val="2"/>
        <charset val="1"/>
      </rPr>
      <t xml:space="preserve"> </t>
    </r>
    <r>
      <rPr>
        <b val="true"/>
        <sz val="33"/>
        <color rgb="FFFF0000"/>
        <rFont val="Arial Black"/>
        <family val="2"/>
        <charset val="1"/>
      </rPr>
      <t xml:space="preserve">TV</t>
    </r>
    <r>
      <rPr>
        <b val="true"/>
        <sz val="33"/>
        <color theme="1"/>
        <rFont val="Arial Black"/>
        <family val="2"/>
        <charset val="1"/>
      </rPr>
      <t xml:space="preserve"> </t>
    </r>
    <r>
      <rPr>
        <b val="true"/>
        <sz val="33"/>
        <color rgb="FFFF0000"/>
        <rFont val="Calibri"/>
        <family val="2"/>
        <charset val="1"/>
      </rPr>
      <t xml:space="preserve">مع الثوابت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</si>
  <si>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ADNANE ZOUHAR</t>
  </si>
  <si>
    <t xml:space="preserve">13</t>
  </si>
  <si>
    <r>
      <rPr>
        <b val="true"/>
        <sz val="40"/>
        <rFont val="Arial Black"/>
        <family val="2"/>
        <charset val="1"/>
      </rPr>
      <t xml:space="preserve">Préparation et présentation de l'émision RD </t>
    </r>
    <r>
      <rPr>
        <b val="true"/>
        <sz val="40"/>
        <rFont val="Calibri"/>
        <family val="2"/>
        <charset val="1"/>
      </rPr>
      <t xml:space="preserve">بشارة المحبوب</t>
    </r>
  </si>
  <si>
    <r>
      <rPr>
        <b val="true"/>
        <sz val="33"/>
        <color rgb="FFFF0000"/>
        <rFont val="Arial Black"/>
        <family val="2"/>
        <charset val="1"/>
      </rPr>
      <t xml:space="preserve"> (remplace la capsule RD </t>
    </r>
    <r>
      <rPr>
        <b val="true"/>
        <sz val="33"/>
        <color rgb="FFFF0000"/>
        <rFont val="Calibri"/>
        <family val="2"/>
        <charset val="1"/>
      </rPr>
      <t xml:space="preserve">رشحات من البردة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</si>
  <si>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5-7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</si>
  <si>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TV </t>
    </r>
    <r>
      <rPr>
        <b val="true"/>
        <sz val="40"/>
        <color theme="1"/>
        <rFont val="Calibri"/>
        <family val="2"/>
        <charset val="1"/>
      </rPr>
      <t xml:space="preserve">في رحاب التزكية</t>
    </r>
  </si>
  <si>
    <t xml:space="preserve">02 prestations / 01 prestataire</t>
  </si>
  <si>
    <r>
      <rPr>
        <b val="true"/>
        <sz val="33"/>
        <color rgb="FFFF0000"/>
        <rFont val="Arial Black"/>
        <family val="2"/>
        <charset val="1"/>
      </rPr>
      <t xml:space="preserve"> (remplace l'émission TV</t>
    </r>
    <r>
      <rPr>
        <b val="true"/>
        <sz val="33"/>
        <color rgb="FFFF0000"/>
        <rFont val="Calibri"/>
        <family val="2"/>
        <charset val="1"/>
      </rPr>
      <t xml:space="preserve">مهجة  العطاء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</si>
  <si>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MOHAMMED MAHDI MANSOUR</t>
  </si>
  <si>
    <r>
      <rPr>
        <b val="true"/>
        <sz val="40"/>
        <color theme="1"/>
        <rFont val="Arial Black"/>
        <family val="2"/>
        <charset val="1"/>
      </rPr>
      <t xml:space="preserve">Préparation et présentation de la capsule RD </t>
    </r>
    <r>
      <rPr>
        <b val="true"/>
        <sz val="40"/>
        <color theme="1"/>
        <rFont val="Calibri"/>
        <family val="2"/>
        <charset val="1"/>
      </rPr>
      <t xml:space="preserve">صلاة وصلة</t>
    </r>
  </si>
  <si>
    <r>
      <rPr>
        <b val="true"/>
        <sz val="33"/>
        <color rgb="FFFF0000"/>
        <rFont val="Arial Black"/>
        <family val="2"/>
        <charset val="1"/>
      </rPr>
      <t xml:space="preserve"> (remplace la capsule RD </t>
    </r>
    <r>
      <rPr>
        <b val="true"/>
        <sz val="33"/>
        <color rgb="FFFF0000"/>
        <rFont val="Calibri"/>
        <family val="2"/>
        <charset val="1"/>
      </rPr>
      <t xml:space="preserve">عبرة وعبرة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</si>
  <si>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2/semaine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</si>
  <si>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TV </t>
    </r>
    <r>
      <rPr>
        <b val="true"/>
        <sz val="40"/>
        <color theme="1"/>
        <rFont val="Calibri"/>
        <family val="2"/>
        <charset val="1"/>
      </rPr>
      <t xml:space="preserve">براعم القراء</t>
    </r>
  </si>
  <si>
    <t xml:space="preserve">AHMED BENMHANE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</si>
  <si>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RD </t>
    </r>
    <r>
      <rPr>
        <b val="true"/>
        <sz val="40"/>
        <color theme="1"/>
        <rFont val="Calibri"/>
        <family val="2"/>
        <charset val="1"/>
      </rPr>
      <t xml:space="preserve">مواهب التجويد  </t>
    </r>
  </si>
  <si>
    <r>
      <rPr>
        <b val="true"/>
        <sz val="40"/>
        <color theme="1"/>
        <rFont val="Arial Black"/>
        <family val="2"/>
        <charset val="1"/>
      </rPr>
      <t xml:space="preserve">Présentation de l'émission RD  </t>
    </r>
    <r>
      <rPr>
        <b val="true"/>
        <sz val="40"/>
        <color theme="1"/>
        <rFont val="Calibri"/>
        <family val="2"/>
        <charset val="1"/>
      </rPr>
      <t xml:space="preserve">ثم تتفكروا </t>
    </r>
  </si>
  <si>
    <t xml:space="preserve">01 prestations / 02 prestataires</t>
  </si>
  <si>
    <r>
      <rPr>
        <b val="true"/>
        <sz val="33"/>
        <color rgb="FFFF0000"/>
        <rFont val="Arial Black"/>
        <family val="2"/>
        <charset val="1"/>
      </rPr>
      <t xml:space="preserve"> (remplace </t>
    </r>
    <r>
      <rPr>
        <b val="true"/>
        <sz val="33"/>
        <color rgb="FFFF0000"/>
        <rFont val="Calibri"/>
        <family val="2"/>
        <charset val="1"/>
      </rPr>
      <t xml:space="preserve">جل تر المعاني 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</si>
  <si>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HICHAM FATOUHI</t>
  </si>
  <si>
    <r>
      <rPr>
        <b val="true"/>
        <sz val="40"/>
        <color theme="1"/>
        <rFont val="Arial Black"/>
        <family val="2"/>
        <charset val="1"/>
      </rPr>
      <t xml:space="preserve">Présentation de la capsule RD </t>
    </r>
    <r>
      <rPr>
        <b val="true"/>
        <sz val="40"/>
        <color theme="1"/>
        <rFont val="Calibri"/>
        <family val="2"/>
        <charset val="1"/>
      </rPr>
      <t xml:space="preserve">كمالات محمدية </t>
    </r>
  </si>
  <si>
    <r>
      <rPr>
        <b val="true"/>
        <sz val="40"/>
        <rFont val="Arial Black"/>
        <family val="2"/>
        <charset val="1"/>
      </rPr>
      <t xml:space="preserve">Préparation de l'émission RD   </t>
    </r>
    <r>
      <rPr>
        <b val="true"/>
        <sz val="40"/>
        <rFont val="Calibri"/>
        <family val="2"/>
        <charset val="1"/>
      </rPr>
      <t xml:space="preserve">ثم تتفكروا</t>
    </r>
  </si>
  <si>
    <r>
      <rPr>
        <b val="true"/>
        <sz val="33"/>
        <color rgb="FFFF0000"/>
        <rFont val="Arial Black"/>
        <family val="2"/>
        <charset val="1"/>
      </rPr>
      <t xml:space="preserve"> (remplace </t>
    </r>
    <r>
      <rPr>
        <b val="true"/>
        <sz val="33"/>
        <color rgb="FFFF0000"/>
        <rFont val="Calibri"/>
        <family val="2"/>
        <charset val="1"/>
      </rPr>
      <t xml:space="preserve">جل تر المعاني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</si>
  <si>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MOHAMMED TAHAMI AL HARAQ</t>
  </si>
  <si>
    <r>
      <rPr>
        <b val="true"/>
        <sz val="40"/>
        <rFont val="Arial Black"/>
        <family val="2"/>
        <charset val="1"/>
      </rPr>
      <t xml:space="preserve"> Préparation de la capsule  RD </t>
    </r>
    <r>
      <rPr>
        <b val="true"/>
        <sz val="40"/>
        <rFont val="Calibri"/>
        <family val="2"/>
        <charset val="1"/>
      </rPr>
      <t xml:space="preserve">كمالات محمدية  </t>
    </r>
  </si>
  <si>
    <r>
      <rPr>
        <b val="true"/>
        <sz val="40"/>
        <rFont val="Arial Black"/>
        <family val="2"/>
        <charset val="1"/>
      </rPr>
      <t xml:space="preserve">Présentation de l'émission TV  </t>
    </r>
    <r>
      <rPr>
        <b val="true"/>
        <sz val="40"/>
        <rFont val="Calibri"/>
        <family val="2"/>
        <charset val="1"/>
      </rPr>
      <t xml:space="preserve">الدين والقانون</t>
    </r>
  </si>
  <si>
    <r>
      <rPr>
        <b val="true"/>
        <sz val="40"/>
        <rFont val="Arial Black"/>
        <family val="2"/>
        <charset val="1"/>
      </rPr>
      <t xml:space="preserve">Préparation de l'émission TV </t>
    </r>
    <r>
      <rPr>
        <b val="true"/>
        <sz val="40"/>
        <rFont val="Calibri"/>
        <family val="2"/>
        <charset val="1"/>
      </rPr>
      <t xml:space="preserve">الدين والقانون  </t>
    </r>
  </si>
  <si>
    <t xml:space="preserve">ABDERAHIME LAMINE</t>
  </si>
  <si>
    <r>
      <rPr>
        <b val="true"/>
        <sz val="40"/>
        <rFont val="Arial Black"/>
        <family val="2"/>
        <charset val="1"/>
      </rPr>
      <t xml:space="preserve">Préparation et présentation de la capsule  RD   </t>
    </r>
    <r>
      <rPr>
        <b val="true"/>
        <sz val="40"/>
        <rFont val="Calibri"/>
        <family val="2"/>
        <charset val="1"/>
      </rPr>
      <t xml:space="preserve">ومضات حول الثوابث</t>
    </r>
  </si>
  <si>
    <t xml:space="preserve">ILYAS BENNANI</t>
  </si>
  <si>
    <r>
      <rPr>
        <b val="true"/>
        <sz val="40"/>
        <rFont val="Arial Black"/>
        <family val="2"/>
        <charset val="1"/>
      </rPr>
      <t xml:space="preserve">Préparation et présentation de l'émission RD </t>
    </r>
    <r>
      <rPr>
        <b val="true"/>
        <sz val="40"/>
        <rFont val="Calibri"/>
        <family val="2"/>
        <charset val="1"/>
      </rPr>
      <t xml:space="preserve">طفل يقرأ</t>
    </r>
  </si>
  <si>
    <t xml:space="preserve">01 prestations / 01 prestataire</t>
  </si>
  <si>
    <t xml:space="preserve">FATIHA HAMDAOUI</t>
  </si>
  <si>
    <r>
      <rPr>
        <b val="true"/>
        <sz val="40"/>
        <rFont val="Arial Black"/>
        <family val="2"/>
        <charset val="1"/>
      </rPr>
      <t xml:space="preserve">Préparation et présentation de l'émission RD </t>
    </r>
    <r>
      <rPr>
        <b val="true"/>
        <sz val="40"/>
        <rFont val="Calibri"/>
        <family val="2"/>
        <charset val="1"/>
      </rPr>
      <t xml:space="preserve">محافل السماع</t>
    </r>
  </si>
  <si>
    <t xml:space="preserve">MOHCINE NORCH</t>
  </si>
  <si>
    <r>
      <rPr>
        <b val="true"/>
        <sz val="40"/>
        <rFont val="Arial Black"/>
        <family val="2"/>
        <charset val="1"/>
      </rPr>
      <t xml:space="preserve">Préparation et présentation de l'émission RD </t>
    </r>
    <r>
      <rPr>
        <b val="true"/>
        <sz val="40"/>
        <rFont val="Calibri"/>
        <family val="2"/>
        <charset val="1"/>
      </rPr>
      <t xml:space="preserve">الدين للحياة</t>
    </r>
  </si>
  <si>
    <t xml:space="preserve">01 prestation /01 prestatire </t>
  </si>
  <si>
    <t xml:space="preserve">MOHAMMED DERKAOUI</t>
  </si>
  <si>
    <r>
      <rPr>
        <b val="true"/>
        <sz val="40"/>
        <rFont val="Arial Black"/>
        <family val="2"/>
        <charset val="1"/>
      </rPr>
      <t xml:space="preserve">Préparation Présentation émission TV </t>
    </r>
    <r>
      <rPr>
        <b val="true"/>
        <sz val="40"/>
        <rFont val="Calibri"/>
        <family val="2"/>
        <charset val="1"/>
      </rPr>
      <t xml:space="preserve">حياة القلوب </t>
    </r>
  </si>
  <si>
    <t xml:space="preserve">HAYAT ESSAFI</t>
  </si>
  <si>
    <r>
      <rPr>
        <b val="true"/>
        <sz val="40"/>
        <rFont val="Arial Black"/>
        <family val="2"/>
        <charset val="1"/>
      </rPr>
      <t xml:space="preserve">Préparation Présentation émission RD </t>
    </r>
    <r>
      <rPr>
        <b val="true"/>
        <sz val="40"/>
        <rFont val="Calibri"/>
        <family val="2"/>
        <charset val="1"/>
      </rPr>
      <t xml:space="preserve">تاريخ وحضارة</t>
    </r>
  </si>
  <si>
    <t xml:space="preserve">ZAKIA HADDAD</t>
  </si>
  <si>
    <r>
      <rPr>
        <b val="true"/>
        <sz val="40"/>
        <rFont val="Arial Black"/>
        <family val="2"/>
        <charset val="1"/>
      </rPr>
      <t xml:space="preserve">Préparation Présentation émission RD </t>
    </r>
    <r>
      <rPr>
        <b val="true"/>
        <sz val="40"/>
        <rFont val="Calibri"/>
        <family val="2"/>
        <charset val="1"/>
      </rPr>
      <t xml:space="preserve">التبليغ المبين لمعاني المرشد المعين</t>
    </r>
  </si>
  <si>
    <t xml:space="preserve">01 prestation / 02 prestataires</t>
  </si>
  <si>
    <t xml:space="preserve">ILHAM CHAFIQ </t>
  </si>
  <si>
    <r>
      <rPr>
        <b val="true"/>
        <sz val="40"/>
        <rFont val="Arial Black"/>
        <family val="2"/>
        <charset val="1"/>
      </rPr>
      <t xml:space="preserve">Réponses aux question de lémission RD </t>
    </r>
    <r>
      <rPr>
        <b val="true"/>
        <sz val="40"/>
        <rFont val="Calibri"/>
        <family val="2"/>
        <charset val="1"/>
      </rPr>
      <t xml:space="preserve">التبليغ المبين لمعاني المرشد المعين</t>
    </r>
  </si>
  <si>
    <t xml:space="preserve">ABDERAHMANE ALIOUI</t>
  </si>
  <si>
    <r>
      <rPr>
        <b val="true"/>
        <sz val="40"/>
        <rFont val="Arial Black"/>
        <family val="2"/>
        <charset val="1"/>
      </rPr>
      <t xml:space="preserve">Préparation et présentation de l'émission TV   </t>
    </r>
    <r>
      <rPr>
        <b val="true"/>
        <sz val="40"/>
        <rFont val="Calibri"/>
        <family val="2"/>
        <charset val="1"/>
      </rPr>
      <t xml:space="preserve">مع الشباب   </t>
    </r>
  </si>
  <si>
    <t xml:space="preserve">SAID NAQCHI</t>
  </si>
  <si>
    <t xml:space="preserve">Préparation et présentation de l'émission TV : Les chemins croisés </t>
  </si>
  <si>
    <t xml:space="preserve">DINA KADIRI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</si>
  <si>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de l'émission TV   </t>
    </r>
    <r>
      <rPr>
        <b val="true"/>
        <sz val="40"/>
        <color rgb="FF000000"/>
        <rFont val="Calibri"/>
        <family val="2"/>
        <charset val="1"/>
      </rPr>
      <t xml:space="preserve">الكلمة السواء </t>
    </r>
  </si>
  <si>
    <t xml:space="preserve">AHMED EL BOUKILI</t>
  </si>
  <si>
    <r>
      <rPr>
        <b val="true"/>
        <sz val="40"/>
        <rFont val="Arial Black"/>
        <family val="2"/>
        <charset val="1"/>
      </rPr>
      <t xml:space="preserve">Préparation et présentation de l'émission TV </t>
    </r>
    <r>
      <rPr>
        <b val="true"/>
        <sz val="40"/>
        <rFont val="Calibri"/>
        <family val="2"/>
        <charset val="1"/>
      </rPr>
      <t xml:space="preserve">نشرة مغاربة العالم</t>
    </r>
  </si>
  <si>
    <t xml:space="preserve">MAJDA BOUAZZA</t>
  </si>
  <si>
    <t xml:space="preserve">7</t>
  </si>
  <si>
    <t xml:space="preserve">Préparation et présentation de l'émission  TV Le Coran Raconté</t>
  </si>
  <si>
    <t xml:space="preserve">Mohammed Hassan EL GHARBI</t>
  </si>
  <si>
    <r>
      <rPr>
        <b val="true"/>
        <sz val="40"/>
        <rFont val="Arial Black"/>
        <family val="2"/>
        <charset val="1"/>
      </rPr>
      <t xml:space="preserve">Préparation  et Présentation d'une émission TV   </t>
    </r>
    <r>
      <rPr>
        <b val="true"/>
        <sz val="40"/>
        <rFont val="Calibri"/>
        <family val="2"/>
        <charset val="1"/>
      </rPr>
      <t xml:space="preserve">قضايا التبليغ   </t>
    </r>
  </si>
  <si>
    <t xml:space="preserve">SAID BIHI</t>
  </si>
  <si>
    <r>
      <rPr>
        <b val="true"/>
        <sz val="40"/>
        <color rgb="FF000000"/>
        <rFont val="Arial Black"/>
        <family val="2"/>
        <charset val="1"/>
      </rPr>
      <t xml:space="preserve">Préparation  d'une émission TV</t>
    </r>
    <r>
      <rPr>
        <b val="true"/>
        <sz val="40"/>
        <color rgb="FF000000"/>
        <rFont val="Calibri"/>
        <family val="2"/>
        <charset val="1"/>
      </rPr>
      <t xml:space="preserve">تنايت</t>
    </r>
  </si>
  <si>
    <r>
      <rPr>
        <b val="true"/>
        <sz val="33"/>
        <color rgb="FFFF0000"/>
        <rFont val="Arial Black"/>
        <family val="2"/>
        <charset val="1"/>
      </rPr>
      <t xml:space="preserve"> (remplace l'émission TV </t>
    </r>
    <r>
      <rPr>
        <b val="true"/>
        <sz val="33"/>
        <color rgb="FFFF0000"/>
        <rFont val="Calibri"/>
        <family val="2"/>
        <charset val="1"/>
      </rPr>
      <t xml:space="preserve">تربية وفنون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</si>
  <si>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MOULAY AHMED AMGHAR</t>
  </si>
  <si>
    <t xml:space="preserve">Préparation et présentation de l'émission TV Les Constantes Religieuses  </t>
  </si>
  <si>
    <t xml:space="preserve">ILYAS AMHRAR</t>
  </si>
  <si>
    <r>
      <rPr>
        <b val="true"/>
        <sz val="40"/>
        <rFont val="Arial Black"/>
        <family val="2"/>
        <charset val="1"/>
      </rPr>
      <t xml:space="preserve">Préparation et présentation de l'émission RD  </t>
    </r>
    <r>
      <rPr>
        <b val="true"/>
        <sz val="40"/>
        <rFont val="Calibri"/>
        <family val="2"/>
        <charset val="1"/>
      </rPr>
      <t xml:space="preserve">مذاكرات </t>
    </r>
  </si>
  <si>
    <t xml:space="preserve">ABDELKAMEL DINIA</t>
  </si>
  <si>
    <t xml:space="preserve"> Plusieurs régions du Royaume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</si>
  <si>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TV</t>
    </r>
    <r>
      <rPr>
        <b val="true"/>
        <sz val="40"/>
        <color theme="1"/>
        <rFont val="Calibri"/>
        <family val="2"/>
        <charset val="1"/>
      </rPr>
      <t xml:space="preserve">جسور</t>
    </r>
  </si>
  <si>
    <t xml:space="preserve">WAFAE JABRANE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</si>
  <si>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TV </t>
    </r>
    <r>
      <rPr>
        <b val="true"/>
        <sz val="40"/>
        <color theme="1"/>
        <rFont val="Calibri"/>
        <family val="2"/>
        <charset val="1"/>
      </rPr>
      <t xml:space="preserve">استهلال</t>
    </r>
    <r>
      <rPr>
        <b val="true"/>
        <sz val="40"/>
        <color theme="1"/>
        <rFont val="Arial Black"/>
        <family val="2"/>
        <charset val="1"/>
      </rPr>
      <t xml:space="preserve">- </t>
    </r>
    <r>
      <rPr>
        <b val="true"/>
        <sz val="40"/>
        <color theme="1"/>
        <rFont val="Calibri"/>
        <family val="2"/>
        <charset val="1"/>
      </rPr>
      <t xml:space="preserve">لست وحدك</t>
    </r>
  </si>
  <si>
    <t xml:space="preserve">ENNAJI EL AMJAD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</si>
  <si>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RD </t>
    </r>
    <r>
      <rPr>
        <b val="true"/>
        <sz val="40"/>
        <color theme="1"/>
        <rFont val="Calibri"/>
        <family val="2"/>
        <charset val="1"/>
      </rPr>
      <t xml:space="preserve">لحظة لصحتك</t>
    </r>
  </si>
  <si>
    <t xml:space="preserve">AMINA IRAQI HOUSSAINI</t>
  </si>
  <si>
    <t xml:space="preserve">Préparation et présentation de l'émission TV   Quranic Insights</t>
  </si>
  <si>
    <t xml:space="preserve">KHALID SAQI</t>
  </si>
  <si>
    <t xml:space="preserve">2/ SEMAINE</t>
  </si>
  <si>
    <r>
      <rPr>
        <b val="true"/>
        <sz val="40"/>
        <color theme="1"/>
        <rFont val="Arial Black"/>
        <family val="2"/>
        <charset val="1"/>
      </rPr>
      <t xml:space="preserve">Préparation et présentation de l'émission RD </t>
    </r>
    <r>
      <rPr>
        <b val="true"/>
        <sz val="40"/>
        <color theme="1"/>
        <rFont val="Calibri"/>
        <family val="2"/>
        <charset val="1"/>
      </rPr>
      <t xml:space="preserve">الرسالة الخالدة  </t>
    </r>
  </si>
  <si>
    <t xml:space="preserve">Président de la commission scientifique chargée de l’écoute, du visionnage, de la validation, et de l'approbation du contenu des émissions RD et TV </t>
  </si>
  <si>
    <t xml:space="preserve">01prestation/ 01  prestataire</t>
  </si>
  <si>
    <t xml:space="preserve">COMMISSION SCIENTIFIQUE</t>
  </si>
  <si>
    <t xml:space="preserve">Contrôle des contenus des programmes RD/TV</t>
  </si>
  <si>
    <t xml:space="preserve">Membre de la commission scientifique chargée de l’écoute, du visionnage et de la validation  du contenu des émissions RD et TV </t>
  </si>
  <si>
    <t xml:space="preserve">01prestation/ 03  prestataires</t>
  </si>
  <si>
    <t xml:space="preserve">ABDELKAMEL BOULMAAN</t>
  </si>
  <si>
    <t xml:space="preserve">Membre de la commission scientifique chargée l’écoute, du visionnage et de la validation  du contenu des émissions RD et TV </t>
  </si>
  <si>
    <t xml:space="preserve">MOUSSA ELBAHJA </t>
  </si>
  <si>
    <t xml:space="preserve">HASSAN AZZOUZI</t>
  </si>
  <si>
    <t xml:space="preserve">PAD RD et TV : Membre de la commission scientifique chargée de l’écoute et du visionnage des émissions RD et TV </t>
  </si>
  <si>
    <t xml:space="preserve">01 prestation/ 09 prestataires</t>
  </si>
  <si>
    <t xml:space="preserve">AYACHI QABOUSSI</t>
  </si>
  <si>
    <t xml:space="preserve">AMZIL ALI ABDELJALIL</t>
  </si>
  <si>
    <t xml:space="preserve">YOUSSEF NACIRI</t>
  </si>
  <si>
    <t xml:space="preserve">HICHAM EL HLIMI</t>
  </si>
  <si>
    <t xml:space="preserve">HAFSA AL ASRI</t>
  </si>
  <si>
    <t xml:space="preserve">PAD RD et TV : Membre de la commission scientifique chargée de l’écoute, du visionnage des lectures et des émissions coraniques RD et TV </t>
  </si>
  <si>
    <t xml:space="preserve">Révision et contrôle des émissions coraniques et lectures du saint coran RD /TV</t>
  </si>
  <si>
    <t xml:space="preserve">AHMED BENMEHAAN</t>
  </si>
  <si>
    <t xml:space="preserve">MOHAMMED AL BOUKHARI</t>
  </si>
  <si>
    <t xml:space="preserve">Révision et contrôle des émissions coraniques et lectures du saint coran RD </t>
  </si>
  <si>
    <t xml:space="preserve">ABDELKARIM AL BAQI ALLAH </t>
  </si>
  <si>
    <r>
      <rPr>
        <b val="true"/>
        <u val="single"/>
        <sz val="40"/>
        <color rgb="FF000000"/>
        <rFont val="Arial Black"/>
        <family val="2"/>
        <charset val="1"/>
      </rPr>
      <t xml:space="preserve">Réalisatrice RD</t>
    </r>
    <r>
      <rPr>
        <b val="true"/>
        <sz val="40"/>
        <color theme="1"/>
        <rFont val="Arial Black"/>
        <family val="2"/>
        <charset val="1"/>
      </rPr>
      <t xml:space="preserve"> : Montage, mixage, animation RD des émissions  et Programmation RD</t>
    </r>
  </si>
  <si>
    <t xml:space="preserve">01 prestation/ 01  prestataire</t>
  </si>
  <si>
    <t xml:space="preserve">Prestataire RD</t>
  </si>
  <si>
    <t xml:space="preserve">RABIA ZARHOUNI</t>
  </si>
  <si>
    <t xml:space="preserve">Réalisateur RD: Montage, mixage et réalisation des émissions RD</t>
  </si>
  <si>
    <t xml:space="preserve">OMAR HAZMIRI</t>
  </si>
  <si>
    <t xml:space="preserve">Réalisatrice RD : Montage, mixage et Programmation RD</t>
  </si>
  <si>
    <t xml:space="preserve">KARIMA BENNIKS</t>
  </si>
  <si>
    <t xml:space="preserve">Programatrice : Programation TV (Conducteur Quotidien)</t>
  </si>
  <si>
    <t xml:space="preserve">Prestataire TV</t>
  </si>
  <si>
    <t xml:space="preserve">Remplacement</t>
  </si>
  <si>
    <r>
      <rPr>
        <b val="true"/>
        <sz val="40"/>
        <color theme="1"/>
        <rFont val="Arial Black"/>
        <family val="2"/>
        <charset val="1"/>
      </rPr>
      <t xml:space="preserve">AMINE MARZOUKI (</t>
    </r>
    <r>
      <rPr>
        <b val="true"/>
        <sz val="40"/>
        <color rgb="FFFF0000"/>
        <rFont val="Arial Black"/>
        <family val="2"/>
        <charset val="1"/>
      </rPr>
      <t xml:space="preserve">REMPLACE AICHA EZLALGA</t>
    </r>
    <r>
      <rPr>
        <b val="true"/>
        <sz val="40"/>
        <color theme="1"/>
        <rFont val="Arial Black"/>
        <family val="2"/>
        <charset val="1"/>
      </rPr>
      <t xml:space="preserve">)</t>
    </r>
  </si>
  <si>
    <r>
      <rPr>
        <b val="true"/>
        <u val="single"/>
        <sz val="40"/>
        <color theme="1"/>
        <rFont val="Arial Black"/>
        <family val="2"/>
        <charset val="1"/>
      </rPr>
      <t xml:space="preserve">Programatrice</t>
    </r>
    <r>
      <rPr>
        <b val="true"/>
        <sz val="40"/>
        <color theme="1"/>
        <rFont val="Arial Black"/>
        <family val="2"/>
        <charset val="1"/>
      </rPr>
      <t xml:space="preserve"> : Programation TV (Conducteur Quotidien)</t>
    </r>
  </si>
  <si>
    <t xml:space="preserve">OUMAIMA LAJKIM</t>
  </si>
  <si>
    <r>
      <rPr>
        <b val="true"/>
        <u val="single"/>
        <sz val="40"/>
        <color theme="1"/>
        <rFont val="Arial Black"/>
        <family val="2"/>
        <charset val="1"/>
      </rPr>
      <t xml:space="preserve">Infographiste</t>
    </r>
    <r>
      <rPr>
        <b val="true"/>
        <sz val="40"/>
        <color theme="1"/>
        <rFont val="Arial Black"/>
        <family val="2"/>
        <charset val="1"/>
      </rPr>
      <t xml:space="preserve"> :  , Infographie , Montage et la coordination du portail de la chaîne</t>
    </r>
  </si>
  <si>
    <t xml:space="preserve">OUSSAMA DEHROUR</t>
  </si>
  <si>
    <r>
      <rPr>
        <b val="true"/>
        <u val="single"/>
        <sz val="36"/>
        <color theme="1"/>
        <rFont val="Arial Black"/>
        <family val="2"/>
        <charset val="1"/>
      </rPr>
      <t xml:space="preserve">Programmatrice</t>
    </r>
    <r>
      <rPr>
        <b val="true"/>
        <sz val="36"/>
        <color theme="1"/>
        <rFont val="Arial Black"/>
        <family val="2"/>
        <charset val="1"/>
      </rPr>
      <t xml:space="preserve"> TV: Montage / coordination et suivi avec la commission scientifique / Archivage STM /coordination du Portail de la Direction des chaines coraniques</t>
    </r>
  </si>
  <si>
    <t xml:space="preserve">MANAL LAHFAOUI</t>
  </si>
  <si>
    <r>
      <rPr>
        <b val="true"/>
        <u val="single"/>
        <sz val="40"/>
        <color theme="1"/>
        <rFont val="Arial Black"/>
        <family val="2"/>
        <charset val="1"/>
      </rPr>
      <t xml:space="preserve">Programmatrice</t>
    </r>
    <r>
      <rPr>
        <b val="true"/>
        <sz val="40"/>
        <color theme="1"/>
        <rFont val="Arial Black"/>
        <family val="2"/>
        <charset val="1"/>
      </rPr>
      <t xml:space="preserve"> TV: Montage / coordination et suivi avec la commission scientifique / Archivage STM /coordination du Portail de la Direction des chaines coraniques</t>
    </r>
  </si>
  <si>
    <t xml:space="preserve">REMPLACEMENT</t>
  </si>
  <si>
    <t xml:space="preserve">MAROUANE ABOUJAAFAR (remplace CHAIMAAE DALDOULI 28CT/SNRT/2025)</t>
  </si>
  <si>
    <r>
      <rPr>
        <b val="true"/>
        <u val="single"/>
        <sz val="40"/>
        <color theme="1"/>
        <rFont val="Arial Black"/>
        <family val="2"/>
        <charset val="1"/>
      </rPr>
      <t xml:space="preserve">Programmateur TV</t>
    </r>
    <r>
      <rPr>
        <b val="true"/>
        <sz val="40"/>
        <color theme="1"/>
        <rFont val="Arial Black"/>
        <family val="2"/>
        <charset val="1"/>
      </rPr>
      <t xml:space="preserve">: (Conducteur Quotidien), montage et la coordination et suivi avec la commission technique TV</t>
    </r>
  </si>
  <si>
    <t xml:space="preserve">IMAD ZAOUI  ( remplace SAMIR OUBAHSIS 30CT/SNRT/2025)</t>
  </si>
  <si>
    <t xml:space="preserve">Prise de vue et prise de son TV: OPV / OPS</t>
  </si>
  <si>
    <t xml:space="preserve">FARID ELHAJJI</t>
  </si>
  <si>
    <t xml:space="preserve">MOUHCINE NASEEDDINE</t>
  </si>
  <si>
    <t xml:space="preserve">BADR ELMHAMDI</t>
  </si>
  <si>
    <t xml:space="preserve">WALID DRISSI</t>
  </si>
  <si>
    <t xml:space="preserve">EZ-ZHAR MOHAMMED </t>
  </si>
  <si>
    <t xml:space="preserve">ILYAS ABIDA</t>
  </si>
  <si>
    <t xml:space="preserve">Prise de vue et prise de son TV (OPV/OPS) /Infographie, Montage,</t>
  </si>
  <si>
    <t xml:space="preserve">SALMA CHBANI</t>
  </si>
  <si>
    <t xml:space="preserve"> Prise de vue OPV /Montage TV</t>
  </si>
  <si>
    <t xml:space="preserve">YOUSSEF HAJJOUJI </t>
  </si>
  <si>
    <t xml:space="preserve">Animateur RD/TV : la gestion de l'antenne RD / Couverture et Reportage RD // TV</t>
  </si>
  <si>
    <t xml:space="preserve">01 prestation / 04 prestataires</t>
  </si>
  <si>
    <t xml:space="preserve">Grille  ASSADISSA et Radio Mohammed VI du saint coran</t>
  </si>
  <si>
    <t xml:space="preserve">ANAS BENGHABRIT</t>
  </si>
  <si>
    <t xml:space="preserve">YASSINE TALAOUI</t>
  </si>
  <si>
    <r>
      <rPr>
        <b val="true"/>
        <sz val="40"/>
        <color rgb="FF000000"/>
        <rFont val="Arial Black"/>
        <family val="2"/>
        <charset val="1"/>
      </rPr>
      <t xml:space="preserve">AICHA CHAFAI </t>
    </r>
    <r>
      <rPr>
        <b val="true"/>
        <sz val="40"/>
        <color rgb="FFFF0000"/>
        <rFont val="Arial Black"/>
        <family val="2"/>
        <charset val="1"/>
      </rPr>
      <t xml:space="preserve">(Remplace EL HACHMI KEDDOURI 41CT/SNRT/2025)</t>
    </r>
  </si>
  <si>
    <t xml:space="preserve">Animatrice RD /TV </t>
  </si>
  <si>
    <r>
      <rPr>
        <b val="true"/>
        <sz val="40"/>
        <rFont val="Arial Black"/>
        <family val="2"/>
        <charset val="1"/>
      </rPr>
      <t xml:space="preserve">Préparation et présentation  de l'émission TV    "</t>
    </r>
    <r>
      <rPr>
        <b val="true"/>
        <sz val="40"/>
        <rFont val="Calibri"/>
        <family val="2"/>
        <charset val="1"/>
      </rPr>
      <t xml:space="preserve">لتسكنوا إليها  </t>
    </r>
    <r>
      <rPr>
        <b val="true"/>
        <sz val="40"/>
        <rFont val="Arial Black"/>
        <family val="2"/>
        <charset val="1"/>
      </rPr>
      <t xml:space="preserve">" </t>
    </r>
  </si>
  <si>
    <t xml:space="preserve">ZINEB HIDRA</t>
  </si>
  <si>
    <r>
      <rPr>
        <b val="true"/>
        <sz val="40"/>
        <rFont val="Arial Black"/>
        <family val="2"/>
        <charset val="1"/>
      </rPr>
      <t xml:space="preserve">Préparation et présentation  de l'émission TV    " </t>
    </r>
    <r>
      <rPr>
        <b val="true"/>
        <sz val="40"/>
        <rFont val="Calibri"/>
        <family val="2"/>
        <charset val="1"/>
      </rPr>
      <t xml:space="preserve">همزة وصل  </t>
    </r>
    <r>
      <rPr>
        <b val="true"/>
        <sz val="40"/>
        <rFont val="Arial Black"/>
        <family val="2"/>
        <charset val="1"/>
      </rPr>
      <t xml:space="preserve">" </t>
    </r>
  </si>
  <si>
    <t xml:space="preserve">YAMNA HAMOURI</t>
  </si>
  <si>
    <t xml:space="preserve">Mensuelle</t>
  </si>
  <si>
    <r>
      <rPr>
        <b val="true"/>
        <sz val="40"/>
        <rFont val="Arial Black"/>
        <family val="2"/>
        <charset val="1"/>
      </rPr>
      <t xml:space="preserve">Préparation du documentaire TV  " </t>
    </r>
    <r>
      <rPr>
        <b val="true"/>
        <sz val="40"/>
        <rFont val="Calibri"/>
        <family val="2"/>
        <charset val="1"/>
      </rPr>
      <t xml:space="preserve">في حضرة زوايا   </t>
    </r>
    <r>
      <rPr>
        <b val="true"/>
        <sz val="40"/>
        <rFont val="Arial Black"/>
        <family val="2"/>
        <charset val="1"/>
      </rPr>
      <t xml:space="preserve">" </t>
    </r>
  </si>
  <si>
    <t xml:space="preserve">HICHAM EL HLIMI (remplace IDRISS ELHAMDAOUI 449CT/SNRT/2025 (annulé))</t>
  </si>
  <si>
    <r>
      <rPr>
        <b val="true"/>
        <sz val="40"/>
        <rFont val="Arial Black"/>
        <family val="2"/>
        <charset val="1"/>
      </rPr>
      <t xml:space="preserve">Présentation du documentaire TV " </t>
    </r>
    <r>
      <rPr>
        <b val="true"/>
        <sz val="40"/>
        <rFont val="Calibri"/>
        <family val="2"/>
        <charset val="1"/>
      </rPr>
      <t xml:space="preserve">في حضرة زوايا   </t>
    </r>
    <r>
      <rPr>
        <b val="true"/>
        <sz val="40"/>
        <rFont val="Arial Black"/>
        <family val="2"/>
        <charset val="1"/>
      </rPr>
      <t xml:space="preserve">" </t>
    </r>
  </si>
  <si>
    <r>
      <rPr>
        <b val="true"/>
        <sz val="40"/>
        <rFont val="Arial Black"/>
        <family val="2"/>
        <charset val="1"/>
      </rPr>
      <t xml:space="preserve">TAYEB AIT OUGHORI </t>
    </r>
    <r>
      <rPr>
        <b val="true"/>
        <sz val="40"/>
        <color rgb="FFFF0000"/>
        <rFont val="Arial Black"/>
        <family val="2"/>
        <charset val="1"/>
      </rPr>
      <t xml:space="preserve">(450CT/SNRT/2025 (annulé))</t>
    </r>
  </si>
  <si>
    <r>
      <rPr>
        <b val="true"/>
        <sz val="40"/>
        <rFont val="Arial Black"/>
        <family val="2"/>
        <charset val="1"/>
      </rPr>
      <t xml:space="preserve">Présentation de l'émission TV </t>
    </r>
    <r>
      <rPr>
        <b val="true"/>
        <sz val="40"/>
        <rFont val="Calibri"/>
        <family val="2"/>
        <charset val="1"/>
      </rPr>
      <t xml:space="preserve">المقنع في علم التوقيت</t>
    </r>
  </si>
  <si>
    <t xml:space="preserve">01 prestation/ 2 prestataires</t>
  </si>
  <si>
    <t xml:space="preserve">HALIMA KIHL</t>
  </si>
  <si>
    <r>
      <rPr>
        <b val="true"/>
        <sz val="40"/>
        <rFont val="Arial Black"/>
        <family val="2"/>
        <charset val="1"/>
      </rPr>
      <t xml:space="preserve">Préparation  de l'émission TV    " </t>
    </r>
    <r>
      <rPr>
        <b val="true"/>
        <sz val="40"/>
        <rFont val="Calibri"/>
        <family val="2"/>
        <charset val="1"/>
      </rPr>
      <t xml:space="preserve">المقنع في علم التوقيت </t>
    </r>
    <r>
      <rPr>
        <b val="true"/>
        <sz val="40"/>
        <rFont val="Arial Black"/>
        <family val="2"/>
        <charset val="1"/>
      </rPr>
      <t xml:space="preserve">" </t>
    </r>
  </si>
  <si>
    <t xml:space="preserve">ABDESLAM JMILI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</si>
  <si>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 de l'émission TV                " </t>
    </r>
    <r>
      <rPr>
        <b val="true"/>
        <sz val="40"/>
        <color rgb="FF000000"/>
        <rFont val="Calibri"/>
        <family val="2"/>
        <charset val="1"/>
      </rPr>
      <t xml:space="preserve">الرسم القراني   </t>
    </r>
    <r>
      <rPr>
        <b val="true"/>
        <sz val="40"/>
        <color rgb="FF000000"/>
        <rFont val="Arial Black"/>
        <family val="2"/>
        <charset val="1"/>
      </rPr>
      <t xml:space="preserve">"                </t>
    </r>
  </si>
  <si>
    <t xml:space="preserve">MOULAY ENNAJM TAHDAOUI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</si>
  <si>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 de l'émission TV                 "</t>
    </r>
    <r>
      <rPr>
        <b val="true"/>
        <sz val="40"/>
        <rFont val="Calibri"/>
        <family val="2"/>
        <charset val="1"/>
      </rPr>
      <t xml:space="preserve">في ضيافة الشباب  </t>
    </r>
    <r>
      <rPr>
        <b val="true"/>
        <sz val="40"/>
        <rFont val="Arial Black"/>
        <family val="2"/>
        <charset val="1"/>
      </rPr>
      <t xml:space="preserve">" </t>
    </r>
  </si>
  <si>
    <t xml:space="preserve">MOHAMMED AIT ADDI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</si>
  <si>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 de l'émission TV                   "  </t>
    </r>
    <r>
      <rPr>
        <b val="true"/>
        <sz val="40"/>
        <color rgb="FF000000"/>
        <rFont val="Calibri"/>
        <family val="2"/>
        <charset val="1"/>
      </rPr>
      <t xml:space="preserve">يوميات مسلم  </t>
    </r>
    <r>
      <rPr>
        <b val="true"/>
        <sz val="40"/>
        <color rgb="FF000000"/>
        <rFont val="Arial Black"/>
        <family val="2"/>
        <charset val="1"/>
      </rPr>
      <t xml:space="preserve">" </t>
    </r>
  </si>
  <si>
    <t xml:space="preserve">ABDELLATIF TAYBI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</si>
  <si>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 de  la capsule TV    "</t>
    </r>
    <r>
      <rPr>
        <b val="true"/>
        <sz val="40"/>
        <rFont val="Calibri"/>
        <family val="2"/>
        <charset val="1"/>
      </rPr>
      <t xml:space="preserve">مطايا الامال  </t>
    </r>
    <r>
      <rPr>
        <b val="true"/>
        <sz val="40"/>
        <rFont val="Arial Black"/>
        <family val="2"/>
        <charset val="1"/>
      </rPr>
      <t xml:space="preserve">" </t>
    </r>
  </si>
  <si>
    <r>
      <rPr>
        <b val="true"/>
        <sz val="33"/>
        <color rgb="FF000000"/>
        <rFont val="Arial Black"/>
        <family val="2"/>
        <charset val="1"/>
      </rPr>
      <t xml:space="preserve">Remplaçant (Remplace la capsule TV </t>
    </r>
    <r>
      <rPr>
        <b val="true"/>
        <sz val="33"/>
        <color rgb="FFFF0000"/>
        <rFont val="Calibri"/>
        <family val="2"/>
        <charset val="1"/>
      </rPr>
      <t xml:space="preserve">أسرار الصيام</t>
    </r>
    <r>
      <rPr>
        <b val="true"/>
        <sz val="33"/>
        <color rgb="FFFF0000"/>
        <rFont val="Arial Black"/>
        <family val="2"/>
        <charset val="1"/>
      </rPr>
      <t xml:space="preserve">)</t>
    </r>
  </si>
  <si>
    <t xml:space="preserve">JAMILA LARMACH</t>
  </si>
  <si>
    <r>
      <rPr>
        <b val="true"/>
        <sz val="40"/>
        <color rgb="FF000000"/>
        <rFont val="Arial Black"/>
        <family val="2"/>
        <charset val="1"/>
      </rPr>
      <t xml:space="preserve">Préparation et présentation de l'émission RD  </t>
    </r>
    <r>
      <rPr>
        <b val="true"/>
        <sz val="40"/>
        <color rgb="FF000000"/>
        <rFont val="Calibri"/>
        <family val="2"/>
        <charset val="1"/>
      </rPr>
      <t xml:space="preserve">قبس الأنوار</t>
    </r>
  </si>
  <si>
    <t xml:space="preserve">YOUNES BOUALAM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</si>
</sst>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#,##0.00"/>
    <numFmt numFmtId="167" formatCode="#,##0.00;[RED]#,##0.00"/>
    <numFmt numFmtId="168" formatCode="@"/>
    <numFmt numFmtId="169" formatCode="0;[RED]0"/>
    <numFmt numFmtId="170" formatCode="#,##0.00_ ;\-#,##0.00\ 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6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theme="1"/>
      <name val="Arial Black"/>
      <family val="2"/>
      <charset val="1"/>
    </font>
    <font>
      <b val="true"/>
      <sz val="34"/>
      <color theme="1"/>
      <name val="Arial Black"/>
      <family val="2"/>
      <charset val="1"/>
    </font>
    <font>
      <b val="true"/>
      <sz val="28"/>
      <color theme="1"/>
      <name val="Arial Black"/>
      <family val="2"/>
      <charset val="1"/>
    </font>
    <font>
      <b val="true"/>
      <sz val="33"/>
      <color theme="1"/>
      <name val="Arial Black"/>
      <family val="2"/>
      <charset val="1"/>
    </font>
    <font>
      <b val="true"/>
      <sz val="30"/>
      <color theme="1"/>
      <name val="Arial Black"/>
      <family val="2"/>
      <charset val="1"/>
    </font>
    <font>
      <b val="true"/>
      <sz val="36"/>
      <color theme="1"/>
      <name val="Arial Black"/>
      <family val="2"/>
      <charset val="1"/>
    </font>
    <font>
      <b val="true"/>
      <sz val="40"/>
      <color theme="1"/>
      <name val="Arial Black"/>
      <family val="2"/>
      <charset val="1"/>
    </font>
    <font>
      <b val="true"/>
      <sz val="11"/>
      <color theme="0"/>
      <name val="Arial Black"/>
      <family val="2"/>
      <charset val="1"/>
    </font>
    <font>
      <b val="true"/>
      <sz val="40"/>
      <color theme="0"/>
      <name val="Arial Black"/>
      <family val="2"/>
      <charset val="1"/>
    </font>
    <font>
      <b val="true"/>
      <sz val="34"/>
      <color theme="0"/>
      <name val="Arial Black"/>
      <family val="2"/>
      <charset val="1"/>
    </font>
    <font>
      <b val="true"/>
      <sz val="33"/>
      <color theme="0"/>
      <name val="Arial Black"/>
      <family val="2"/>
      <charset val="1"/>
    </font>
    <font>
      <b val="true"/>
      <sz val="30"/>
      <color rgb="FFFFC000"/>
      <name val="Arial Black"/>
      <family val="2"/>
      <charset val="1"/>
    </font>
    <font>
      <b val="true"/>
      <sz val="36"/>
      <color theme="0"/>
      <name val="Arial Black"/>
      <family val="2"/>
      <charset val="1"/>
    </font>
    <font>
      <b val="true"/>
      <sz val="40"/>
      <color theme="1"/>
      <name val="Calibri"/>
      <family val="2"/>
      <charset val="1"/>
    </font>
    <font>
      <b val="true"/>
      <sz val="33"/>
      <color rgb="FFFF0000"/>
      <name val="Times New Roman"/>
      <family val="1"/>
      <charset val="1"/>
    </font>
    <font>
      <b val="true"/>
      <sz val="40"/>
      <color rgb="FFFF0000"/>
      <name val="Arial Black"/>
      <family val="2"/>
      <charset val="1"/>
    </font>
    <font>
      <b val="true"/>
      <sz val="40"/>
      <name val="Arial Black"/>
      <family val="2"/>
      <charset val="1"/>
    </font>
    <font>
      <b val="true"/>
      <sz val="40"/>
      <name val="Calibri"/>
      <family val="2"/>
      <charset val="1"/>
    </font>
    <font>
      <b val="true"/>
      <sz val="34"/>
      <name val="Arial Black"/>
      <family val="2"/>
      <charset val="1"/>
    </font>
    <font>
      <b val="true"/>
      <sz val="33"/>
      <name val="Arial Black"/>
      <family val="2"/>
      <charset val="1"/>
    </font>
    <font>
      <b val="true"/>
      <sz val="30"/>
      <name val="Arial Black"/>
      <family val="2"/>
      <charset val="1"/>
    </font>
    <font>
      <b val="true"/>
      <sz val="11"/>
      <name val="Arial Black"/>
      <family val="2"/>
      <charset val="1"/>
    </font>
    <font>
      <b val="true"/>
      <sz val="40"/>
      <color rgb="FF000000"/>
      <name val="Arial Black"/>
      <family val="2"/>
      <charset val="1"/>
    </font>
    <font>
      <b val="true"/>
      <sz val="40"/>
      <color rgb="FF000000"/>
      <name val="Calibri"/>
      <family val="2"/>
      <charset val="1"/>
    </font>
    <font>
      <b val="true"/>
      <sz val="34"/>
      <color rgb="FF000000"/>
      <name val="Arial Black"/>
      <family val="2"/>
      <charset val="1"/>
    </font>
    <font>
      <b val="true"/>
      <sz val="33"/>
      <color rgb="FF000000"/>
      <name val="Arial Black"/>
      <family val="2"/>
      <charset val="1"/>
    </font>
    <font>
      <b val="true"/>
      <sz val="30"/>
      <color rgb="FF000000"/>
      <name val="Arial Black"/>
      <family val="2"/>
      <charset val="1"/>
    </font>
    <font>
      <b val="true"/>
      <sz val="36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33"/>
      <color rgb="FFFF0000"/>
      <name val="Arial Black"/>
      <family val="2"/>
      <charset val="1"/>
    </font>
    <font>
      <b val="true"/>
      <sz val="11"/>
      <color rgb="FF3F3F3F"/>
      <name val="Calibri"/>
      <family val="2"/>
      <charset val="1"/>
    </font>
    <font>
      <b val="true"/>
      <sz val="40"/>
      <color rgb="FF3F3F3F"/>
      <name val="Arial Black"/>
      <family val="2"/>
      <charset val="1"/>
    </font>
    <font>
      <b val="true"/>
      <sz val="33"/>
      <color rgb="FFFF0000"/>
      <name val="Calibri"/>
      <family val="2"/>
      <charset val="1"/>
    </font>
    <font>
      <b val="true"/>
      <sz val="36"/>
      <name val="Arial Black"/>
      <family val="2"/>
      <charset val="1"/>
    </font>
    <font>
      <b val="true"/>
      <sz val="11"/>
      <color rgb="FFFF0000"/>
      <name val="Arial Black"/>
      <family val="2"/>
      <charset val="1"/>
    </font>
    <font>
      <b val="true"/>
      <u val="single"/>
      <sz val="40"/>
      <color rgb="FF000000"/>
      <name val="Arial Black"/>
      <family val="2"/>
      <charset val="1"/>
    </font>
    <font>
      <b val="true"/>
      <u val="single"/>
      <sz val="40"/>
      <color theme="1"/>
      <name val="Arial Black"/>
      <family val="2"/>
      <charset val="1"/>
    </font>
    <font>
      <b val="true"/>
      <u val="single"/>
      <sz val="36"/>
      <color theme="1"/>
      <name val="Arial Black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theme="3" tint="0.3997"/>
        <bgColor rgb="FF808080"/>
      </patternFill>
    </fill>
    <fill>
      <patternFill patternType="solid">
        <fgColor theme="9" tint="0.3997"/>
        <bgColor rgb="FF9DC3E6"/>
      </patternFill>
    </fill>
    <fill>
      <patternFill patternType="solid">
        <fgColor theme="4" tint="0.5997"/>
        <bgColor rgb="FF9DC3E6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theme="4" tint="0.3997"/>
        <bgColor rgb="FFBDD7EE"/>
      </patternFill>
    </fill>
    <fill>
      <patternFill patternType="solid">
        <fgColor theme="6" tint="0.7998"/>
        <bgColor rgb="FFF2F2F2"/>
      </patternFill>
    </fill>
    <fill>
      <patternFill patternType="solid">
        <fgColor rgb="FFFFFF00"/>
        <bgColor rgb="FFFFFF00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0"/>
      </right>
      <top style="thin"/>
      <bottom style="thin"/>
      <diagonal/>
    </border>
    <border diagonalUp="false" diagonalDown="false">
      <left style="thin">
        <color theme="0"/>
      </left>
      <right style="thin">
        <color theme="0"/>
      </right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>
        <color rgb="FF3F3F3F"/>
      </right>
      <top/>
      <bottom style="thin"/>
      <diagonal/>
    </border>
    <border diagonalUp="false" diagonalDown="false">
      <left style="thin">
        <color rgb="FF3F3F3F"/>
      </left>
      <right style="thin">
        <color rgb="FF3F3F3F"/>
      </right>
      <top/>
      <bottom style="thin"/>
      <diagonal/>
    </border>
    <border diagonalUp="false" diagonalDown="false">
      <left style="thin"/>
      <right style="thin">
        <color rgb="FF3F3F3F"/>
      </right>
      <top style="thin"/>
      <bottom style="thin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 style="thin"/>
      <bottom style="thin">
        <color rgb="FF3F3F3F"/>
      </bottom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38" fillId="2" borderId="1" applyFont="true" applyBorder="true" applyAlignment="true" applyProtection="false">
      <alignment horizontal="general" vertical="bottom" textRotation="0" wrapText="false" indent="0" shrinkToFit="false"/>
    </xf>
  </cellStyleXfs>
  <cellXfs count="2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 readingOrder="1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7" fontId="8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4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5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6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9" fillId="7" borderId="7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8" fontId="14" fillId="7" borderId="7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8" fontId="11" fillId="7" borderId="7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8" fontId="12" fillId="7" borderId="7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8" fontId="14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3" fillId="7" borderId="7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7" fontId="14" fillId="7" borderId="7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8" fontId="14" fillId="5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8" fontId="16" fillId="3" borderId="8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6" fillId="3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3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3" borderId="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8" fillId="3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7" fillId="3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3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6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9" fillId="3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0" fillId="3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6" fillId="8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8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8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6" fillId="3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6" fillId="3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13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4" fillId="7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7" borderId="1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7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7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9" fontId="14" fillId="7" borderId="1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1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1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1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1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1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19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4" fillId="7" borderId="2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7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2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2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3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9" fontId="1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2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24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2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2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24" fillId="7" borderId="2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9" fontId="2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23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7" fontId="14" fillId="7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6" fillId="7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2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7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8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24" fillId="7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2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23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4" fontId="29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27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26" fillId="7" borderId="2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2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7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8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9" fontId="24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24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26" xfId="0" applyFont="true" applyBorder="true" applyAlignment="true" applyProtection="true">
      <alignment horizontal="center" vertical="top" textRotation="0" wrapText="true" indent="0" shrinkToFit="false" readingOrder="1"/>
      <protection locked="true" hidden="false"/>
    </xf>
    <xf numFmtId="168" fontId="30" fillId="7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30" fillId="7" borderId="2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2" fillId="7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0" fillId="7" borderId="2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3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0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9" fontId="30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5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30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30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6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7" fontId="30" fillId="7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30" fillId="7" borderId="3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24" fillId="7" borderId="2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7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31" xfId="2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39" fillId="7" borderId="3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33" xfId="2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39" fillId="7" borderId="34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3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30" fillId="7" borderId="3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5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0" fillId="7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7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4" fillId="7" borderId="2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3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26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30" fillId="7" borderId="2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5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30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0" fontId="30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26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24" fillId="7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1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24" fillId="7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23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4" fillId="7" borderId="23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70" fontId="1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0" borderId="26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4" fillId="0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2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7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9" fontId="14" fillId="0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14" fillId="0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0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9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0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0" fontId="14" fillId="0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7" fillId="0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70" fontId="2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42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2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23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30" fillId="7" borderId="1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24" fillId="7" borderId="19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7" fontId="13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30" fillId="7" borderId="23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7" borderId="2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6" fillId="7" borderId="2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41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43" fillId="7" borderId="23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7" fontId="35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0" fillId="7" borderId="2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8" fontId="44" fillId="7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44" fillId="7" borderId="23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45" fillId="7" borderId="26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44" fillId="7" borderId="1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14" fillId="7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4" fillId="7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8" fontId="24" fillId="7" borderId="36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0" fillId="7" borderId="5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7" borderId="9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7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7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7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7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10" borderId="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37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7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3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7" borderId="0" xfId="0" applyFont="true" applyBorder="fals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1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13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7" fontId="14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true" indent="0" shrinkToFit="false" readingOrder="1"/>
      <protection locked="true" hidden="false"/>
    </xf>
    <xf numFmtId="164" fontId="10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  <xf numFmtId="167" fontId="8" fillId="7" borderId="0" xfId="0" applyFont="true" applyBorder="false" applyAlignment="true" applyProtection="true">
      <alignment horizontal="center" vertical="center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0"/>
  </cellStyles>
  <dxfs count="5">
    <dxf>
      <fill>
        <patternFill patternType="solid">
          <fgColor rgb="FF8497B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9DC3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8497B0"/>
      <rgbColor rgb="FF203864"/>
      <rgbColor rgb="FF00B050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RAPPORT%20PPA/PPA%2029%2003%202021/Analyse/16%2006%202021/PPA%20version%20du%2016%2006%20202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LEAU DE BORD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PA PRODUCTION 2021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DETAIL AO PROD 2016-2021"/>
      <sheetName val="Feuil4"/>
      <sheetName val="Feuil2"/>
      <sheetName val="PRODUCTION16-20"/>
      <sheetName val="PPA PRODUCTION 2021 previ"/>
      <sheetName val="PPA PRODUCTION 2021 concre"/>
      <sheetName val="PG(4)"/>
      <sheetName val="ANALYSE SOMMAIRE MARCHES"/>
      <sheetName val="Parametres"/>
      <sheetName val="ANALYSE MARCHES"/>
      <sheetName val="ANALYSE MARCHES (2)"/>
      <sheetName val="Feuil7"/>
      <sheetName val="Feuil7 (2)"/>
      <sheetName val="MARCHES16-20"/>
      <sheetName val="Feuil1"/>
      <sheetName val="Feuil9"/>
      <sheetName val="PPA MARCHES 2021"/>
      <sheetName val="PPA MARCHES 2021 prev"/>
      <sheetName val="PPA MARCHES 2021 concret"/>
      <sheetName val="PG(5)"/>
      <sheetName val="ANALYSE SOMMAIRE CONTRAT"/>
      <sheetName val="Base"/>
      <sheetName val="ANALYSE CONTRAT"/>
      <sheetName val="CONTRAT16-20"/>
      <sheetName val="Feuil6"/>
      <sheetName val="PPA CONVENT &amp; CT 2021"/>
      <sheetName val="PPA CONVENT &amp; CT 2021 PREVIS"/>
      <sheetName val="PPA CONVENT &amp; CT 2021 CONCRET"/>
      <sheetName val="PG(6)"/>
      <sheetName val="ANALYSE SOMMAIRE BC"/>
      <sheetName val="ANALYSE BC"/>
      <sheetName val="BC16-20"/>
      <sheetName val="Feuil3"/>
      <sheetName val="Feuil5"/>
      <sheetName val="PPA BC 2021"/>
      <sheetName val="PPA BC 2021 PREVISION"/>
      <sheetName val="PPA BC 2021 CONCRET"/>
      <sheetName val="PG(7)"/>
      <sheetName val="CONCLUSION"/>
      <sheetName val="RE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864"/>
    <pageSetUpPr fitToPage="false"/>
  </sheetPr>
  <dimension ref="A1:L14"/>
  <sheetViews>
    <sheetView showFormulas="false" showGridLines="false" showRowColHeaders="true" showZeros="true" rightToLeft="false" tabSelected="true" showOutlineSymbols="true" defaultGridColor="true" view="pageBreakPreview" topLeftCell="A1" colorId="64" zoomScale="25" zoomScaleNormal="25" zoomScalePageLayoutView="25" workbookViewId="0">
      <selection pane="topLeft" activeCell="J4" activeCellId="0" sqref="J4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42.42"/>
    <col collapsed="false" customWidth="true" hidden="false" outlineLevel="0" max="2" min="2" style="2" width="61.15"/>
    <col collapsed="false" customWidth="true" hidden="false" outlineLevel="0" max="3" min="3" style="2" width="35.14"/>
    <col collapsed="false" customWidth="true" hidden="false" outlineLevel="0" max="4" min="4" style="3" width="30.14"/>
    <col collapsed="false" customWidth="true" hidden="false" outlineLevel="0" max="5" min="5" style="2" width="41"/>
    <col collapsed="false" customWidth="true" hidden="false" outlineLevel="0" max="6" min="6" style="2" width="37.42"/>
    <col collapsed="false" customWidth="true" hidden="false" outlineLevel="0" max="7" min="7" style="2" width="38.71"/>
    <col collapsed="false" customWidth="true" hidden="false" outlineLevel="0" max="8" min="8" style="2" width="45.14"/>
    <col collapsed="false" customWidth="true" hidden="false" outlineLevel="0" max="9" min="9" style="2" width="44"/>
    <col collapsed="false" customWidth="true" hidden="false" outlineLevel="0" max="10" min="10" style="4" width="49.29"/>
    <col collapsed="false" customWidth="true" hidden="false" outlineLevel="0" max="11" min="11" style="2" width="6.57"/>
    <col collapsed="false" customWidth="false" hidden="false" outlineLevel="0" max="16384" min="12" style="2" width="11.43"/>
  </cols>
  <sheetData>
    <row r="1" customFormat="false" ht="76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7.5" hidden="false" customHeight="true" outlineLevel="0" collapsed="false"/>
    <row r="3" customFormat="false" ht="99.75" hidden="false" customHeight="true" outlineLevel="0" collapsed="false">
      <c r="A3" s="6" t="s">
        <v>1</v>
      </c>
      <c r="B3" s="7" t="s">
        <v>2</v>
      </c>
      <c r="C3" s="7" t="s">
        <v>3</v>
      </c>
      <c r="D3" s="8" t="s">
        <v>4</v>
      </c>
      <c r="E3" s="7" t="s">
        <v>5</v>
      </c>
      <c r="F3" s="7" t="s">
        <v>6</v>
      </c>
      <c r="G3" s="7" t="s">
        <v>7</v>
      </c>
      <c r="H3" s="9" t="s">
        <v>8</v>
      </c>
      <c r="I3" s="9" t="s">
        <v>9</v>
      </c>
      <c r="J3" s="7" t="s">
        <v>10</v>
      </c>
    </row>
    <row r="4" s="15" customFormat="true" ht="90" hidden="false" customHeight="true" outlineLevel="0" collapsed="false">
      <c r="A4" s="10" t="s">
        <v>11</v>
      </c>
      <c r="B4" s="11" t="s">
        <v>12</v>
      </c>
      <c r="C4" s="10" t="s">
        <v>13</v>
      </c>
      <c r="D4" s="12" t="n">
        <v>90000</v>
      </c>
      <c r="E4" s="13" t="s">
        <v>14</v>
      </c>
      <c r="F4" s="13" t="n">
        <v>2026</v>
      </c>
      <c r="G4" s="13" t="s">
        <v>15</v>
      </c>
      <c r="H4" s="13" t="s">
        <v>16</v>
      </c>
      <c r="I4" s="14" t="s">
        <v>17</v>
      </c>
      <c r="J4" s="10" t="s">
        <v>18</v>
      </c>
    </row>
    <row r="14" s="3" customFormat="true" ht="15" hidden="false" customHeight="false" outlineLevel="0" collapsed="false">
      <c r="A14" s="1"/>
      <c r="B14" s="2"/>
      <c r="C14" s="16"/>
      <c r="E14" s="2"/>
      <c r="F14" s="2"/>
      <c r="G14" s="2"/>
      <c r="H14" s="2"/>
      <c r="I14" s="2"/>
      <c r="J14" s="4"/>
      <c r="K14" s="2"/>
      <c r="L14" s="2"/>
    </row>
  </sheetData>
  <autoFilter ref="A3:J4"/>
  <mergeCells count="1">
    <mergeCell ref="A1:J1"/>
  </mergeCells>
  <printOptions headings="false" gridLines="false" gridLinesSet="true" horizontalCentered="true" verticalCentered="true"/>
  <pageMargins left="0.236111111111111" right="0.236111111111111" top="0.354861111111111" bottom="0.11875" header="0.315277777777778" footer="0.315277777777778"/>
  <pageSetup paperSize="9" scale="47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&amp;C&amp;16&amp;P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25" zoomScaleNormal="25" zoomScalePageLayoutView="25" workbookViewId="0">
      <pane xSplit="0" ySplit="5" topLeftCell="A6" activePane="bottomLeft" state="frozen"/>
      <selection pane="topLeft" activeCell="A1" activeCellId="0" sqref="A1"/>
      <selection pane="bottomLeft" activeCell="K6" activeCellId="0" sqref="K6"/>
    </sheetView>
  </sheetViews>
  <sheetFormatPr defaultColWidth="11.42578125" defaultRowHeight="23.25" customHeight="true" zeroHeight="false" outlineLevelRow="0" outlineLevelCol="0"/>
  <cols>
    <col collapsed="false" customWidth="true" hidden="false" outlineLevel="0" max="1" min="1" style="17" width="133.86"/>
    <col collapsed="false" customWidth="true" hidden="false" outlineLevel="0" max="2" min="2" style="18" width="53.71"/>
    <col collapsed="false" customWidth="true" hidden="false" outlineLevel="0" max="3" min="3" style="19" width="68.57"/>
    <col collapsed="false" customWidth="true" hidden="false" outlineLevel="0" max="4" min="4" style="20" width="54.85"/>
    <col collapsed="false" customWidth="true" hidden="false" outlineLevel="0" max="5" min="5" style="21" width="62.14"/>
    <col collapsed="false" customWidth="true" hidden="false" outlineLevel="0" max="6" min="6" style="22" width="53.71"/>
    <col collapsed="false" customWidth="true" hidden="false" outlineLevel="0" max="7" min="7" style="20" width="50.29"/>
    <col collapsed="false" customWidth="true" hidden="false" outlineLevel="0" max="8" min="8" style="20" width="59.29"/>
    <col collapsed="false" customWidth="true" hidden="false" outlineLevel="0" max="9" min="9" style="23" width="66.86"/>
    <col collapsed="false" customWidth="true" hidden="false" outlineLevel="0" max="10" min="10" style="18" width="45.71"/>
    <col collapsed="false" customWidth="true" hidden="false" outlineLevel="0" max="11" min="11" style="18" width="30"/>
    <col collapsed="false" customWidth="true" hidden="false" outlineLevel="0" max="12" min="12" style="23" width="62.29"/>
    <col collapsed="false" customWidth="true" hidden="false" outlineLevel="0" max="13" min="13" style="24" width="46.15"/>
    <col collapsed="false" customWidth="true" hidden="false" outlineLevel="0" max="14" min="14" style="18" width="60.42"/>
    <col collapsed="false" customWidth="true" hidden="false" outlineLevel="0" max="15" min="15" style="18" width="57.14"/>
    <col collapsed="false" customWidth="true" hidden="false" outlineLevel="0" max="16" min="16" style="18" width="57.29"/>
    <col collapsed="false" customWidth="true" hidden="false" outlineLevel="0" max="17" min="17" style="18" width="54.29"/>
    <col collapsed="false" customWidth="true" hidden="false" outlineLevel="0" max="20" min="18" style="0" width="11.57"/>
    <col collapsed="false" customWidth="false" hidden="false" outlineLevel="0" max="16380" min="21" style="18" width="11.43"/>
    <col collapsed="false" customWidth="true" hidden="false" outlineLevel="0" max="16384" min="16381" style="18" width="11.57"/>
  </cols>
  <sheetData>
    <row r="1" customFormat="false" ht="65.65" hidden="false" customHeight="true" outlineLevel="0" collapsed="false">
      <c r="A1" s="25" t="s">
        <v>19</v>
      </c>
      <c r="B1" s="25"/>
      <c r="C1" s="26"/>
      <c r="D1" s="26"/>
      <c r="E1" s="26"/>
      <c r="F1" s="26"/>
      <c r="G1" s="26"/>
      <c r="H1" s="26"/>
      <c r="I1" s="26"/>
      <c r="J1" s="26"/>
      <c r="K1" s="27" t="s">
        <v>20</v>
      </c>
      <c r="L1" s="27"/>
      <c r="M1" s="27"/>
      <c r="N1" s="27"/>
      <c r="O1" s="27"/>
      <c r="P1" s="27"/>
      <c r="Q1" s="27"/>
    </row>
    <row r="2" customFormat="false" ht="68.65" hidden="false" customHeight="true" outlineLevel="0" collapsed="false">
      <c r="A2" s="25" t="s">
        <v>21</v>
      </c>
      <c r="B2" s="25"/>
      <c r="C2" s="26"/>
      <c r="D2" s="26"/>
      <c r="E2" s="26"/>
      <c r="F2" s="26"/>
      <c r="G2" s="26"/>
      <c r="H2" s="26"/>
      <c r="I2" s="26"/>
      <c r="J2" s="26"/>
      <c r="K2" s="27"/>
      <c r="L2" s="27"/>
      <c r="M2" s="27"/>
      <c r="N2" s="27"/>
      <c r="O2" s="27"/>
      <c r="P2" s="27"/>
      <c r="Q2" s="27"/>
    </row>
    <row r="3" customFormat="false" ht="62.65" hidden="false" customHeight="true" outlineLevel="0" collapsed="false">
      <c r="A3" s="28" t="s">
        <v>20</v>
      </c>
      <c r="B3" s="28"/>
      <c r="C3" s="29"/>
      <c r="D3" s="30"/>
      <c r="E3" s="31"/>
      <c r="F3" s="32"/>
      <c r="G3" s="30"/>
      <c r="H3" s="30"/>
      <c r="I3" s="33"/>
      <c r="J3" s="30"/>
      <c r="K3" s="30"/>
      <c r="L3" s="34"/>
      <c r="M3" s="35"/>
      <c r="N3" s="30"/>
      <c r="O3" s="30"/>
      <c r="P3" s="30"/>
      <c r="Q3" s="30"/>
    </row>
    <row r="4" s="37" customFormat="true" ht="71.6" hidden="false" customHeight="true" outlineLevel="0" collapsed="false">
      <c r="A4" s="36" t="s">
        <v>22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</row>
    <row r="5" customFormat="false" ht="297" hidden="false" customHeight="true" outlineLevel="0" collapsed="false">
      <c r="A5" s="38" t="s">
        <v>23</v>
      </c>
      <c r="B5" s="39" t="s">
        <v>24</v>
      </c>
      <c r="C5" s="40" t="s">
        <v>25</v>
      </c>
      <c r="D5" s="41" t="s">
        <v>26</v>
      </c>
      <c r="E5" s="42" t="s">
        <v>27</v>
      </c>
      <c r="F5" s="43" t="s">
        <v>10</v>
      </c>
      <c r="G5" s="44" t="s">
        <v>28</v>
      </c>
      <c r="H5" s="44" t="s">
        <v>29</v>
      </c>
      <c r="I5" s="44" t="s">
        <v>30</v>
      </c>
      <c r="J5" s="45" t="s">
        <v>31</v>
      </c>
      <c r="K5" s="46" t="s">
        <v>32</v>
      </c>
      <c r="L5" s="47" t="s">
        <v>33</v>
      </c>
      <c r="M5" s="48" t="s">
        <v>34</v>
      </c>
      <c r="N5" s="49" t="s">
        <v>35</v>
      </c>
      <c r="O5" s="50" t="s">
        <v>36</v>
      </c>
      <c r="P5" s="51" t="s">
        <v>6</v>
      </c>
      <c r="Q5" s="52" t="s">
        <v>37</v>
      </c>
    </row>
    <row r="6" s="66" customFormat="true" ht="300" hidden="false" customHeight="true" outlineLevel="0" collapsed="false">
      <c r="A6" s="53" t="s">
        <v>38</v>
      </c>
      <c r="B6" s="54" t="s">
        <v>39</v>
      </c>
      <c r="C6" s="55" t="s">
        <v>40</v>
      </c>
      <c r="D6" s="56" t="s">
        <v>41</v>
      </c>
      <c r="E6" s="57" t="s">
        <v>42</v>
      </c>
      <c r="F6" s="58" t="s">
        <v>43</v>
      </c>
      <c r="G6" s="59" t="s">
        <v>44</v>
      </c>
      <c r="H6" s="59" t="s">
        <v>45</v>
      </c>
      <c r="I6" s="59" t="s">
        <v>46</v>
      </c>
      <c r="J6" s="60" t="n">
        <v>40</v>
      </c>
      <c r="K6" s="61" t="n">
        <v>13</v>
      </c>
      <c r="L6" s="62" t="s">
        <v>47</v>
      </c>
      <c r="M6" s="63"/>
      <c r="N6" s="64" t="n">
        <v>1500</v>
      </c>
      <c r="O6" s="64" t="n">
        <f aca="false">J6*N6</f>
        <v>60000</v>
      </c>
      <c r="P6" s="61" t="s">
        <v>48</v>
      </c>
      <c r="Q6" s="65"/>
    </row>
    <row r="7" s="66" customFormat="true" ht="300" hidden="false" customHeight="true" outlineLevel="0" collapsed="false">
      <c r="A7" s="67" t="s">
        <v>49</v>
      </c>
      <c r="B7" s="68" t="s">
        <v>50</v>
      </c>
      <c r="C7" s="69" t="s">
        <v>40</v>
      </c>
      <c r="D7" s="70" t="s">
        <v>41</v>
      </c>
      <c r="E7" s="71" t="s">
        <v>51</v>
      </c>
      <c r="F7" s="72" t="s">
        <v>43</v>
      </c>
      <c r="G7" s="73" t="s">
        <v>44</v>
      </c>
      <c r="H7" s="73" t="s">
        <v>45</v>
      </c>
      <c r="I7" s="74" t="s">
        <v>52</v>
      </c>
      <c r="J7" s="75" t="n">
        <v>30</v>
      </c>
      <c r="K7" s="76" t="s">
        <v>53</v>
      </c>
      <c r="L7" s="77" t="s">
        <v>54</v>
      </c>
      <c r="M7" s="78"/>
      <c r="N7" s="79" t="n">
        <v>1428.57</v>
      </c>
      <c r="O7" s="79" t="n">
        <f aca="false">J7*N7</f>
        <v>42857.1</v>
      </c>
      <c r="P7" s="76" t="s">
        <v>48</v>
      </c>
      <c r="Q7" s="80"/>
    </row>
    <row r="8" s="66" customFormat="true" ht="300" hidden="false" customHeight="true" outlineLevel="0" collapsed="false">
      <c r="A8" s="81" t="s">
        <v>55</v>
      </c>
      <c r="B8" s="68"/>
      <c r="C8" s="69" t="s">
        <v>40</v>
      </c>
      <c r="D8" s="70" t="s">
        <v>41</v>
      </c>
      <c r="E8" s="71" t="s">
        <v>56</v>
      </c>
      <c r="F8" s="72" t="s">
        <v>43</v>
      </c>
      <c r="G8" s="73" t="s">
        <v>44</v>
      </c>
      <c r="H8" s="73" t="s">
        <v>45</v>
      </c>
      <c r="I8" s="82" t="s">
        <v>57</v>
      </c>
      <c r="J8" s="75" t="n">
        <v>30</v>
      </c>
      <c r="K8" s="76" t="s">
        <v>53</v>
      </c>
      <c r="L8" s="77" t="s">
        <v>54</v>
      </c>
      <c r="M8" s="78"/>
      <c r="N8" s="79" t="n">
        <v>1428.57</v>
      </c>
      <c r="O8" s="79" t="n">
        <v>42875.1</v>
      </c>
      <c r="P8" s="76" t="s">
        <v>48</v>
      </c>
      <c r="Q8" s="80"/>
    </row>
    <row r="9" s="66" customFormat="true" ht="300" hidden="false" customHeight="true" outlineLevel="0" collapsed="false">
      <c r="A9" s="81" t="s">
        <v>58</v>
      </c>
      <c r="B9" s="83" t="s">
        <v>59</v>
      </c>
      <c r="C9" s="69" t="s">
        <v>40</v>
      </c>
      <c r="D9" s="70" t="s">
        <v>41</v>
      </c>
      <c r="E9" s="71" t="s">
        <v>56</v>
      </c>
      <c r="F9" s="72" t="s">
        <v>43</v>
      </c>
      <c r="G9" s="73" t="s">
        <v>44</v>
      </c>
      <c r="H9" s="73" t="s">
        <v>45</v>
      </c>
      <c r="I9" s="73" t="s">
        <v>60</v>
      </c>
      <c r="J9" s="75" t="n">
        <v>36</v>
      </c>
      <c r="K9" s="76" t="s">
        <v>61</v>
      </c>
      <c r="L9" s="77" t="s">
        <v>47</v>
      </c>
      <c r="M9" s="78"/>
      <c r="N9" s="79" t="n">
        <v>2500</v>
      </c>
      <c r="O9" s="79" t="n">
        <f aca="false">J9*N9</f>
        <v>90000</v>
      </c>
      <c r="P9" s="76" t="s">
        <v>48</v>
      </c>
      <c r="Q9" s="80"/>
    </row>
    <row r="10" s="66" customFormat="true" ht="300" hidden="false" customHeight="true" outlineLevel="0" collapsed="false">
      <c r="A10" s="67" t="s">
        <v>62</v>
      </c>
      <c r="B10" s="83"/>
      <c r="C10" s="69" t="s">
        <v>40</v>
      </c>
      <c r="D10" s="70" t="s">
        <v>41</v>
      </c>
      <c r="E10" s="84" t="s">
        <v>42</v>
      </c>
      <c r="F10" s="72" t="s">
        <v>43</v>
      </c>
      <c r="G10" s="73" t="s">
        <v>44</v>
      </c>
      <c r="H10" s="73" t="s">
        <v>45</v>
      </c>
      <c r="I10" s="73"/>
      <c r="J10" s="75" t="n">
        <v>40</v>
      </c>
      <c r="K10" s="76" t="s">
        <v>63</v>
      </c>
      <c r="L10" s="77" t="s">
        <v>47</v>
      </c>
      <c r="M10" s="78"/>
      <c r="N10" s="79" t="n">
        <v>5000</v>
      </c>
      <c r="O10" s="79" t="n">
        <f aca="false">J10*N10</f>
        <v>200000</v>
      </c>
      <c r="P10" s="76" t="s">
        <v>48</v>
      </c>
      <c r="Q10" s="80" t="s">
        <v>64</v>
      </c>
    </row>
    <row r="11" s="66" customFormat="true" ht="300" hidden="false" customHeight="true" outlineLevel="0" collapsed="false">
      <c r="A11" s="85" t="s">
        <v>65</v>
      </c>
      <c r="B11" s="86" t="s">
        <v>66</v>
      </c>
      <c r="C11" s="69" t="s">
        <v>40</v>
      </c>
      <c r="D11" s="70" t="s">
        <v>67</v>
      </c>
      <c r="E11" s="84" t="s">
        <v>42</v>
      </c>
      <c r="F11" s="72" t="s">
        <v>68</v>
      </c>
      <c r="G11" s="73" t="s">
        <v>44</v>
      </c>
      <c r="H11" s="73" t="s">
        <v>45</v>
      </c>
      <c r="I11" s="73" t="s">
        <v>69</v>
      </c>
      <c r="J11" s="87" t="n">
        <v>40</v>
      </c>
      <c r="K11" s="76" t="n">
        <v>26</v>
      </c>
      <c r="L11" s="88" t="s">
        <v>70</v>
      </c>
      <c r="M11" s="89"/>
      <c r="N11" s="79" t="n">
        <v>5714.28</v>
      </c>
      <c r="O11" s="79" t="n">
        <f aca="false">J11*N11</f>
        <v>228571.2</v>
      </c>
      <c r="P11" s="90" t="s">
        <v>48</v>
      </c>
      <c r="Q11" s="91" t="s">
        <v>64</v>
      </c>
    </row>
    <row r="12" s="66" customFormat="true" ht="300" hidden="false" customHeight="true" outlineLevel="0" collapsed="false">
      <c r="A12" s="85" t="s">
        <v>65</v>
      </c>
      <c r="B12" s="86"/>
      <c r="C12" s="69" t="s">
        <v>40</v>
      </c>
      <c r="D12" s="70" t="s">
        <v>67</v>
      </c>
      <c r="E12" s="84" t="s">
        <v>42</v>
      </c>
      <c r="F12" s="72" t="s">
        <v>68</v>
      </c>
      <c r="G12" s="73" t="s">
        <v>44</v>
      </c>
      <c r="H12" s="73" t="s">
        <v>45</v>
      </c>
      <c r="I12" s="73" t="s">
        <v>71</v>
      </c>
      <c r="J12" s="87" t="n">
        <v>40</v>
      </c>
      <c r="K12" s="76" t="n">
        <v>26</v>
      </c>
      <c r="L12" s="88"/>
      <c r="M12" s="92"/>
      <c r="N12" s="79" t="n">
        <v>5714.28</v>
      </c>
      <c r="O12" s="79" t="n">
        <f aca="false">J12*N12</f>
        <v>228571.2</v>
      </c>
      <c r="P12" s="90" t="s">
        <v>48</v>
      </c>
      <c r="Q12" s="91" t="s">
        <v>64</v>
      </c>
    </row>
    <row r="13" s="66" customFormat="true" ht="300" hidden="false" customHeight="true" outlineLevel="0" collapsed="false">
      <c r="A13" s="85" t="s">
        <v>65</v>
      </c>
      <c r="B13" s="86"/>
      <c r="C13" s="69" t="s">
        <v>40</v>
      </c>
      <c r="D13" s="70" t="s">
        <v>67</v>
      </c>
      <c r="E13" s="84" t="s">
        <v>42</v>
      </c>
      <c r="F13" s="72" t="s">
        <v>68</v>
      </c>
      <c r="G13" s="73" t="s">
        <v>44</v>
      </c>
      <c r="H13" s="73" t="s">
        <v>45</v>
      </c>
      <c r="I13" s="73" t="s">
        <v>72</v>
      </c>
      <c r="J13" s="87" t="n">
        <v>30</v>
      </c>
      <c r="K13" s="76" t="n">
        <v>26</v>
      </c>
      <c r="L13" s="88"/>
      <c r="M13" s="92"/>
      <c r="N13" s="79" t="n">
        <v>5714.28</v>
      </c>
      <c r="O13" s="79" t="n">
        <f aca="false">J13*N13</f>
        <v>171428.4</v>
      </c>
      <c r="P13" s="90" t="s">
        <v>48</v>
      </c>
      <c r="Q13" s="91" t="s">
        <v>64</v>
      </c>
    </row>
    <row r="14" s="66" customFormat="true" ht="300" hidden="false" customHeight="true" outlineLevel="0" collapsed="false">
      <c r="A14" s="85" t="s">
        <v>65</v>
      </c>
      <c r="B14" s="86"/>
      <c r="C14" s="69" t="s">
        <v>40</v>
      </c>
      <c r="D14" s="70" t="s">
        <v>67</v>
      </c>
      <c r="E14" s="84" t="s">
        <v>42</v>
      </c>
      <c r="F14" s="72" t="s">
        <v>68</v>
      </c>
      <c r="G14" s="73" t="s">
        <v>44</v>
      </c>
      <c r="H14" s="73" t="s">
        <v>45</v>
      </c>
      <c r="I14" s="73" t="s">
        <v>73</v>
      </c>
      <c r="J14" s="87" t="n">
        <v>40</v>
      </c>
      <c r="K14" s="76" t="n">
        <v>26</v>
      </c>
      <c r="L14" s="88"/>
      <c r="M14" s="92"/>
      <c r="N14" s="79" t="n">
        <v>5714.28</v>
      </c>
      <c r="O14" s="79" t="n">
        <f aca="false">J14*N14</f>
        <v>228571.2</v>
      </c>
      <c r="P14" s="90" t="s">
        <v>74</v>
      </c>
      <c r="Q14" s="91" t="s">
        <v>64</v>
      </c>
    </row>
    <row r="15" s="66" customFormat="true" ht="300" hidden="false" customHeight="true" outlineLevel="0" collapsed="false">
      <c r="A15" s="85" t="s">
        <v>65</v>
      </c>
      <c r="B15" s="86"/>
      <c r="C15" s="69" t="s">
        <v>40</v>
      </c>
      <c r="D15" s="70" t="s">
        <v>67</v>
      </c>
      <c r="E15" s="84" t="s">
        <v>42</v>
      </c>
      <c r="F15" s="72" t="s">
        <v>68</v>
      </c>
      <c r="G15" s="73" t="s">
        <v>44</v>
      </c>
      <c r="H15" s="73" t="s">
        <v>45</v>
      </c>
      <c r="I15" s="73" t="s">
        <v>75</v>
      </c>
      <c r="J15" s="87" t="n">
        <v>30</v>
      </c>
      <c r="K15" s="76" t="n">
        <v>26</v>
      </c>
      <c r="L15" s="88"/>
      <c r="M15" s="92"/>
      <c r="N15" s="79" t="n">
        <v>5714.28</v>
      </c>
      <c r="O15" s="79" t="n">
        <f aca="false">J15*N15</f>
        <v>171428.4</v>
      </c>
      <c r="P15" s="90" t="s">
        <v>48</v>
      </c>
      <c r="Q15" s="91" t="s">
        <v>64</v>
      </c>
    </row>
    <row r="16" s="102" customFormat="true" ht="300" hidden="false" customHeight="true" outlineLevel="0" collapsed="false">
      <c r="A16" s="85" t="s">
        <v>65</v>
      </c>
      <c r="B16" s="86"/>
      <c r="C16" s="93" t="s">
        <v>40</v>
      </c>
      <c r="D16" s="94" t="s">
        <v>67</v>
      </c>
      <c r="E16" s="95" t="s">
        <v>42</v>
      </c>
      <c r="F16" s="96" t="s">
        <v>68</v>
      </c>
      <c r="G16" s="82" t="s">
        <v>44</v>
      </c>
      <c r="H16" s="82" t="s">
        <v>45</v>
      </c>
      <c r="I16" s="82" t="s">
        <v>76</v>
      </c>
      <c r="J16" s="87" t="n">
        <v>30</v>
      </c>
      <c r="K16" s="97" t="n">
        <v>26</v>
      </c>
      <c r="L16" s="88"/>
      <c r="M16" s="98"/>
      <c r="N16" s="99" t="n">
        <v>5714.28</v>
      </c>
      <c r="O16" s="79" t="n">
        <f aca="false">J16*N16</f>
        <v>171428.4</v>
      </c>
      <c r="P16" s="100" t="s">
        <v>48</v>
      </c>
      <c r="Q16" s="101" t="s">
        <v>64</v>
      </c>
    </row>
    <row r="17" s="102" customFormat="true" ht="300" hidden="false" customHeight="true" outlineLevel="0" collapsed="false">
      <c r="A17" s="103" t="s">
        <v>65</v>
      </c>
      <c r="B17" s="86"/>
      <c r="C17" s="104" t="s">
        <v>40</v>
      </c>
      <c r="D17" s="105" t="s">
        <v>67</v>
      </c>
      <c r="E17" s="106" t="s">
        <v>42</v>
      </c>
      <c r="F17" s="107" t="s">
        <v>68</v>
      </c>
      <c r="G17" s="108" t="s">
        <v>44</v>
      </c>
      <c r="H17" s="108" t="s">
        <v>45</v>
      </c>
      <c r="I17" s="108" t="s">
        <v>77</v>
      </c>
      <c r="J17" s="109" t="n">
        <v>30</v>
      </c>
      <c r="K17" s="110" t="n">
        <v>26</v>
      </c>
      <c r="L17" s="88"/>
      <c r="M17" s="98"/>
      <c r="N17" s="111" t="n">
        <v>5714.28</v>
      </c>
      <c r="O17" s="112" t="n">
        <f aca="false">J17*N17</f>
        <v>171428.4</v>
      </c>
      <c r="P17" s="113" t="s">
        <v>48</v>
      </c>
      <c r="Q17" s="114" t="s">
        <v>64</v>
      </c>
    </row>
    <row r="18" s="128" customFormat="true" ht="376.5" hidden="false" customHeight="true" outlineLevel="0" collapsed="false">
      <c r="A18" s="115" t="s">
        <v>78</v>
      </c>
      <c r="B18" s="116" t="s">
        <v>79</v>
      </c>
      <c r="C18" s="117" t="s">
        <v>40</v>
      </c>
      <c r="D18" s="118" t="s">
        <v>67</v>
      </c>
      <c r="E18" s="119" t="s">
        <v>42</v>
      </c>
      <c r="F18" s="120" t="s">
        <v>68</v>
      </c>
      <c r="G18" s="121" t="s">
        <v>44</v>
      </c>
      <c r="H18" s="121" t="s">
        <v>45</v>
      </c>
      <c r="I18" s="121" t="s">
        <v>80</v>
      </c>
      <c r="J18" s="122" t="n">
        <v>40</v>
      </c>
      <c r="K18" s="123" t="n">
        <v>26</v>
      </c>
      <c r="L18" s="124" t="s">
        <v>81</v>
      </c>
      <c r="M18" s="125"/>
      <c r="N18" s="126" t="n">
        <v>1428.57</v>
      </c>
      <c r="O18" s="126" t="n">
        <f aca="false">J18*N18</f>
        <v>57142.8</v>
      </c>
      <c r="P18" s="127" t="s">
        <v>48</v>
      </c>
      <c r="Q18" s="121"/>
    </row>
    <row r="19" s="128" customFormat="true" ht="376.5" hidden="false" customHeight="true" outlineLevel="0" collapsed="false">
      <c r="A19" s="115" t="s">
        <v>78</v>
      </c>
      <c r="B19" s="116"/>
      <c r="C19" s="117" t="s">
        <v>40</v>
      </c>
      <c r="D19" s="118" t="s">
        <v>67</v>
      </c>
      <c r="E19" s="119" t="s">
        <v>42</v>
      </c>
      <c r="F19" s="120" t="s">
        <v>68</v>
      </c>
      <c r="G19" s="121" t="s">
        <v>44</v>
      </c>
      <c r="H19" s="121" t="s">
        <v>45</v>
      </c>
      <c r="I19" s="121" t="s">
        <v>82</v>
      </c>
      <c r="J19" s="122" t="n">
        <v>40</v>
      </c>
      <c r="K19" s="123" t="n">
        <v>26</v>
      </c>
      <c r="L19" s="124"/>
      <c r="M19" s="129"/>
      <c r="N19" s="126" t="n">
        <v>1728.57</v>
      </c>
      <c r="O19" s="126" t="n">
        <f aca="false">J19*N19</f>
        <v>69142.8</v>
      </c>
      <c r="P19" s="127" t="s">
        <v>48</v>
      </c>
      <c r="Q19" s="121"/>
    </row>
    <row r="20" s="128" customFormat="true" ht="376.5" hidden="false" customHeight="true" outlineLevel="0" collapsed="false">
      <c r="A20" s="115" t="s">
        <v>78</v>
      </c>
      <c r="B20" s="116"/>
      <c r="C20" s="117" t="s">
        <v>40</v>
      </c>
      <c r="D20" s="118" t="s">
        <v>67</v>
      </c>
      <c r="E20" s="119" t="s">
        <v>42</v>
      </c>
      <c r="F20" s="120" t="s">
        <v>68</v>
      </c>
      <c r="G20" s="121" t="s">
        <v>44</v>
      </c>
      <c r="H20" s="121" t="s">
        <v>45</v>
      </c>
      <c r="I20" s="121" t="s">
        <v>83</v>
      </c>
      <c r="J20" s="122" t="n">
        <v>40</v>
      </c>
      <c r="K20" s="123" t="n">
        <v>26</v>
      </c>
      <c r="L20" s="124"/>
      <c r="M20" s="129"/>
      <c r="N20" s="126" t="n">
        <v>1428.57</v>
      </c>
      <c r="O20" s="126" t="n">
        <f aca="false">J20*N20</f>
        <v>57142.8</v>
      </c>
      <c r="P20" s="127" t="s">
        <v>48</v>
      </c>
      <c r="Q20" s="121"/>
    </row>
    <row r="21" s="128" customFormat="true" ht="376.5" hidden="false" customHeight="true" outlineLevel="0" collapsed="false">
      <c r="A21" s="115" t="s">
        <v>78</v>
      </c>
      <c r="B21" s="116"/>
      <c r="C21" s="117" t="s">
        <v>40</v>
      </c>
      <c r="D21" s="118" t="s">
        <v>67</v>
      </c>
      <c r="E21" s="119" t="s">
        <v>42</v>
      </c>
      <c r="F21" s="120" t="s">
        <v>68</v>
      </c>
      <c r="G21" s="121" t="s">
        <v>44</v>
      </c>
      <c r="H21" s="121" t="s">
        <v>45</v>
      </c>
      <c r="I21" s="121" t="s">
        <v>84</v>
      </c>
      <c r="J21" s="122" t="n">
        <v>40</v>
      </c>
      <c r="K21" s="123" t="n">
        <v>26</v>
      </c>
      <c r="L21" s="124"/>
      <c r="M21" s="129"/>
      <c r="N21" s="126" t="n">
        <v>1428.57</v>
      </c>
      <c r="O21" s="126" t="n">
        <f aca="false">J21*N21</f>
        <v>57142.8</v>
      </c>
      <c r="P21" s="127" t="s">
        <v>48</v>
      </c>
      <c r="Q21" s="121"/>
    </row>
    <row r="22" s="128" customFormat="true" ht="376.5" hidden="false" customHeight="true" outlineLevel="0" collapsed="false">
      <c r="A22" s="115" t="s">
        <v>78</v>
      </c>
      <c r="B22" s="116"/>
      <c r="C22" s="117" t="s">
        <v>40</v>
      </c>
      <c r="D22" s="118" t="s">
        <v>67</v>
      </c>
      <c r="E22" s="119" t="s">
        <v>42</v>
      </c>
      <c r="F22" s="120" t="s">
        <v>85</v>
      </c>
      <c r="G22" s="121" t="s">
        <v>44</v>
      </c>
      <c r="H22" s="121" t="s">
        <v>45</v>
      </c>
      <c r="I22" s="121" t="s">
        <v>86</v>
      </c>
      <c r="J22" s="122" t="n">
        <v>30</v>
      </c>
      <c r="K22" s="123" t="n">
        <v>26</v>
      </c>
      <c r="L22" s="124"/>
      <c r="M22" s="129"/>
      <c r="N22" s="126" t="n">
        <v>1428.57</v>
      </c>
      <c r="O22" s="126" t="n">
        <f aca="false">J22*N22</f>
        <v>42857.1</v>
      </c>
      <c r="P22" s="127" t="s">
        <v>48</v>
      </c>
      <c r="Q22" s="121"/>
    </row>
    <row r="23" s="128" customFormat="true" ht="376.5" hidden="false" customHeight="true" outlineLevel="0" collapsed="false">
      <c r="A23" s="115" t="s">
        <v>78</v>
      </c>
      <c r="B23" s="116"/>
      <c r="C23" s="117" t="s">
        <v>40</v>
      </c>
      <c r="D23" s="118" t="s">
        <v>67</v>
      </c>
      <c r="E23" s="119" t="s">
        <v>42</v>
      </c>
      <c r="F23" s="120" t="s">
        <v>68</v>
      </c>
      <c r="G23" s="121" t="s">
        <v>44</v>
      </c>
      <c r="H23" s="121" t="s">
        <v>45</v>
      </c>
      <c r="I23" s="121" t="s">
        <v>87</v>
      </c>
      <c r="J23" s="122" t="n">
        <v>30</v>
      </c>
      <c r="K23" s="123" t="n">
        <v>26</v>
      </c>
      <c r="L23" s="124"/>
      <c r="M23" s="130"/>
      <c r="N23" s="126" t="n">
        <v>1428.57</v>
      </c>
      <c r="O23" s="126" t="n">
        <f aca="false">J23*N23</f>
        <v>42857.1</v>
      </c>
      <c r="P23" s="127" t="s">
        <v>48</v>
      </c>
      <c r="Q23" s="121"/>
    </row>
    <row r="24" s="66" customFormat="true" ht="199.5" hidden="false" customHeight="true" outlineLevel="0" collapsed="false">
      <c r="A24" s="131" t="s">
        <v>88</v>
      </c>
      <c r="B24" s="132" t="s">
        <v>89</v>
      </c>
      <c r="C24" s="69" t="s">
        <v>40</v>
      </c>
      <c r="D24" s="70" t="s">
        <v>67</v>
      </c>
      <c r="E24" s="84" t="s">
        <v>90</v>
      </c>
      <c r="F24" s="72" t="s">
        <v>68</v>
      </c>
      <c r="G24" s="73" t="s">
        <v>44</v>
      </c>
      <c r="H24" s="73" t="s">
        <v>45</v>
      </c>
      <c r="I24" s="73" t="s">
        <v>91</v>
      </c>
      <c r="J24" s="75" t="n">
        <v>60</v>
      </c>
      <c r="K24" s="76" t="s">
        <v>92</v>
      </c>
      <c r="L24" s="133"/>
      <c r="M24" s="92"/>
      <c r="N24" s="79" t="n">
        <v>1428.57</v>
      </c>
      <c r="O24" s="79" t="n">
        <f aca="false">N24*J24</f>
        <v>85714.2</v>
      </c>
      <c r="P24" s="134" t="s">
        <v>48</v>
      </c>
      <c r="Q24" s="135"/>
    </row>
    <row r="25" s="66" customFormat="true" ht="199.5" hidden="false" customHeight="true" outlineLevel="0" collapsed="false">
      <c r="A25" s="131"/>
      <c r="B25" s="132"/>
      <c r="C25" s="69" t="s">
        <v>40</v>
      </c>
      <c r="D25" s="70" t="s">
        <v>93</v>
      </c>
      <c r="E25" s="84" t="s">
        <v>42</v>
      </c>
      <c r="F25" s="72" t="s">
        <v>68</v>
      </c>
      <c r="G25" s="73" t="s">
        <v>94</v>
      </c>
      <c r="H25" s="73" t="s">
        <v>45</v>
      </c>
      <c r="I25" s="73" t="s">
        <v>95</v>
      </c>
      <c r="J25" s="75" t="n">
        <v>160</v>
      </c>
      <c r="K25" s="76" t="s">
        <v>92</v>
      </c>
      <c r="L25" s="133"/>
      <c r="M25" s="92"/>
      <c r="N25" s="79" t="n">
        <v>1428.57</v>
      </c>
      <c r="O25" s="79" t="n">
        <f aca="false">N25*J25</f>
        <v>228571.2</v>
      </c>
      <c r="P25" s="134" t="s">
        <v>48</v>
      </c>
      <c r="Q25" s="135"/>
    </row>
    <row r="26" s="66" customFormat="true" ht="349.5" hidden="false" customHeight="true" outlineLevel="0" collapsed="false">
      <c r="A26" s="131" t="s">
        <v>96</v>
      </c>
      <c r="B26" s="132" t="s">
        <v>97</v>
      </c>
      <c r="C26" s="69" t="s">
        <v>40</v>
      </c>
      <c r="D26" s="70" t="s">
        <v>98</v>
      </c>
      <c r="E26" s="136" t="s">
        <v>99</v>
      </c>
      <c r="F26" s="72" t="s">
        <v>43</v>
      </c>
      <c r="G26" s="73" t="s">
        <v>44</v>
      </c>
      <c r="H26" s="73" t="s">
        <v>45</v>
      </c>
      <c r="I26" s="73" t="s">
        <v>100</v>
      </c>
      <c r="J26" s="75" t="n">
        <v>12</v>
      </c>
      <c r="K26" s="137"/>
      <c r="L26" s="138"/>
      <c r="M26" s="78" t="n">
        <v>8000</v>
      </c>
      <c r="N26" s="79"/>
      <c r="O26" s="79" t="n">
        <f aca="false">J26*M26</f>
        <v>96000</v>
      </c>
      <c r="P26" s="134" t="s">
        <v>48</v>
      </c>
      <c r="Q26" s="135"/>
    </row>
    <row r="27" s="66" customFormat="true" ht="349.5" hidden="false" customHeight="true" outlineLevel="0" collapsed="false">
      <c r="A27" s="131" t="s">
        <v>101</v>
      </c>
      <c r="B27" s="132"/>
      <c r="C27" s="69" t="s">
        <v>40</v>
      </c>
      <c r="D27" s="70" t="s">
        <v>102</v>
      </c>
      <c r="E27" s="95" t="s">
        <v>42</v>
      </c>
      <c r="F27" s="72" t="s">
        <v>43</v>
      </c>
      <c r="G27" s="73" t="s">
        <v>44</v>
      </c>
      <c r="H27" s="73" t="s">
        <v>45</v>
      </c>
      <c r="I27" s="73"/>
      <c r="J27" s="75" t="n">
        <v>100</v>
      </c>
      <c r="K27" s="76" t="n">
        <v>52</v>
      </c>
      <c r="L27" s="88" t="s">
        <v>103</v>
      </c>
      <c r="M27" s="89"/>
      <c r="N27" s="79" t="n">
        <v>1428.57</v>
      </c>
      <c r="O27" s="79" t="n">
        <f aca="false">J27*N27</f>
        <v>142857</v>
      </c>
      <c r="P27" s="134" t="s">
        <v>48</v>
      </c>
      <c r="Q27" s="135"/>
    </row>
    <row r="28" s="66" customFormat="true" ht="349.5" hidden="false" customHeight="true" outlineLevel="0" collapsed="false">
      <c r="A28" s="139" t="s">
        <v>104</v>
      </c>
      <c r="B28" s="140" t="s">
        <v>105</v>
      </c>
      <c r="C28" s="69" t="s">
        <v>40</v>
      </c>
      <c r="D28" s="70" t="s">
        <v>67</v>
      </c>
      <c r="E28" s="95" t="s">
        <v>42</v>
      </c>
      <c r="F28" s="96" t="s">
        <v>85</v>
      </c>
      <c r="G28" s="82" t="s">
        <v>44</v>
      </c>
      <c r="H28" s="82" t="s">
        <v>45</v>
      </c>
      <c r="I28" s="82" t="s">
        <v>106</v>
      </c>
      <c r="J28" s="87" t="n">
        <v>30</v>
      </c>
      <c r="K28" s="76" t="n">
        <v>26</v>
      </c>
      <c r="L28" s="138" t="s">
        <v>47</v>
      </c>
      <c r="M28" s="78"/>
      <c r="N28" s="79" t="n">
        <v>3300</v>
      </c>
      <c r="O28" s="79" t="n">
        <f aca="false">J28*N28</f>
        <v>99000</v>
      </c>
      <c r="P28" s="76" t="s">
        <v>48</v>
      </c>
      <c r="Q28" s="73"/>
    </row>
    <row r="29" s="66" customFormat="true" ht="349.5" hidden="false" customHeight="true" outlineLevel="0" collapsed="false">
      <c r="A29" s="141" t="s">
        <v>107</v>
      </c>
      <c r="B29" s="142" t="s">
        <v>105</v>
      </c>
      <c r="C29" s="69" t="s">
        <v>40</v>
      </c>
      <c r="D29" s="70" t="s">
        <v>67</v>
      </c>
      <c r="E29" s="95" t="s">
        <v>42</v>
      </c>
      <c r="F29" s="96" t="s">
        <v>85</v>
      </c>
      <c r="G29" s="82" t="s">
        <v>44</v>
      </c>
      <c r="H29" s="82" t="s">
        <v>45</v>
      </c>
      <c r="I29" s="82" t="s">
        <v>108</v>
      </c>
      <c r="J29" s="87" t="n">
        <v>30</v>
      </c>
      <c r="K29" s="76" t="n">
        <v>26</v>
      </c>
      <c r="L29" s="88" t="s">
        <v>47</v>
      </c>
      <c r="M29" s="89"/>
      <c r="N29" s="79" t="n">
        <v>3300</v>
      </c>
      <c r="O29" s="79" t="n">
        <f aca="false">N29*J29</f>
        <v>99000</v>
      </c>
      <c r="P29" s="143" t="s">
        <v>48</v>
      </c>
      <c r="Q29" s="135"/>
    </row>
    <row r="30" s="66" customFormat="true" ht="349.5" hidden="false" customHeight="true" outlineLevel="0" collapsed="false">
      <c r="A30" s="144" t="s">
        <v>109</v>
      </c>
      <c r="B30" s="145" t="s">
        <v>105</v>
      </c>
      <c r="C30" s="117" t="s">
        <v>40</v>
      </c>
      <c r="D30" s="118" t="s">
        <v>67</v>
      </c>
      <c r="E30" s="119" t="s">
        <v>110</v>
      </c>
      <c r="F30" s="120" t="s">
        <v>85</v>
      </c>
      <c r="G30" s="121" t="s">
        <v>44</v>
      </c>
      <c r="H30" s="121" t="s">
        <v>45</v>
      </c>
      <c r="I30" s="121" t="s">
        <v>111</v>
      </c>
      <c r="J30" s="122" t="n">
        <v>30</v>
      </c>
      <c r="K30" s="123" t="n">
        <v>13</v>
      </c>
      <c r="L30" s="146" t="s">
        <v>47</v>
      </c>
      <c r="M30" s="125"/>
      <c r="N30" s="126" t="n">
        <v>1900</v>
      </c>
      <c r="O30" s="126" t="n">
        <f aca="false">N30*J30</f>
        <v>57000</v>
      </c>
      <c r="P30" s="147" t="s">
        <v>48</v>
      </c>
      <c r="Q30" s="148"/>
    </row>
    <row r="31" s="66" customFormat="true" ht="349.5" hidden="false" customHeight="true" outlineLevel="0" collapsed="false">
      <c r="A31" s="149" t="s">
        <v>112</v>
      </c>
      <c r="B31" s="150" t="s">
        <v>79</v>
      </c>
      <c r="C31" s="69" t="s">
        <v>40</v>
      </c>
      <c r="D31" s="70" t="s">
        <v>102</v>
      </c>
      <c r="E31" s="95" t="s">
        <v>42</v>
      </c>
      <c r="F31" s="96" t="s">
        <v>43</v>
      </c>
      <c r="G31" s="82" t="s">
        <v>44</v>
      </c>
      <c r="H31" s="82" t="s">
        <v>45</v>
      </c>
      <c r="I31" s="82" t="s">
        <v>113</v>
      </c>
      <c r="J31" s="75" t="n">
        <v>48</v>
      </c>
      <c r="K31" s="76" t="n">
        <v>52</v>
      </c>
      <c r="L31" s="138" t="s">
        <v>114</v>
      </c>
      <c r="M31" s="89"/>
      <c r="N31" s="79" t="n">
        <v>1428.57</v>
      </c>
      <c r="O31" s="79" t="n">
        <f aca="false">N31*J31</f>
        <v>68571.36</v>
      </c>
      <c r="P31" s="90" t="s">
        <v>48</v>
      </c>
      <c r="Q31" s="73"/>
    </row>
    <row r="32" s="66" customFormat="true" ht="349.5" hidden="false" customHeight="true" outlineLevel="0" collapsed="false">
      <c r="A32" s="149" t="s">
        <v>112</v>
      </c>
      <c r="B32" s="150"/>
      <c r="C32" s="69" t="s">
        <v>40</v>
      </c>
      <c r="D32" s="70" t="s">
        <v>41</v>
      </c>
      <c r="E32" s="84" t="s">
        <v>42</v>
      </c>
      <c r="F32" s="72" t="s">
        <v>43</v>
      </c>
      <c r="G32" s="73" t="s">
        <v>44</v>
      </c>
      <c r="H32" s="73" t="s">
        <v>45</v>
      </c>
      <c r="I32" s="73" t="s">
        <v>83</v>
      </c>
      <c r="J32" s="75" t="n">
        <v>48</v>
      </c>
      <c r="K32" s="76" t="n">
        <v>52</v>
      </c>
      <c r="L32" s="138"/>
      <c r="M32" s="92"/>
      <c r="N32" s="79" t="n">
        <v>1428.57</v>
      </c>
      <c r="O32" s="79" t="n">
        <f aca="false">N32*J32</f>
        <v>68571.36</v>
      </c>
      <c r="P32" s="90" t="s">
        <v>48</v>
      </c>
      <c r="Q32" s="73"/>
    </row>
    <row r="33" s="66" customFormat="true" ht="349.5" hidden="false" customHeight="true" outlineLevel="0" collapsed="false">
      <c r="A33" s="149" t="s">
        <v>112</v>
      </c>
      <c r="B33" s="150"/>
      <c r="C33" s="69" t="s">
        <v>40</v>
      </c>
      <c r="D33" s="70" t="s">
        <v>41</v>
      </c>
      <c r="E33" s="84" t="s">
        <v>42</v>
      </c>
      <c r="F33" s="72" t="s">
        <v>43</v>
      </c>
      <c r="G33" s="73" t="s">
        <v>44</v>
      </c>
      <c r="H33" s="73" t="s">
        <v>45</v>
      </c>
      <c r="I33" s="73" t="s">
        <v>115</v>
      </c>
      <c r="J33" s="75" t="n">
        <v>48</v>
      </c>
      <c r="K33" s="76" t="n">
        <v>52</v>
      </c>
      <c r="L33" s="138"/>
      <c r="M33" s="92"/>
      <c r="N33" s="79" t="n">
        <v>1428.57</v>
      </c>
      <c r="O33" s="79" t="n">
        <f aca="false">N33*J33</f>
        <v>68571.36</v>
      </c>
      <c r="P33" s="90" t="s">
        <v>48</v>
      </c>
      <c r="Q33" s="73"/>
    </row>
    <row r="34" s="66" customFormat="true" ht="349.5" hidden="false" customHeight="true" outlineLevel="0" collapsed="false">
      <c r="A34" s="149" t="s">
        <v>112</v>
      </c>
      <c r="B34" s="150"/>
      <c r="C34" s="69" t="s">
        <v>40</v>
      </c>
      <c r="D34" s="70" t="s">
        <v>41</v>
      </c>
      <c r="E34" s="84" t="s">
        <v>42</v>
      </c>
      <c r="F34" s="72" t="s">
        <v>43</v>
      </c>
      <c r="G34" s="73" t="s">
        <v>44</v>
      </c>
      <c r="H34" s="73" t="s">
        <v>45</v>
      </c>
      <c r="I34" s="73" t="s">
        <v>116</v>
      </c>
      <c r="J34" s="75" t="n">
        <v>48</v>
      </c>
      <c r="K34" s="76" t="n">
        <v>52</v>
      </c>
      <c r="L34" s="138"/>
      <c r="M34" s="92"/>
      <c r="N34" s="79" t="n">
        <v>1728.57</v>
      </c>
      <c r="O34" s="79" t="n">
        <f aca="false">N34*J34</f>
        <v>82971.36</v>
      </c>
      <c r="P34" s="90" t="s">
        <v>48</v>
      </c>
      <c r="Q34" s="73"/>
    </row>
    <row r="35" s="66" customFormat="true" ht="349.5" hidden="false" customHeight="true" outlineLevel="0" collapsed="false">
      <c r="A35" s="149" t="s">
        <v>112</v>
      </c>
      <c r="B35" s="150"/>
      <c r="C35" s="69" t="s">
        <v>40</v>
      </c>
      <c r="D35" s="70" t="s">
        <v>41</v>
      </c>
      <c r="E35" s="84" t="s">
        <v>42</v>
      </c>
      <c r="F35" s="72" t="s">
        <v>43</v>
      </c>
      <c r="G35" s="73" t="s">
        <v>44</v>
      </c>
      <c r="H35" s="73" t="s">
        <v>45</v>
      </c>
      <c r="I35" s="73" t="s">
        <v>86</v>
      </c>
      <c r="J35" s="75" t="n">
        <v>48</v>
      </c>
      <c r="K35" s="76" t="n">
        <v>52</v>
      </c>
      <c r="L35" s="138"/>
      <c r="M35" s="92"/>
      <c r="N35" s="79" t="n">
        <v>1428.57</v>
      </c>
      <c r="O35" s="79" t="n">
        <f aca="false">N35*J35</f>
        <v>68571.36</v>
      </c>
      <c r="P35" s="90" t="s">
        <v>48</v>
      </c>
      <c r="Q35" s="73"/>
    </row>
    <row r="36" s="66" customFormat="true" ht="349.5" hidden="false" customHeight="true" outlineLevel="0" collapsed="false">
      <c r="A36" s="149" t="s">
        <v>112</v>
      </c>
      <c r="B36" s="150"/>
      <c r="C36" s="69" t="s">
        <v>40</v>
      </c>
      <c r="D36" s="70" t="s">
        <v>41</v>
      </c>
      <c r="E36" s="84" t="s">
        <v>42</v>
      </c>
      <c r="F36" s="72" t="s">
        <v>43</v>
      </c>
      <c r="G36" s="73" t="s">
        <v>44</v>
      </c>
      <c r="H36" s="73" t="s">
        <v>45</v>
      </c>
      <c r="I36" s="73" t="s">
        <v>117</v>
      </c>
      <c r="J36" s="75" t="n">
        <v>48</v>
      </c>
      <c r="K36" s="76" t="n">
        <v>52</v>
      </c>
      <c r="L36" s="138"/>
      <c r="M36" s="151"/>
      <c r="N36" s="79" t="n">
        <v>1728.57</v>
      </c>
      <c r="O36" s="79" t="n">
        <f aca="false">N36*J36</f>
        <v>82971.36</v>
      </c>
      <c r="P36" s="90" t="s">
        <v>48</v>
      </c>
      <c r="Q36" s="73"/>
    </row>
    <row r="37" s="102" customFormat="true" ht="330" hidden="false" customHeight="true" outlineLevel="0" collapsed="false">
      <c r="A37" s="152" t="s">
        <v>118</v>
      </c>
      <c r="B37" s="153" t="s">
        <v>119</v>
      </c>
      <c r="C37" s="117" t="s">
        <v>40</v>
      </c>
      <c r="D37" s="118" t="s">
        <v>120</v>
      </c>
      <c r="E37" s="119" t="s">
        <v>42</v>
      </c>
      <c r="F37" s="120" t="s">
        <v>43</v>
      </c>
      <c r="G37" s="121" t="s">
        <v>44</v>
      </c>
      <c r="H37" s="121" t="s">
        <v>45</v>
      </c>
      <c r="I37" s="148" t="s">
        <v>121</v>
      </c>
      <c r="J37" s="122" t="n">
        <v>30</v>
      </c>
      <c r="K37" s="123" t="s">
        <v>122</v>
      </c>
      <c r="L37" s="154" t="s">
        <v>54</v>
      </c>
      <c r="M37" s="155"/>
      <c r="N37" s="126" t="n">
        <v>400</v>
      </c>
      <c r="O37" s="156" t="n">
        <f aca="false">J37*N37</f>
        <v>12000</v>
      </c>
      <c r="P37" s="123" t="s">
        <v>48</v>
      </c>
      <c r="Q37" s="121"/>
    </row>
    <row r="38" s="102" customFormat="true" ht="330" hidden="false" customHeight="true" outlineLevel="0" collapsed="false">
      <c r="A38" s="157" t="s">
        <v>123</v>
      </c>
      <c r="B38" s="158" t="s">
        <v>124</v>
      </c>
      <c r="C38" s="93" t="s">
        <v>40</v>
      </c>
      <c r="D38" s="94" t="s">
        <v>93</v>
      </c>
      <c r="E38" s="136" t="s">
        <v>125</v>
      </c>
      <c r="F38" s="96" t="s">
        <v>68</v>
      </c>
      <c r="G38" s="82" t="s">
        <v>44</v>
      </c>
      <c r="H38" s="82" t="s">
        <v>45</v>
      </c>
      <c r="I38" s="82" t="s">
        <v>126</v>
      </c>
      <c r="J38" s="87" t="n">
        <v>30</v>
      </c>
      <c r="K38" s="97" t="s">
        <v>127</v>
      </c>
      <c r="L38" s="159" t="s">
        <v>47</v>
      </c>
      <c r="M38" s="160"/>
      <c r="N38" s="99" t="n">
        <v>2500</v>
      </c>
      <c r="O38" s="156" t="n">
        <f aca="false">J38*N38</f>
        <v>75000</v>
      </c>
      <c r="P38" s="97" t="s">
        <v>48</v>
      </c>
      <c r="Q38" s="82"/>
    </row>
    <row r="39" s="66" customFormat="true" ht="330" hidden="false" customHeight="true" outlineLevel="0" collapsed="false">
      <c r="A39" s="161" t="s">
        <v>128</v>
      </c>
      <c r="B39" s="158"/>
      <c r="C39" s="93" t="s">
        <v>40</v>
      </c>
      <c r="D39" s="94" t="s">
        <v>41</v>
      </c>
      <c r="E39" s="136" t="s">
        <v>129</v>
      </c>
      <c r="F39" s="96" t="s">
        <v>43</v>
      </c>
      <c r="G39" s="82" t="s">
        <v>44</v>
      </c>
      <c r="H39" s="82" t="s">
        <v>45</v>
      </c>
      <c r="I39" s="82"/>
      <c r="J39" s="87" t="n">
        <v>48</v>
      </c>
      <c r="K39" s="97" t="s">
        <v>130</v>
      </c>
      <c r="L39" s="159" t="s">
        <v>47</v>
      </c>
      <c r="M39" s="160"/>
      <c r="N39" s="99" t="n">
        <v>1000</v>
      </c>
      <c r="O39" s="156" t="n">
        <f aca="false">J39*N39</f>
        <v>48000</v>
      </c>
      <c r="P39" s="97" t="s">
        <v>48</v>
      </c>
      <c r="Q39" s="73"/>
    </row>
    <row r="40" s="66" customFormat="true" ht="349.5" hidden="false" customHeight="true" outlineLevel="0" collapsed="false">
      <c r="A40" s="162" t="s">
        <v>131</v>
      </c>
      <c r="B40" s="83" t="s">
        <v>132</v>
      </c>
      <c r="C40" s="69" t="s">
        <v>40</v>
      </c>
      <c r="D40" s="70" t="s">
        <v>67</v>
      </c>
      <c r="E40" s="136" t="s">
        <v>133</v>
      </c>
      <c r="F40" s="72" t="s">
        <v>68</v>
      </c>
      <c r="G40" s="73" t="s">
        <v>44</v>
      </c>
      <c r="H40" s="73" t="s">
        <v>45</v>
      </c>
      <c r="I40" s="73" t="s">
        <v>134</v>
      </c>
      <c r="J40" s="75" t="n">
        <v>30</v>
      </c>
      <c r="K40" s="76" t="n">
        <v>13</v>
      </c>
      <c r="L40" s="77" t="s">
        <v>47</v>
      </c>
      <c r="M40" s="78"/>
      <c r="N40" s="79" t="n">
        <v>5000</v>
      </c>
      <c r="O40" s="163" t="n">
        <f aca="false">J40*N40</f>
        <v>150000</v>
      </c>
      <c r="P40" s="76" t="s">
        <v>48</v>
      </c>
      <c r="Q40" s="73"/>
    </row>
    <row r="41" s="66" customFormat="true" ht="349.5" hidden="false" customHeight="true" outlineLevel="0" collapsed="false">
      <c r="A41" s="162" t="s">
        <v>135</v>
      </c>
      <c r="B41" s="83"/>
      <c r="C41" s="69" t="s">
        <v>40</v>
      </c>
      <c r="D41" s="70" t="s">
        <v>120</v>
      </c>
      <c r="E41" s="136" t="s">
        <v>136</v>
      </c>
      <c r="F41" s="72" t="s">
        <v>43</v>
      </c>
      <c r="G41" s="73" t="s">
        <v>44</v>
      </c>
      <c r="H41" s="73" t="s">
        <v>45</v>
      </c>
      <c r="I41" s="73"/>
      <c r="J41" s="75" t="n">
        <v>72</v>
      </c>
      <c r="K41" s="76" t="s">
        <v>130</v>
      </c>
      <c r="L41" s="77" t="s">
        <v>137</v>
      </c>
      <c r="M41" s="78"/>
      <c r="N41" s="79" t="n">
        <v>1000</v>
      </c>
      <c r="O41" s="79" t="n">
        <f aca="false">N41*J41</f>
        <v>72000</v>
      </c>
      <c r="P41" s="76" t="s">
        <v>48</v>
      </c>
      <c r="Q41" s="73"/>
    </row>
    <row r="42" s="66" customFormat="true" ht="349.5" hidden="false" customHeight="true" outlineLevel="0" collapsed="false">
      <c r="A42" s="162" t="s">
        <v>138</v>
      </c>
      <c r="B42" s="83" t="s">
        <v>132</v>
      </c>
      <c r="C42" s="69" t="s">
        <v>40</v>
      </c>
      <c r="D42" s="70" t="s">
        <v>67</v>
      </c>
      <c r="E42" s="84" t="s">
        <v>42</v>
      </c>
      <c r="F42" s="72" t="s">
        <v>68</v>
      </c>
      <c r="G42" s="73" t="s">
        <v>44</v>
      </c>
      <c r="H42" s="73" t="s">
        <v>45</v>
      </c>
      <c r="I42" s="73" t="s">
        <v>139</v>
      </c>
      <c r="J42" s="75" t="n">
        <v>48</v>
      </c>
      <c r="K42" s="76" t="n">
        <v>13</v>
      </c>
      <c r="L42" s="77" t="s">
        <v>47</v>
      </c>
      <c r="M42" s="78"/>
      <c r="N42" s="79" t="n">
        <v>2860</v>
      </c>
      <c r="O42" s="163" t="n">
        <f aca="false">J42*N42</f>
        <v>137280</v>
      </c>
      <c r="P42" s="76" t="s">
        <v>48</v>
      </c>
      <c r="Q42" s="73" t="s">
        <v>64</v>
      </c>
    </row>
    <row r="43" s="66" customFormat="true" ht="349.5" hidden="false" customHeight="true" outlineLevel="0" collapsed="false">
      <c r="A43" s="162" t="s">
        <v>140</v>
      </c>
      <c r="B43" s="83"/>
      <c r="C43" s="69" t="s">
        <v>40</v>
      </c>
      <c r="D43" s="70" t="s">
        <v>41</v>
      </c>
      <c r="E43" s="84" t="s">
        <v>42</v>
      </c>
      <c r="F43" s="72" t="s">
        <v>43</v>
      </c>
      <c r="G43" s="73" t="s">
        <v>44</v>
      </c>
      <c r="H43" s="73" t="s">
        <v>45</v>
      </c>
      <c r="I43" s="73"/>
      <c r="J43" s="75" t="n">
        <v>48</v>
      </c>
      <c r="K43" s="76" t="n">
        <v>52</v>
      </c>
      <c r="L43" s="77" t="s">
        <v>47</v>
      </c>
      <c r="M43" s="78"/>
      <c r="N43" s="79" t="n">
        <v>1000</v>
      </c>
      <c r="O43" s="163" t="n">
        <f aca="false">J43*N43</f>
        <v>48000</v>
      </c>
      <c r="P43" s="76" t="s">
        <v>48</v>
      </c>
      <c r="Q43" s="73"/>
    </row>
    <row r="44" s="66" customFormat="true" ht="349.5" hidden="false" customHeight="true" outlineLevel="0" collapsed="false">
      <c r="A44" s="164" t="s">
        <v>141</v>
      </c>
      <c r="B44" s="165" t="s">
        <v>142</v>
      </c>
      <c r="C44" s="166" t="s">
        <v>40</v>
      </c>
      <c r="D44" s="167" t="s">
        <v>41</v>
      </c>
      <c r="E44" s="168" t="s">
        <v>143</v>
      </c>
      <c r="F44" s="169" t="s">
        <v>43</v>
      </c>
      <c r="G44" s="170" t="s">
        <v>44</v>
      </c>
      <c r="H44" s="170" t="s">
        <v>45</v>
      </c>
      <c r="I44" s="170" t="s">
        <v>144</v>
      </c>
      <c r="J44" s="171" t="n">
        <v>40</v>
      </c>
      <c r="K44" s="172" t="n">
        <v>52</v>
      </c>
      <c r="L44" s="173" t="s">
        <v>47</v>
      </c>
      <c r="M44" s="174"/>
      <c r="N44" s="175" t="n">
        <v>2800</v>
      </c>
      <c r="O44" s="176" t="n">
        <f aca="false">J44*N44</f>
        <v>112000</v>
      </c>
      <c r="P44" s="172" t="s">
        <v>48</v>
      </c>
      <c r="Q44" s="73"/>
    </row>
    <row r="45" s="66" customFormat="true" ht="349.5" hidden="false" customHeight="true" outlineLevel="0" collapsed="false">
      <c r="A45" s="164" t="s">
        <v>145</v>
      </c>
      <c r="B45" s="165"/>
      <c r="C45" s="166" t="s">
        <v>40</v>
      </c>
      <c r="D45" s="167" t="s">
        <v>41</v>
      </c>
      <c r="E45" s="177" t="s">
        <v>42</v>
      </c>
      <c r="F45" s="169" t="s">
        <v>43</v>
      </c>
      <c r="G45" s="170" t="s">
        <v>44</v>
      </c>
      <c r="H45" s="170" t="s">
        <v>45</v>
      </c>
      <c r="I45" s="170"/>
      <c r="J45" s="171" t="n">
        <v>40</v>
      </c>
      <c r="K45" s="172" t="s">
        <v>130</v>
      </c>
      <c r="L45" s="173" t="s">
        <v>47</v>
      </c>
      <c r="M45" s="174"/>
      <c r="N45" s="175" t="n">
        <v>1500</v>
      </c>
      <c r="O45" s="176" t="n">
        <f aca="false">J45*N45</f>
        <v>60000</v>
      </c>
      <c r="P45" s="172" t="s">
        <v>48</v>
      </c>
      <c r="Q45" s="73"/>
    </row>
    <row r="46" s="66" customFormat="true" ht="349.5" hidden="false" customHeight="true" outlineLevel="0" collapsed="false">
      <c r="A46" s="157" t="s">
        <v>146</v>
      </c>
      <c r="B46" s="158" t="s">
        <v>142</v>
      </c>
      <c r="C46" s="93" t="s">
        <v>40</v>
      </c>
      <c r="D46" s="94" t="s">
        <v>41</v>
      </c>
      <c r="E46" s="136" t="s">
        <v>147</v>
      </c>
      <c r="F46" s="96" t="s">
        <v>43</v>
      </c>
      <c r="G46" s="82" t="s">
        <v>44</v>
      </c>
      <c r="H46" s="82" t="s">
        <v>45</v>
      </c>
      <c r="I46" s="82" t="s">
        <v>148</v>
      </c>
      <c r="J46" s="87" t="n">
        <v>40</v>
      </c>
      <c r="K46" s="97" t="s">
        <v>61</v>
      </c>
      <c r="L46" s="159" t="s">
        <v>47</v>
      </c>
      <c r="M46" s="160"/>
      <c r="N46" s="99" t="n">
        <v>2800</v>
      </c>
      <c r="O46" s="178" t="n">
        <f aca="false">J46*N46</f>
        <v>112000</v>
      </c>
      <c r="P46" s="76" t="s">
        <v>48</v>
      </c>
      <c r="Q46" s="73"/>
    </row>
    <row r="47" s="179" customFormat="true" ht="349.5" hidden="false" customHeight="true" outlineLevel="0" collapsed="false">
      <c r="A47" s="157" t="s">
        <v>149</v>
      </c>
      <c r="B47" s="158"/>
      <c r="C47" s="93" t="s">
        <v>40</v>
      </c>
      <c r="D47" s="94" t="s">
        <v>120</v>
      </c>
      <c r="E47" s="95" t="s">
        <v>42</v>
      </c>
      <c r="F47" s="96" t="s">
        <v>43</v>
      </c>
      <c r="G47" s="82" t="s">
        <v>44</v>
      </c>
      <c r="H47" s="82" t="s">
        <v>45</v>
      </c>
      <c r="I47" s="82" t="s">
        <v>148</v>
      </c>
      <c r="J47" s="87" t="n">
        <v>40</v>
      </c>
      <c r="K47" s="97" t="s">
        <v>130</v>
      </c>
      <c r="L47" s="159" t="s">
        <v>47</v>
      </c>
      <c r="M47" s="160"/>
      <c r="N47" s="99" t="n">
        <v>1500</v>
      </c>
      <c r="O47" s="178" t="n">
        <f aca="false">J47*N47</f>
        <v>60000</v>
      </c>
      <c r="P47" s="76" t="s">
        <v>48</v>
      </c>
      <c r="Q47" s="73"/>
    </row>
    <row r="48" s="66" customFormat="true" ht="349.5" hidden="false" customHeight="true" outlineLevel="0" collapsed="false">
      <c r="A48" s="157" t="s">
        <v>150</v>
      </c>
      <c r="B48" s="83" t="s">
        <v>89</v>
      </c>
      <c r="C48" s="69" t="s">
        <v>40</v>
      </c>
      <c r="D48" s="70" t="s">
        <v>67</v>
      </c>
      <c r="E48" s="84" t="s">
        <v>42</v>
      </c>
      <c r="F48" s="72" t="s">
        <v>85</v>
      </c>
      <c r="G48" s="73" t="s">
        <v>44</v>
      </c>
      <c r="H48" s="73" t="s">
        <v>45</v>
      </c>
      <c r="I48" s="73" t="s">
        <v>144</v>
      </c>
      <c r="J48" s="75" t="n">
        <v>26</v>
      </c>
      <c r="K48" s="76" t="n">
        <v>13</v>
      </c>
      <c r="L48" s="77" t="s">
        <v>47</v>
      </c>
      <c r="M48" s="78"/>
      <c r="N48" s="79" t="n">
        <v>3000</v>
      </c>
      <c r="O48" s="163" t="n">
        <f aca="false">J48*N48</f>
        <v>78000</v>
      </c>
      <c r="P48" s="76" t="s">
        <v>48</v>
      </c>
      <c r="Q48" s="73"/>
    </row>
    <row r="49" s="66" customFormat="true" ht="349.5" hidden="false" customHeight="true" outlineLevel="0" collapsed="false">
      <c r="A49" s="161" t="s">
        <v>151</v>
      </c>
      <c r="B49" s="83"/>
      <c r="C49" s="69" t="s">
        <v>40</v>
      </c>
      <c r="D49" s="70" t="s">
        <v>67</v>
      </c>
      <c r="E49" s="84" t="s">
        <v>42</v>
      </c>
      <c r="F49" s="72" t="s">
        <v>85</v>
      </c>
      <c r="G49" s="73" t="s">
        <v>44</v>
      </c>
      <c r="H49" s="73" t="s">
        <v>45</v>
      </c>
      <c r="I49" s="73" t="s">
        <v>152</v>
      </c>
      <c r="J49" s="75" t="n">
        <v>26</v>
      </c>
      <c r="K49" s="76" t="n">
        <v>13</v>
      </c>
      <c r="L49" s="77" t="s">
        <v>47</v>
      </c>
      <c r="M49" s="78"/>
      <c r="N49" s="79" t="n">
        <v>3000</v>
      </c>
      <c r="O49" s="163" t="n">
        <f aca="false">J49*N49</f>
        <v>78000</v>
      </c>
      <c r="P49" s="76" t="s">
        <v>48</v>
      </c>
      <c r="Q49" s="73"/>
    </row>
    <row r="50" s="102" customFormat="true" ht="349.5" hidden="false" customHeight="true" outlineLevel="0" collapsed="false">
      <c r="A50" s="161" t="s">
        <v>153</v>
      </c>
      <c r="B50" s="158" t="s">
        <v>105</v>
      </c>
      <c r="C50" s="93" t="s">
        <v>40</v>
      </c>
      <c r="D50" s="94" t="s">
        <v>120</v>
      </c>
      <c r="E50" s="95" t="s">
        <v>42</v>
      </c>
      <c r="F50" s="96" t="s">
        <v>43</v>
      </c>
      <c r="G50" s="82" t="s">
        <v>44</v>
      </c>
      <c r="H50" s="82" t="s">
        <v>45</v>
      </c>
      <c r="I50" s="82" t="s">
        <v>154</v>
      </c>
      <c r="J50" s="87" t="n">
        <v>36</v>
      </c>
      <c r="K50" s="97" t="s">
        <v>130</v>
      </c>
      <c r="L50" s="159" t="s">
        <v>47</v>
      </c>
      <c r="M50" s="160"/>
      <c r="N50" s="99" t="n">
        <v>1500</v>
      </c>
      <c r="O50" s="178" t="n">
        <f aca="false">J50*N50</f>
        <v>54000</v>
      </c>
      <c r="P50" s="76" t="s">
        <v>48</v>
      </c>
      <c r="Q50" s="82"/>
    </row>
    <row r="51" s="102" customFormat="true" ht="349.5" hidden="false" customHeight="true" outlineLevel="0" collapsed="false">
      <c r="A51" s="161" t="s">
        <v>155</v>
      </c>
      <c r="B51" s="158" t="s">
        <v>156</v>
      </c>
      <c r="C51" s="93" t="s">
        <v>40</v>
      </c>
      <c r="D51" s="94" t="s">
        <v>41</v>
      </c>
      <c r="E51" s="95" t="s">
        <v>42</v>
      </c>
      <c r="F51" s="96" t="s">
        <v>43</v>
      </c>
      <c r="G51" s="82" t="s">
        <v>44</v>
      </c>
      <c r="H51" s="82" t="s">
        <v>45</v>
      </c>
      <c r="I51" s="82" t="s">
        <v>157</v>
      </c>
      <c r="J51" s="87" t="n">
        <v>40</v>
      </c>
      <c r="K51" s="97" t="n">
        <v>26</v>
      </c>
      <c r="L51" s="159" t="s">
        <v>47</v>
      </c>
      <c r="M51" s="160"/>
      <c r="N51" s="99" t="n">
        <v>1500</v>
      </c>
      <c r="O51" s="178" t="n">
        <f aca="false">J51*N51</f>
        <v>60000</v>
      </c>
      <c r="P51" s="76" t="s">
        <v>48</v>
      </c>
      <c r="Q51" s="82" t="s">
        <v>64</v>
      </c>
    </row>
    <row r="52" s="102" customFormat="true" ht="349.5" hidden="false" customHeight="true" outlineLevel="0" collapsed="false">
      <c r="A52" s="161" t="s">
        <v>158</v>
      </c>
      <c r="B52" s="158" t="s">
        <v>105</v>
      </c>
      <c r="C52" s="93" t="s">
        <v>40</v>
      </c>
      <c r="D52" s="94" t="s">
        <v>41</v>
      </c>
      <c r="E52" s="95" t="s">
        <v>42</v>
      </c>
      <c r="F52" s="96" t="s">
        <v>43</v>
      </c>
      <c r="G52" s="82" t="s">
        <v>44</v>
      </c>
      <c r="H52" s="82" t="s">
        <v>45</v>
      </c>
      <c r="I52" s="82" t="s">
        <v>159</v>
      </c>
      <c r="J52" s="87" t="n">
        <v>40</v>
      </c>
      <c r="K52" s="97" t="n">
        <v>52</v>
      </c>
      <c r="L52" s="159" t="s">
        <v>47</v>
      </c>
      <c r="M52" s="160"/>
      <c r="N52" s="99" t="n">
        <v>2500</v>
      </c>
      <c r="O52" s="178" t="n">
        <f aca="false">J52*N52</f>
        <v>100000</v>
      </c>
      <c r="P52" s="76" t="s">
        <v>48</v>
      </c>
      <c r="Q52" s="82"/>
    </row>
    <row r="53" s="102" customFormat="true" ht="349.5" hidden="false" customHeight="true" outlineLevel="0" collapsed="false">
      <c r="A53" s="161" t="s">
        <v>160</v>
      </c>
      <c r="B53" s="180" t="s">
        <v>161</v>
      </c>
      <c r="C53" s="93" t="s">
        <v>40</v>
      </c>
      <c r="D53" s="94" t="s">
        <v>41</v>
      </c>
      <c r="E53" s="136" t="s">
        <v>90</v>
      </c>
      <c r="F53" s="96" t="s">
        <v>43</v>
      </c>
      <c r="G53" s="82" t="s">
        <v>44</v>
      </c>
      <c r="H53" s="82" t="s">
        <v>45</v>
      </c>
      <c r="I53" s="82" t="s">
        <v>162</v>
      </c>
      <c r="J53" s="87" t="n">
        <v>40</v>
      </c>
      <c r="K53" s="97" t="n">
        <v>13</v>
      </c>
      <c r="L53" s="159" t="s">
        <v>47</v>
      </c>
      <c r="M53" s="160"/>
      <c r="N53" s="99" t="n">
        <v>1500</v>
      </c>
      <c r="O53" s="178" t="n">
        <f aca="false">J53*N53</f>
        <v>60000</v>
      </c>
      <c r="P53" s="76" t="s">
        <v>48</v>
      </c>
      <c r="Q53" s="82"/>
    </row>
    <row r="54" s="66" customFormat="true" ht="349.5" hidden="false" customHeight="true" outlineLevel="0" collapsed="false">
      <c r="A54" s="161" t="s">
        <v>163</v>
      </c>
      <c r="B54" s="158" t="s">
        <v>156</v>
      </c>
      <c r="C54" s="93" t="s">
        <v>40</v>
      </c>
      <c r="D54" s="94" t="s">
        <v>67</v>
      </c>
      <c r="E54" s="136" t="s">
        <v>99</v>
      </c>
      <c r="F54" s="96" t="s">
        <v>68</v>
      </c>
      <c r="G54" s="82" t="s">
        <v>44</v>
      </c>
      <c r="H54" s="82" t="s">
        <v>45</v>
      </c>
      <c r="I54" s="82" t="s">
        <v>164</v>
      </c>
      <c r="J54" s="87" t="n">
        <v>26</v>
      </c>
      <c r="K54" s="97" t="s">
        <v>127</v>
      </c>
      <c r="L54" s="159" t="s">
        <v>47</v>
      </c>
      <c r="M54" s="160"/>
      <c r="N54" s="99" t="n">
        <v>1500</v>
      </c>
      <c r="O54" s="178" t="n">
        <f aca="false">J54*N54</f>
        <v>39000</v>
      </c>
      <c r="P54" s="97" t="s">
        <v>48</v>
      </c>
      <c r="Q54" s="73"/>
    </row>
    <row r="55" s="102" customFormat="true" ht="349.5" hidden="false" customHeight="true" outlineLevel="0" collapsed="false">
      <c r="A55" s="161" t="s">
        <v>165</v>
      </c>
      <c r="B55" s="158" t="s">
        <v>105</v>
      </c>
      <c r="C55" s="93" t="s">
        <v>40</v>
      </c>
      <c r="D55" s="94" t="s">
        <v>41</v>
      </c>
      <c r="E55" s="95" t="s">
        <v>42</v>
      </c>
      <c r="F55" s="96" t="s">
        <v>43</v>
      </c>
      <c r="G55" s="82" t="s">
        <v>44</v>
      </c>
      <c r="H55" s="82" t="s">
        <v>45</v>
      </c>
      <c r="I55" s="82" t="s">
        <v>166</v>
      </c>
      <c r="J55" s="87" t="n">
        <v>26</v>
      </c>
      <c r="K55" s="97" t="n">
        <v>13</v>
      </c>
      <c r="L55" s="159" t="s">
        <v>47</v>
      </c>
      <c r="M55" s="160"/>
      <c r="N55" s="99" t="n">
        <v>1000</v>
      </c>
      <c r="O55" s="178" t="n">
        <f aca="false">J55*N55</f>
        <v>26000</v>
      </c>
      <c r="P55" s="76" t="s">
        <v>48</v>
      </c>
      <c r="Q55" s="82" t="s">
        <v>64</v>
      </c>
    </row>
    <row r="56" s="102" customFormat="true" ht="349.5" hidden="false" customHeight="true" outlineLevel="0" collapsed="false">
      <c r="A56" s="161" t="s">
        <v>167</v>
      </c>
      <c r="B56" s="158" t="s">
        <v>168</v>
      </c>
      <c r="C56" s="93" t="s">
        <v>40</v>
      </c>
      <c r="D56" s="94" t="s">
        <v>41</v>
      </c>
      <c r="E56" s="95" t="s">
        <v>42</v>
      </c>
      <c r="F56" s="96" t="s">
        <v>43</v>
      </c>
      <c r="G56" s="82" t="s">
        <v>44</v>
      </c>
      <c r="H56" s="82" t="s">
        <v>45</v>
      </c>
      <c r="I56" s="82" t="s">
        <v>169</v>
      </c>
      <c r="J56" s="87" t="n">
        <v>36</v>
      </c>
      <c r="K56" s="97" t="s">
        <v>92</v>
      </c>
      <c r="L56" s="159" t="s">
        <v>47</v>
      </c>
      <c r="M56" s="160"/>
      <c r="N56" s="99" t="n">
        <v>2000</v>
      </c>
      <c r="O56" s="178" t="n">
        <f aca="false">J56*N56</f>
        <v>72000</v>
      </c>
      <c r="P56" s="76" t="s">
        <v>48</v>
      </c>
      <c r="Q56" s="82"/>
    </row>
    <row r="57" s="102" customFormat="true" ht="349.5" hidden="false" customHeight="true" outlineLevel="0" collapsed="false">
      <c r="A57" s="161" t="s">
        <v>170</v>
      </c>
      <c r="B57" s="158"/>
      <c r="C57" s="93" t="s">
        <v>40</v>
      </c>
      <c r="D57" s="94" t="s">
        <v>41</v>
      </c>
      <c r="E57" s="95" t="s">
        <v>42</v>
      </c>
      <c r="F57" s="96" t="s">
        <v>43</v>
      </c>
      <c r="G57" s="82" t="s">
        <v>44</v>
      </c>
      <c r="H57" s="82" t="s">
        <v>45</v>
      </c>
      <c r="I57" s="82" t="s">
        <v>171</v>
      </c>
      <c r="J57" s="87" t="n">
        <v>36</v>
      </c>
      <c r="K57" s="97" t="s">
        <v>92</v>
      </c>
      <c r="L57" s="159" t="s">
        <v>47</v>
      </c>
      <c r="M57" s="160"/>
      <c r="N57" s="99" t="n">
        <v>1000</v>
      </c>
      <c r="O57" s="178" t="n">
        <f aca="false">J57*N57</f>
        <v>36000</v>
      </c>
      <c r="P57" s="76" t="s">
        <v>48</v>
      </c>
      <c r="Q57" s="82"/>
    </row>
    <row r="58" s="102" customFormat="true" ht="349.5" hidden="false" customHeight="true" outlineLevel="0" collapsed="false">
      <c r="A58" s="161" t="s">
        <v>172</v>
      </c>
      <c r="B58" s="158" t="s">
        <v>105</v>
      </c>
      <c r="C58" s="93" t="s">
        <v>40</v>
      </c>
      <c r="D58" s="94" t="s">
        <v>67</v>
      </c>
      <c r="E58" s="95" t="s">
        <v>42</v>
      </c>
      <c r="F58" s="96" t="s">
        <v>68</v>
      </c>
      <c r="G58" s="82" t="s">
        <v>44</v>
      </c>
      <c r="H58" s="82" t="s">
        <v>45</v>
      </c>
      <c r="I58" s="82" t="s">
        <v>173</v>
      </c>
      <c r="J58" s="87" t="n">
        <v>26</v>
      </c>
      <c r="K58" s="97" t="n">
        <v>26</v>
      </c>
      <c r="L58" s="159" t="s">
        <v>47</v>
      </c>
      <c r="M58" s="160"/>
      <c r="N58" s="99" t="n">
        <v>8000</v>
      </c>
      <c r="O58" s="178" t="n">
        <f aca="false">J58*N58</f>
        <v>208000</v>
      </c>
      <c r="P58" s="76" t="s">
        <v>48</v>
      </c>
      <c r="Q58" s="82"/>
    </row>
    <row r="59" s="102" customFormat="true" ht="349.5" hidden="false" customHeight="true" outlineLevel="0" collapsed="false">
      <c r="A59" s="161" t="s">
        <v>174</v>
      </c>
      <c r="B59" s="158" t="s">
        <v>105</v>
      </c>
      <c r="C59" s="93" t="s">
        <v>40</v>
      </c>
      <c r="D59" s="94" t="s">
        <v>67</v>
      </c>
      <c r="E59" s="95" t="s">
        <v>42</v>
      </c>
      <c r="F59" s="96" t="s">
        <v>68</v>
      </c>
      <c r="G59" s="82" t="s">
        <v>44</v>
      </c>
      <c r="H59" s="82" t="s">
        <v>45</v>
      </c>
      <c r="I59" s="82" t="s">
        <v>175</v>
      </c>
      <c r="J59" s="87" t="n">
        <v>26</v>
      </c>
      <c r="K59" s="97" t="n">
        <v>13</v>
      </c>
      <c r="L59" s="159" t="s">
        <v>47</v>
      </c>
      <c r="M59" s="160"/>
      <c r="N59" s="99" t="n">
        <v>5000</v>
      </c>
      <c r="O59" s="178" t="n">
        <f aca="false">J59*N59</f>
        <v>130000</v>
      </c>
      <c r="P59" s="76" t="s">
        <v>48</v>
      </c>
      <c r="Q59" s="82"/>
    </row>
    <row r="60" s="128" customFormat="true" ht="349.5" hidden="false" customHeight="true" outlineLevel="0" collapsed="false">
      <c r="A60" s="181" t="s">
        <v>176</v>
      </c>
      <c r="B60" s="182" t="s">
        <v>105</v>
      </c>
      <c r="C60" s="117" t="s">
        <v>40</v>
      </c>
      <c r="D60" s="118" t="s">
        <v>67</v>
      </c>
      <c r="E60" s="119" t="s">
        <v>42</v>
      </c>
      <c r="F60" s="120" t="s">
        <v>68</v>
      </c>
      <c r="G60" s="121" t="s">
        <v>44</v>
      </c>
      <c r="H60" s="121" t="s">
        <v>45</v>
      </c>
      <c r="I60" s="121" t="s">
        <v>177</v>
      </c>
      <c r="J60" s="122" t="n">
        <v>26</v>
      </c>
      <c r="K60" s="123" t="n">
        <v>26</v>
      </c>
      <c r="L60" s="154" t="s">
        <v>47</v>
      </c>
      <c r="M60" s="155"/>
      <c r="N60" s="126" t="n">
        <v>8000</v>
      </c>
      <c r="O60" s="156" t="n">
        <f aca="false">J60*N60</f>
        <v>208000</v>
      </c>
      <c r="P60" s="123" t="s">
        <v>48</v>
      </c>
      <c r="Q60" s="121"/>
    </row>
    <row r="61" s="102" customFormat="true" ht="349.5" hidden="false" customHeight="true" outlineLevel="0" collapsed="false">
      <c r="A61" s="161" t="s">
        <v>178</v>
      </c>
      <c r="B61" s="158" t="s">
        <v>156</v>
      </c>
      <c r="C61" s="93" t="s">
        <v>40</v>
      </c>
      <c r="D61" s="94" t="s">
        <v>67</v>
      </c>
      <c r="E61" s="136" t="s">
        <v>90</v>
      </c>
      <c r="F61" s="96" t="s">
        <v>68</v>
      </c>
      <c r="G61" s="82" t="s">
        <v>44</v>
      </c>
      <c r="H61" s="82" t="s">
        <v>45</v>
      </c>
      <c r="I61" s="82" t="s">
        <v>179</v>
      </c>
      <c r="J61" s="87" t="n">
        <v>26</v>
      </c>
      <c r="K61" s="97" t="s">
        <v>180</v>
      </c>
      <c r="L61" s="159" t="s">
        <v>47</v>
      </c>
      <c r="M61" s="160"/>
      <c r="N61" s="99" t="n">
        <v>5000</v>
      </c>
      <c r="O61" s="178" t="n">
        <f aca="false">J61*N61</f>
        <v>130000</v>
      </c>
      <c r="P61" s="97" t="s">
        <v>48</v>
      </c>
      <c r="Q61" s="82"/>
    </row>
    <row r="62" s="102" customFormat="true" ht="349.5" hidden="false" customHeight="true" outlineLevel="0" collapsed="false">
      <c r="A62" s="161" t="s">
        <v>181</v>
      </c>
      <c r="B62" s="158" t="s">
        <v>105</v>
      </c>
      <c r="C62" s="93" t="s">
        <v>40</v>
      </c>
      <c r="D62" s="94" t="s">
        <v>67</v>
      </c>
      <c r="E62" s="136" t="s">
        <v>90</v>
      </c>
      <c r="F62" s="96" t="s">
        <v>68</v>
      </c>
      <c r="G62" s="82" t="s">
        <v>44</v>
      </c>
      <c r="H62" s="82" t="s">
        <v>45</v>
      </c>
      <c r="I62" s="82" t="s">
        <v>182</v>
      </c>
      <c r="J62" s="87" t="n">
        <v>96</v>
      </c>
      <c r="K62" s="97" t="n">
        <v>13</v>
      </c>
      <c r="L62" s="159" t="s">
        <v>137</v>
      </c>
      <c r="M62" s="160"/>
      <c r="N62" s="99" t="n">
        <v>4000</v>
      </c>
      <c r="O62" s="178" t="n">
        <f aca="false">J62*N62</f>
        <v>384000</v>
      </c>
      <c r="P62" s="97" t="s">
        <v>48</v>
      </c>
      <c r="Q62" s="82"/>
    </row>
    <row r="63" s="102" customFormat="true" ht="349.5" hidden="false" customHeight="true" outlineLevel="0" collapsed="false">
      <c r="A63" s="161" t="s">
        <v>183</v>
      </c>
      <c r="B63" s="158" t="s">
        <v>156</v>
      </c>
      <c r="C63" s="93" t="s">
        <v>40</v>
      </c>
      <c r="D63" s="94" t="s">
        <v>67</v>
      </c>
      <c r="E63" s="95" t="s">
        <v>42</v>
      </c>
      <c r="F63" s="96" t="s">
        <v>68</v>
      </c>
      <c r="G63" s="82" t="s">
        <v>44</v>
      </c>
      <c r="H63" s="82" t="s">
        <v>45</v>
      </c>
      <c r="I63" s="82" t="s">
        <v>184</v>
      </c>
      <c r="J63" s="87" t="n">
        <v>26</v>
      </c>
      <c r="K63" s="97" t="n">
        <v>13</v>
      </c>
      <c r="L63" s="159" t="s">
        <v>47</v>
      </c>
      <c r="M63" s="160"/>
      <c r="N63" s="99" t="n">
        <v>5700</v>
      </c>
      <c r="O63" s="178" t="n">
        <f aca="false">J63*N63</f>
        <v>148200</v>
      </c>
      <c r="P63" s="76" t="s">
        <v>48</v>
      </c>
      <c r="Q63" s="82"/>
    </row>
    <row r="64" s="102" customFormat="true" ht="349.5" hidden="false" customHeight="true" outlineLevel="0" collapsed="false">
      <c r="A64" s="181" t="s">
        <v>185</v>
      </c>
      <c r="B64" s="182" t="s">
        <v>105</v>
      </c>
      <c r="C64" s="117" t="s">
        <v>40</v>
      </c>
      <c r="D64" s="118" t="s">
        <v>67</v>
      </c>
      <c r="E64" s="136" t="s">
        <v>186</v>
      </c>
      <c r="F64" s="120" t="s">
        <v>68</v>
      </c>
      <c r="G64" s="121" t="s">
        <v>44</v>
      </c>
      <c r="H64" s="121" t="s">
        <v>45</v>
      </c>
      <c r="I64" s="121" t="s">
        <v>187</v>
      </c>
      <c r="J64" s="122" t="n">
        <v>26</v>
      </c>
      <c r="K64" s="123" t="n">
        <v>13</v>
      </c>
      <c r="L64" s="154" t="s">
        <v>47</v>
      </c>
      <c r="M64" s="155"/>
      <c r="N64" s="126" t="n">
        <v>8500</v>
      </c>
      <c r="O64" s="156" t="n">
        <f aca="false">J64*N64</f>
        <v>221000</v>
      </c>
      <c r="P64" s="123" t="s">
        <v>48</v>
      </c>
      <c r="Q64" s="121"/>
    </row>
    <row r="65" s="102" customFormat="true" ht="349.5" hidden="false" customHeight="true" outlineLevel="0" collapsed="false">
      <c r="A65" s="161" t="s">
        <v>188</v>
      </c>
      <c r="B65" s="158" t="s">
        <v>105</v>
      </c>
      <c r="C65" s="93" t="s">
        <v>40</v>
      </c>
      <c r="D65" s="94" t="s">
        <v>93</v>
      </c>
      <c r="E65" s="95" t="s">
        <v>42</v>
      </c>
      <c r="F65" s="96" t="s">
        <v>68</v>
      </c>
      <c r="G65" s="82" t="s">
        <v>44</v>
      </c>
      <c r="H65" s="82" t="s">
        <v>45</v>
      </c>
      <c r="I65" s="82" t="s">
        <v>189</v>
      </c>
      <c r="J65" s="87" t="n">
        <v>26</v>
      </c>
      <c r="K65" s="97" t="n">
        <v>13</v>
      </c>
      <c r="L65" s="159" t="s">
        <v>47</v>
      </c>
      <c r="M65" s="160"/>
      <c r="N65" s="99" t="n">
        <v>3300</v>
      </c>
      <c r="O65" s="178" t="n">
        <f aca="false">J65*N65</f>
        <v>85800</v>
      </c>
      <c r="P65" s="97" t="s">
        <v>48</v>
      </c>
      <c r="Q65" s="74"/>
    </row>
    <row r="66" s="102" customFormat="true" ht="349.5" hidden="false" customHeight="true" outlineLevel="0" collapsed="false">
      <c r="A66" s="161" t="s">
        <v>190</v>
      </c>
      <c r="B66" s="158" t="s">
        <v>105</v>
      </c>
      <c r="C66" s="93" t="s">
        <v>40</v>
      </c>
      <c r="D66" s="94" t="s">
        <v>41</v>
      </c>
      <c r="E66" s="95" t="s">
        <v>42</v>
      </c>
      <c r="F66" s="96" t="s">
        <v>43</v>
      </c>
      <c r="G66" s="82" t="s">
        <v>44</v>
      </c>
      <c r="H66" s="82" t="s">
        <v>45</v>
      </c>
      <c r="I66" s="82" t="s">
        <v>191</v>
      </c>
      <c r="J66" s="87" t="n">
        <v>36</v>
      </c>
      <c r="K66" s="97" t="n">
        <v>13</v>
      </c>
      <c r="L66" s="159" t="s">
        <v>47</v>
      </c>
      <c r="M66" s="160"/>
      <c r="N66" s="99" t="n">
        <v>2000</v>
      </c>
      <c r="O66" s="178" t="n">
        <f aca="false">J66*N66</f>
        <v>72000</v>
      </c>
      <c r="P66" s="76" t="s">
        <v>48</v>
      </c>
      <c r="Q66" s="82" t="s">
        <v>192</v>
      </c>
    </row>
    <row r="67" s="66" customFormat="true" ht="349.5" hidden="false" customHeight="true" outlineLevel="0" collapsed="false">
      <c r="A67" s="162" t="s">
        <v>193</v>
      </c>
      <c r="B67" s="83" t="s">
        <v>105</v>
      </c>
      <c r="C67" s="69" t="s">
        <v>40</v>
      </c>
      <c r="D67" s="70" t="s">
        <v>67</v>
      </c>
      <c r="E67" s="95" t="s">
        <v>42</v>
      </c>
      <c r="F67" s="72" t="s">
        <v>85</v>
      </c>
      <c r="G67" s="73" t="s">
        <v>44</v>
      </c>
      <c r="H67" s="73" t="s">
        <v>45</v>
      </c>
      <c r="I67" s="82" t="s">
        <v>194</v>
      </c>
      <c r="J67" s="75" t="n">
        <v>40</v>
      </c>
      <c r="K67" s="76" t="n">
        <v>26</v>
      </c>
      <c r="L67" s="77" t="s">
        <v>47</v>
      </c>
      <c r="M67" s="78"/>
      <c r="N67" s="79" t="n">
        <v>3900</v>
      </c>
      <c r="O67" s="163" t="n">
        <v>101400</v>
      </c>
      <c r="P67" s="76" t="s">
        <v>48</v>
      </c>
      <c r="Q67" s="73" t="s">
        <v>64</v>
      </c>
    </row>
    <row r="68" s="66" customFormat="true" ht="349.5" hidden="false" customHeight="true" outlineLevel="0" collapsed="false">
      <c r="A68" s="162" t="s">
        <v>195</v>
      </c>
      <c r="B68" s="83" t="s">
        <v>105</v>
      </c>
      <c r="C68" s="69" t="s">
        <v>40</v>
      </c>
      <c r="D68" s="70" t="s">
        <v>67</v>
      </c>
      <c r="E68" s="84" t="s">
        <v>42</v>
      </c>
      <c r="F68" s="72" t="s">
        <v>68</v>
      </c>
      <c r="G68" s="73" t="s">
        <v>44</v>
      </c>
      <c r="H68" s="73" t="s">
        <v>45</v>
      </c>
      <c r="I68" s="73" t="s">
        <v>196</v>
      </c>
      <c r="J68" s="75" t="n">
        <v>16</v>
      </c>
      <c r="K68" s="76" t="n">
        <v>26</v>
      </c>
      <c r="L68" s="77" t="s">
        <v>47</v>
      </c>
      <c r="M68" s="78"/>
      <c r="N68" s="79" t="n">
        <v>8000</v>
      </c>
      <c r="O68" s="163" t="n">
        <f aca="false">J68*N68</f>
        <v>128000</v>
      </c>
      <c r="P68" s="76" t="s">
        <v>48</v>
      </c>
      <c r="Q68" s="73"/>
    </row>
    <row r="69" s="66" customFormat="true" ht="349.5" hidden="false" customHeight="true" outlineLevel="0" collapsed="false">
      <c r="A69" s="162" t="s">
        <v>197</v>
      </c>
      <c r="B69" s="83" t="s">
        <v>105</v>
      </c>
      <c r="C69" s="69" t="s">
        <v>40</v>
      </c>
      <c r="D69" s="70" t="s">
        <v>41</v>
      </c>
      <c r="E69" s="84" t="s">
        <v>42</v>
      </c>
      <c r="F69" s="72" t="s">
        <v>43</v>
      </c>
      <c r="G69" s="73" t="s">
        <v>44</v>
      </c>
      <c r="H69" s="73" t="s">
        <v>45</v>
      </c>
      <c r="I69" s="73" t="s">
        <v>198</v>
      </c>
      <c r="J69" s="75" t="n">
        <v>30</v>
      </c>
      <c r="K69" s="76" t="s">
        <v>130</v>
      </c>
      <c r="L69" s="77" t="s">
        <v>47</v>
      </c>
      <c r="M69" s="78"/>
      <c r="N69" s="79" t="n">
        <v>800</v>
      </c>
      <c r="O69" s="163" t="n">
        <f aca="false">J69*N69</f>
        <v>24000</v>
      </c>
      <c r="P69" s="76" t="s">
        <v>48</v>
      </c>
      <c r="Q69" s="73"/>
    </row>
    <row r="70" s="66" customFormat="true" ht="349.5" hidden="false" customHeight="true" outlineLevel="0" collapsed="false">
      <c r="A70" s="67" t="s">
        <v>199</v>
      </c>
      <c r="B70" s="83" t="s">
        <v>132</v>
      </c>
      <c r="C70" s="69" t="s">
        <v>40</v>
      </c>
      <c r="D70" s="70" t="s">
        <v>93</v>
      </c>
      <c r="E70" s="136" t="s">
        <v>90</v>
      </c>
      <c r="F70" s="72" t="s">
        <v>68</v>
      </c>
      <c r="G70" s="73" t="s">
        <v>94</v>
      </c>
      <c r="H70" s="73" t="s">
        <v>45</v>
      </c>
      <c r="I70" s="73" t="s">
        <v>200</v>
      </c>
      <c r="J70" s="75" t="n">
        <v>96</v>
      </c>
      <c r="K70" s="76" t="s">
        <v>127</v>
      </c>
      <c r="L70" s="77" t="s">
        <v>201</v>
      </c>
      <c r="M70" s="78"/>
      <c r="N70" s="79" t="n">
        <v>4000</v>
      </c>
      <c r="O70" s="163" t="n">
        <f aca="false">J70*N70</f>
        <v>384000</v>
      </c>
      <c r="P70" s="76" t="s">
        <v>48</v>
      </c>
      <c r="Q70" s="183"/>
    </row>
    <row r="71" s="66" customFormat="true" ht="349.5" hidden="false" customHeight="true" outlineLevel="0" collapsed="false">
      <c r="A71" s="67" t="s">
        <v>202</v>
      </c>
      <c r="B71" s="83"/>
      <c r="C71" s="69" t="s">
        <v>40</v>
      </c>
      <c r="D71" s="70" t="s">
        <v>41</v>
      </c>
      <c r="E71" s="84" t="s">
        <v>42</v>
      </c>
      <c r="F71" s="72" t="s">
        <v>43</v>
      </c>
      <c r="G71" s="73" t="s">
        <v>44</v>
      </c>
      <c r="H71" s="73" t="s">
        <v>45</v>
      </c>
      <c r="I71" s="73"/>
      <c r="J71" s="75" t="n">
        <v>30</v>
      </c>
      <c r="K71" s="76" t="n">
        <v>13</v>
      </c>
      <c r="L71" s="77" t="s">
        <v>47</v>
      </c>
      <c r="M71" s="78"/>
      <c r="N71" s="79" t="n">
        <v>1500</v>
      </c>
      <c r="O71" s="163" t="n">
        <f aca="false">J71*N71</f>
        <v>45000</v>
      </c>
      <c r="P71" s="76" t="s">
        <v>48</v>
      </c>
      <c r="Q71" s="183"/>
    </row>
    <row r="72" s="66" customFormat="true" ht="408" hidden="false" customHeight="true" outlineLevel="0" collapsed="false">
      <c r="A72" s="184" t="s">
        <v>203</v>
      </c>
      <c r="B72" s="158" t="s">
        <v>204</v>
      </c>
      <c r="C72" s="69" t="s">
        <v>40</v>
      </c>
      <c r="D72" s="70" t="s">
        <v>205</v>
      </c>
      <c r="E72" s="84" t="s">
        <v>42</v>
      </c>
      <c r="F72" s="72" t="s">
        <v>206</v>
      </c>
      <c r="G72" s="73" t="s">
        <v>44</v>
      </c>
      <c r="H72" s="73" t="s">
        <v>45</v>
      </c>
      <c r="I72" s="73" t="s">
        <v>80</v>
      </c>
      <c r="J72" s="75" t="n">
        <v>12</v>
      </c>
      <c r="K72" s="79"/>
      <c r="L72" s="185"/>
      <c r="M72" s="78" t="n">
        <v>8000</v>
      </c>
      <c r="N72" s="76"/>
      <c r="O72" s="79" t="n">
        <f aca="false">J72*M72</f>
        <v>96000</v>
      </c>
      <c r="P72" s="76" t="s">
        <v>48</v>
      </c>
      <c r="Q72" s="76"/>
    </row>
    <row r="73" s="66" customFormat="true" ht="408" hidden="false" customHeight="true" outlineLevel="0" collapsed="false">
      <c r="A73" s="149" t="s">
        <v>207</v>
      </c>
      <c r="B73" s="186" t="s">
        <v>208</v>
      </c>
      <c r="C73" s="69" t="s">
        <v>40</v>
      </c>
      <c r="D73" s="70" t="s">
        <v>205</v>
      </c>
      <c r="E73" s="84" t="s">
        <v>42</v>
      </c>
      <c r="F73" s="72" t="s">
        <v>206</v>
      </c>
      <c r="G73" s="73" t="s">
        <v>44</v>
      </c>
      <c r="H73" s="73" t="s">
        <v>45</v>
      </c>
      <c r="I73" s="73" t="s">
        <v>209</v>
      </c>
      <c r="J73" s="75" t="n">
        <v>12</v>
      </c>
      <c r="K73" s="79"/>
      <c r="L73" s="185"/>
      <c r="M73" s="78" t="n">
        <v>4300</v>
      </c>
      <c r="N73" s="183"/>
      <c r="O73" s="79" t="n">
        <f aca="false">J73*M73</f>
        <v>51600</v>
      </c>
      <c r="P73" s="76" t="s">
        <v>48</v>
      </c>
      <c r="Q73" s="183"/>
    </row>
    <row r="74" s="66" customFormat="true" ht="408" hidden="false" customHeight="true" outlineLevel="0" collapsed="false">
      <c r="A74" s="149" t="s">
        <v>210</v>
      </c>
      <c r="B74" s="186"/>
      <c r="C74" s="69" t="s">
        <v>40</v>
      </c>
      <c r="D74" s="70" t="s">
        <v>205</v>
      </c>
      <c r="E74" s="84" t="s">
        <v>42</v>
      </c>
      <c r="F74" s="72" t="s">
        <v>206</v>
      </c>
      <c r="G74" s="73" t="s">
        <v>44</v>
      </c>
      <c r="H74" s="73" t="s">
        <v>45</v>
      </c>
      <c r="I74" s="73" t="s">
        <v>211</v>
      </c>
      <c r="J74" s="75" t="n">
        <v>12</v>
      </c>
      <c r="K74" s="79"/>
      <c r="L74" s="185"/>
      <c r="M74" s="78" t="n">
        <v>4300</v>
      </c>
      <c r="N74" s="183"/>
      <c r="O74" s="79" t="n">
        <f aca="false">J74*M74</f>
        <v>51600</v>
      </c>
      <c r="P74" s="76" t="s">
        <v>48</v>
      </c>
      <c r="Q74" s="183"/>
    </row>
    <row r="75" s="66" customFormat="true" ht="408" hidden="false" customHeight="true" outlineLevel="0" collapsed="false">
      <c r="A75" s="149" t="s">
        <v>207</v>
      </c>
      <c r="B75" s="186"/>
      <c r="C75" s="69" t="s">
        <v>40</v>
      </c>
      <c r="D75" s="70" t="s">
        <v>205</v>
      </c>
      <c r="E75" s="84" t="s">
        <v>42</v>
      </c>
      <c r="F75" s="72" t="s">
        <v>206</v>
      </c>
      <c r="G75" s="73" t="s">
        <v>44</v>
      </c>
      <c r="H75" s="73" t="s">
        <v>45</v>
      </c>
      <c r="I75" s="73" t="s">
        <v>212</v>
      </c>
      <c r="J75" s="75" t="n">
        <v>12</v>
      </c>
      <c r="K75" s="79"/>
      <c r="L75" s="185"/>
      <c r="M75" s="78" t="n">
        <v>4300</v>
      </c>
      <c r="N75" s="183"/>
      <c r="O75" s="79" t="n">
        <f aca="false">J75*M75</f>
        <v>51600</v>
      </c>
      <c r="P75" s="76" t="s">
        <v>48</v>
      </c>
      <c r="Q75" s="183"/>
    </row>
    <row r="76" s="66" customFormat="true" ht="408" hidden="false" customHeight="true" outlineLevel="0" collapsed="false">
      <c r="A76" s="149" t="s">
        <v>213</v>
      </c>
      <c r="B76" s="100" t="s">
        <v>214</v>
      </c>
      <c r="C76" s="187" t="s">
        <v>40</v>
      </c>
      <c r="D76" s="70" t="s">
        <v>205</v>
      </c>
      <c r="E76" s="84" t="s">
        <v>42</v>
      </c>
      <c r="F76" s="72" t="s">
        <v>206</v>
      </c>
      <c r="G76" s="73" t="s">
        <v>44</v>
      </c>
      <c r="H76" s="73" t="s">
        <v>45</v>
      </c>
      <c r="I76" s="73" t="s">
        <v>215</v>
      </c>
      <c r="J76" s="75" t="n">
        <v>12</v>
      </c>
      <c r="K76" s="79"/>
      <c r="L76" s="185"/>
      <c r="M76" s="78" t="n">
        <v>4300</v>
      </c>
      <c r="N76" s="183"/>
      <c r="O76" s="79" t="n">
        <f aca="false">J76*M76</f>
        <v>51600</v>
      </c>
      <c r="P76" s="76" t="s">
        <v>48</v>
      </c>
      <c r="Q76" s="73"/>
    </row>
    <row r="77" s="66" customFormat="true" ht="408" hidden="false" customHeight="true" outlineLevel="0" collapsed="false">
      <c r="A77" s="149" t="s">
        <v>213</v>
      </c>
      <c r="B77" s="100"/>
      <c r="C77" s="187" t="s">
        <v>40</v>
      </c>
      <c r="D77" s="70" t="s">
        <v>205</v>
      </c>
      <c r="E77" s="84" t="s">
        <v>42</v>
      </c>
      <c r="F77" s="72" t="s">
        <v>206</v>
      </c>
      <c r="G77" s="73" t="s">
        <v>44</v>
      </c>
      <c r="H77" s="73" t="s">
        <v>45</v>
      </c>
      <c r="I77" s="73" t="s">
        <v>216</v>
      </c>
      <c r="J77" s="75" t="n">
        <v>12</v>
      </c>
      <c r="K77" s="79"/>
      <c r="L77" s="185"/>
      <c r="M77" s="78" t="n">
        <v>4300</v>
      </c>
      <c r="N77" s="183"/>
      <c r="O77" s="79" t="n">
        <f aca="false">J77*M77</f>
        <v>51600</v>
      </c>
      <c r="P77" s="76" t="s">
        <v>48</v>
      </c>
      <c r="Q77" s="73"/>
    </row>
    <row r="78" s="66" customFormat="true" ht="408" hidden="false" customHeight="true" outlineLevel="0" collapsed="false">
      <c r="A78" s="149" t="s">
        <v>213</v>
      </c>
      <c r="B78" s="100"/>
      <c r="C78" s="187" t="s">
        <v>40</v>
      </c>
      <c r="D78" s="70" t="s">
        <v>205</v>
      </c>
      <c r="E78" s="84" t="s">
        <v>42</v>
      </c>
      <c r="F78" s="72" t="s">
        <v>206</v>
      </c>
      <c r="G78" s="73" t="s">
        <v>44</v>
      </c>
      <c r="H78" s="73" t="s">
        <v>45</v>
      </c>
      <c r="I78" s="73" t="s">
        <v>217</v>
      </c>
      <c r="J78" s="75" t="n">
        <v>12</v>
      </c>
      <c r="K78" s="79"/>
      <c r="L78" s="185"/>
      <c r="M78" s="78" t="n">
        <v>4300</v>
      </c>
      <c r="N78" s="183"/>
      <c r="O78" s="79" t="n">
        <f aca="false">J78*M78</f>
        <v>51600</v>
      </c>
      <c r="P78" s="76" t="s">
        <v>48</v>
      </c>
      <c r="Q78" s="73"/>
    </row>
    <row r="79" s="66" customFormat="true" ht="408" hidden="false" customHeight="true" outlineLevel="0" collapsed="false">
      <c r="A79" s="149" t="s">
        <v>213</v>
      </c>
      <c r="B79" s="100"/>
      <c r="C79" s="187" t="s">
        <v>40</v>
      </c>
      <c r="D79" s="70" t="s">
        <v>205</v>
      </c>
      <c r="E79" s="84" t="s">
        <v>42</v>
      </c>
      <c r="F79" s="72" t="s">
        <v>206</v>
      </c>
      <c r="G79" s="73" t="s">
        <v>44</v>
      </c>
      <c r="H79" s="73" t="s">
        <v>45</v>
      </c>
      <c r="I79" s="73" t="s">
        <v>111</v>
      </c>
      <c r="J79" s="75" t="n">
        <v>12</v>
      </c>
      <c r="K79" s="79"/>
      <c r="L79" s="185"/>
      <c r="M79" s="78" t="n">
        <v>4300</v>
      </c>
      <c r="N79" s="183"/>
      <c r="O79" s="79" t="n">
        <f aca="false">J79*M79</f>
        <v>51600</v>
      </c>
      <c r="P79" s="76" t="s">
        <v>48</v>
      </c>
      <c r="Q79" s="73"/>
    </row>
    <row r="80" s="66" customFormat="true" ht="408" hidden="false" customHeight="true" outlineLevel="0" collapsed="false">
      <c r="A80" s="149" t="s">
        <v>213</v>
      </c>
      <c r="B80" s="100"/>
      <c r="C80" s="187" t="s">
        <v>40</v>
      </c>
      <c r="D80" s="70" t="s">
        <v>205</v>
      </c>
      <c r="E80" s="84" t="s">
        <v>42</v>
      </c>
      <c r="F80" s="72" t="s">
        <v>206</v>
      </c>
      <c r="G80" s="73" t="s">
        <v>44</v>
      </c>
      <c r="H80" s="73" t="s">
        <v>45</v>
      </c>
      <c r="I80" s="73" t="s">
        <v>218</v>
      </c>
      <c r="J80" s="75" t="n">
        <v>12</v>
      </c>
      <c r="K80" s="79"/>
      <c r="L80" s="185"/>
      <c r="M80" s="78" t="n">
        <v>4300</v>
      </c>
      <c r="N80" s="183"/>
      <c r="O80" s="79" t="n">
        <f aca="false">J80*M80</f>
        <v>51600</v>
      </c>
      <c r="P80" s="76" t="s">
        <v>48</v>
      </c>
      <c r="Q80" s="73"/>
    </row>
    <row r="81" s="66" customFormat="true" ht="408" hidden="false" customHeight="true" outlineLevel="0" collapsed="false">
      <c r="A81" s="149" t="s">
        <v>213</v>
      </c>
      <c r="B81" s="100"/>
      <c r="C81" s="187" t="s">
        <v>40</v>
      </c>
      <c r="D81" s="70" t="s">
        <v>205</v>
      </c>
      <c r="E81" s="84" t="s">
        <v>42</v>
      </c>
      <c r="F81" s="72" t="s">
        <v>206</v>
      </c>
      <c r="G81" s="73" t="s">
        <v>44</v>
      </c>
      <c r="H81" s="73" t="s">
        <v>45</v>
      </c>
      <c r="I81" s="73" t="s">
        <v>219</v>
      </c>
      <c r="J81" s="75" t="n">
        <v>12</v>
      </c>
      <c r="K81" s="79"/>
      <c r="L81" s="185"/>
      <c r="M81" s="78" t="n">
        <v>4300</v>
      </c>
      <c r="N81" s="183"/>
      <c r="O81" s="79" t="n">
        <f aca="false">J81*M81</f>
        <v>51600</v>
      </c>
      <c r="P81" s="76" t="s">
        <v>48</v>
      </c>
      <c r="Q81" s="73"/>
    </row>
    <row r="82" s="66" customFormat="true" ht="408" hidden="false" customHeight="true" outlineLevel="0" collapsed="false">
      <c r="A82" s="131" t="s">
        <v>220</v>
      </c>
      <c r="B82" s="100"/>
      <c r="C82" s="188" t="s">
        <v>40</v>
      </c>
      <c r="D82" s="94" t="s">
        <v>205</v>
      </c>
      <c r="E82" s="95" t="s">
        <v>42</v>
      </c>
      <c r="F82" s="96" t="s">
        <v>221</v>
      </c>
      <c r="G82" s="82" t="s">
        <v>44</v>
      </c>
      <c r="H82" s="82" t="s">
        <v>45</v>
      </c>
      <c r="I82" s="82" t="s">
        <v>222</v>
      </c>
      <c r="J82" s="87" t="n">
        <v>12</v>
      </c>
      <c r="K82" s="99"/>
      <c r="L82" s="189"/>
      <c r="M82" s="160" t="n">
        <v>4300</v>
      </c>
      <c r="N82" s="190"/>
      <c r="O82" s="79" t="n">
        <f aca="false">J82*M82</f>
        <v>51600</v>
      </c>
      <c r="P82" s="76" t="s">
        <v>48</v>
      </c>
      <c r="Q82" s="82"/>
    </row>
    <row r="83" s="66" customFormat="true" ht="408" hidden="false" customHeight="true" outlineLevel="0" collapsed="false">
      <c r="A83" s="131" t="s">
        <v>220</v>
      </c>
      <c r="B83" s="100"/>
      <c r="C83" s="188" t="s">
        <v>40</v>
      </c>
      <c r="D83" s="94" t="s">
        <v>205</v>
      </c>
      <c r="E83" s="95" t="s">
        <v>42</v>
      </c>
      <c r="F83" s="96" t="s">
        <v>221</v>
      </c>
      <c r="G83" s="82" t="s">
        <v>44</v>
      </c>
      <c r="H83" s="82" t="s">
        <v>45</v>
      </c>
      <c r="I83" s="82" t="s">
        <v>223</v>
      </c>
      <c r="J83" s="87" t="n">
        <v>12</v>
      </c>
      <c r="K83" s="99"/>
      <c r="L83" s="189"/>
      <c r="M83" s="160" t="n">
        <v>4300</v>
      </c>
      <c r="N83" s="190"/>
      <c r="O83" s="79" t="n">
        <f aca="false">J83*M83</f>
        <v>51600</v>
      </c>
      <c r="P83" s="76" t="s">
        <v>48</v>
      </c>
      <c r="Q83" s="82"/>
    </row>
    <row r="84" s="102" customFormat="true" ht="408" hidden="false" customHeight="true" outlineLevel="0" collapsed="false">
      <c r="A84" s="131" t="s">
        <v>220</v>
      </c>
      <c r="B84" s="100"/>
      <c r="C84" s="188" t="s">
        <v>40</v>
      </c>
      <c r="D84" s="94" t="s">
        <v>205</v>
      </c>
      <c r="E84" s="95" t="s">
        <v>42</v>
      </c>
      <c r="F84" s="96" t="s">
        <v>224</v>
      </c>
      <c r="G84" s="82" t="s">
        <v>44</v>
      </c>
      <c r="H84" s="82" t="s">
        <v>45</v>
      </c>
      <c r="I84" s="82" t="s">
        <v>225</v>
      </c>
      <c r="J84" s="87" t="n">
        <v>12</v>
      </c>
      <c r="K84" s="99"/>
      <c r="L84" s="189"/>
      <c r="M84" s="160" t="n">
        <v>4300</v>
      </c>
      <c r="N84" s="190"/>
      <c r="O84" s="99" t="n">
        <f aca="false">J84*M84</f>
        <v>51600</v>
      </c>
      <c r="P84" s="76" t="s">
        <v>48</v>
      </c>
      <c r="Q84" s="82"/>
    </row>
    <row r="85" s="128" customFormat="true" ht="300" hidden="false" customHeight="true" outlineLevel="0" collapsed="false">
      <c r="A85" s="191" t="s">
        <v>226</v>
      </c>
      <c r="B85" s="145" t="s">
        <v>227</v>
      </c>
      <c r="C85" s="117" t="s">
        <v>40</v>
      </c>
      <c r="D85" s="118" t="s">
        <v>228</v>
      </c>
      <c r="E85" s="119" t="s">
        <v>42</v>
      </c>
      <c r="F85" s="120" t="s">
        <v>43</v>
      </c>
      <c r="G85" s="121" t="s">
        <v>44</v>
      </c>
      <c r="H85" s="121" t="s">
        <v>45</v>
      </c>
      <c r="I85" s="121" t="s">
        <v>229</v>
      </c>
      <c r="J85" s="122" t="n">
        <v>12</v>
      </c>
      <c r="K85" s="126"/>
      <c r="L85" s="192"/>
      <c r="M85" s="155" t="n">
        <v>9000</v>
      </c>
      <c r="N85" s="193"/>
      <c r="O85" s="126" t="n">
        <f aca="false">J85*M85</f>
        <v>108000</v>
      </c>
      <c r="P85" s="123" t="s">
        <v>48</v>
      </c>
      <c r="Q85" s="121"/>
    </row>
    <row r="86" s="128" customFormat="true" ht="300" hidden="false" customHeight="true" outlineLevel="0" collapsed="false">
      <c r="A86" s="181" t="s">
        <v>230</v>
      </c>
      <c r="B86" s="182" t="s">
        <v>105</v>
      </c>
      <c r="C86" s="117" t="s">
        <v>40</v>
      </c>
      <c r="D86" s="118" t="s">
        <v>228</v>
      </c>
      <c r="E86" s="119" t="s">
        <v>42</v>
      </c>
      <c r="F86" s="120" t="s">
        <v>43</v>
      </c>
      <c r="G86" s="121" t="s">
        <v>44</v>
      </c>
      <c r="H86" s="121" t="s">
        <v>45</v>
      </c>
      <c r="I86" s="121" t="s">
        <v>231</v>
      </c>
      <c r="J86" s="122" t="n">
        <v>12</v>
      </c>
      <c r="K86" s="126"/>
      <c r="L86" s="192"/>
      <c r="M86" s="155" t="n">
        <v>7000</v>
      </c>
      <c r="N86" s="193"/>
      <c r="O86" s="126" t="n">
        <f aca="false">J86*M86</f>
        <v>84000</v>
      </c>
      <c r="P86" s="123" t="s">
        <v>48</v>
      </c>
      <c r="Q86" s="121"/>
    </row>
    <row r="87" s="66" customFormat="true" ht="300" hidden="false" customHeight="true" outlineLevel="0" collapsed="false">
      <c r="A87" s="162" t="s">
        <v>232</v>
      </c>
      <c r="B87" s="83" t="s">
        <v>105</v>
      </c>
      <c r="C87" s="69" t="s">
        <v>40</v>
      </c>
      <c r="D87" s="70" t="s">
        <v>228</v>
      </c>
      <c r="E87" s="84" t="s">
        <v>42</v>
      </c>
      <c r="F87" s="72" t="s">
        <v>43</v>
      </c>
      <c r="G87" s="73" t="s">
        <v>44</v>
      </c>
      <c r="H87" s="73" t="s">
        <v>45</v>
      </c>
      <c r="I87" s="73" t="s">
        <v>233</v>
      </c>
      <c r="J87" s="75" t="n">
        <v>12</v>
      </c>
      <c r="K87" s="79"/>
      <c r="L87" s="185"/>
      <c r="M87" s="78" t="n">
        <v>6000</v>
      </c>
      <c r="N87" s="183"/>
      <c r="O87" s="79" t="n">
        <f aca="false">J87*M87</f>
        <v>72000</v>
      </c>
      <c r="P87" s="76" t="s">
        <v>48</v>
      </c>
      <c r="Q87" s="73"/>
    </row>
    <row r="88" s="66" customFormat="true" ht="300" hidden="false" customHeight="true" outlineLevel="0" collapsed="false">
      <c r="A88" s="162" t="s">
        <v>234</v>
      </c>
      <c r="B88" s="90" t="s">
        <v>168</v>
      </c>
      <c r="C88" s="187" t="s">
        <v>40</v>
      </c>
      <c r="D88" s="70" t="s">
        <v>235</v>
      </c>
      <c r="E88" s="136" t="s">
        <v>236</v>
      </c>
      <c r="F88" s="72" t="s">
        <v>85</v>
      </c>
      <c r="G88" s="73" t="s">
        <v>44</v>
      </c>
      <c r="H88" s="73" t="s">
        <v>45</v>
      </c>
      <c r="I88" s="73" t="s">
        <v>237</v>
      </c>
      <c r="J88" s="75" t="n">
        <v>12</v>
      </c>
      <c r="K88" s="79"/>
      <c r="L88" s="185"/>
      <c r="M88" s="78" t="n">
        <v>7000</v>
      </c>
      <c r="N88" s="183"/>
      <c r="O88" s="79" t="n">
        <f aca="false">J88*M88</f>
        <v>84000</v>
      </c>
      <c r="P88" s="76" t="s">
        <v>48</v>
      </c>
      <c r="Q88" s="73"/>
    </row>
    <row r="89" s="66" customFormat="true" ht="300" hidden="false" customHeight="true" outlineLevel="0" collapsed="false">
      <c r="A89" s="194" t="s">
        <v>238</v>
      </c>
      <c r="B89" s="90"/>
      <c r="C89" s="187" t="s">
        <v>40</v>
      </c>
      <c r="D89" s="70" t="s">
        <v>235</v>
      </c>
      <c r="E89" s="84" t="s">
        <v>42</v>
      </c>
      <c r="F89" s="72" t="s">
        <v>85</v>
      </c>
      <c r="G89" s="73" t="s">
        <v>44</v>
      </c>
      <c r="H89" s="73" t="s">
        <v>45</v>
      </c>
      <c r="I89" s="82" t="s">
        <v>239</v>
      </c>
      <c r="J89" s="75" t="n">
        <v>12</v>
      </c>
      <c r="K89" s="79"/>
      <c r="L89" s="185"/>
      <c r="M89" s="78" t="n">
        <v>7000</v>
      </c>
      <c r="N89" s="183"/>
      <c r="O89" s="79" t="n">
        <f aca="false">J89*M89</f>
        <v>84000</v>
      </c>
      <c r="P89" s="76" t="s">
        <v>48</v>
      </c>
      <c r="Q89" s="73"/>
    </row>
    <row r="90" s="66" customFormat="true" ht="300" hidden="false" customHeight="true" outlineLevel="0" collapsed="false">
      <c r="A90" s="195" t="s">
        <v>240</v>
      </c>
      <c r="B90" s="83" t="s">
        <v>105</v>
      </c>
      <c r="C90" s="69" t="s">
        <v>40</v>
      </c>
      <c r="D90" s="70" t="s">
        <v>235</v>
      </c>
      <c r="E90" s="84" t="s">
        <v>42</v>
      </c>
      <c r="F90" s="72" t="s">
        <v>85</v>
      </c>
      <c r="G90" s="73" t="s">
        <v>44</v>
      </c>
      <c r="H90" s="73" t="s">
        <v>45</v>
      </c>
      <c r="I90" s="73" t="s">
        <v>241</v>
      </c>
      <c r="J90" s="75" t="n">
        <v>12</v>
      </c>
      <c r="K90" s="79"/>
      <c r="L90" s="185"/>
      <c r="M90" s="78" t="n">
        <v>7000</v>
      </c>
      <c r="N90" s="183"/>
      <c r="O90" s="79" t="n">
        <f aca="false">J90*M90</f>
        <v>84000</v>
      </c>
      <c r="P90" s="76" t="s">
        <v>48</v>
      </c>
      <c r="Q90" s="73"/>
    </row>
    <row r="91" s="66" customFormat="true" ht="376.5" hidden="false" customHeight="true" outlineLevel="0" collapsed="false">
      <c r="A91" s="196" t="s">
        <v>242</v>
      </c>
      <c r="B91" s="83" t="s">
        <v>168</v>
      </c>
      <c r="C91" s="69" t="s">
        <v>40</v>
      </c>
      <c r="D91" s="70" t="s">
        <v>235</v>
      </c>
      <c r="E91" s="84" t="s">
        <v>42</v>
      </c>
      <c r="F91" s="72" t="s">
        <v>85</v>
      </c>
      <c r="G91" s="73" t="s">
        <v>44</v>
      </c>
      <c r="H91" s="73" t="s">
        <v>45</v>
      </c>
      <c r="I91" s="73" t="s">
        <v>243</v>
      </c>
      <c r="J91" s="75" t="n">
        <v>12</v>
      </c>
      <c r="K91" s="79"/>
      <c r="L91" s="185"/>
      <c r="M91" s="78" t="n">
        <v>6000</v>
      </c>
      <c r="N91" s="183"/>
      <c r="O91" s="79" t="n">
        <f aca="false">J91*M91</f>
        <v>72000</v>
      </c>
      <c r="P91" s="76" t="s">
        <v>48</v>
      </c>
      <c r="Q91" s="73"/>
    </row>
    <row r="92" s="66" customFormat="true" ht="409.5" hidden="false" customHeight="true" outlineLevel="0" collapsed="false">
      <c r="A92" s="194" t="s">
        <v>244</v>
      </c>
      <c r="B92" s="83"/>
      <c r="C92" s="69" t="s">
        <v>40</v>
      </c>
      <c r="D92" s="70" t="s">
        <v>235</v>
      </c>
      <c r="E92" s="136" t="s">
        <v>245</v>
      </c>
      <c r="F92" s="72" t="s">
        <v>85</v>
      </c>
      <c r="G92" s="73" t="s">
        <v>44</v>
      </c>
      <c r="H92" s="73" t="s">
        <v>45</v>
      </c>
      <c r="I92" s="74" t="s">
        <v>246</v>
      </c>
      <c r="J92" s="75" t="n">
        <v>12</v>
      </c>
      <c r="K92" s="79"/>
      <c r="L92" s="185"/>
      <c r="M92" s="78" t="n">
        <v>7000</v>
      </c>
      <c r="N92" s="183"/>
      <c r="O92" s="79" t="n">
        <f aca="false">J92*M92</f>
        <v>84000</v>
      </c>
      <c r="P92" s="76" t="s">
        <v>48</v>
      </c>
      <c r="Q92" s="73"/>
    </row>
    <row r="93" s="66" customFormat="true" ht="376.5" hidden="false" customHeight="true" outlineLevel="0" collapsed="false">
      <c r="A93" s="197" t="s">
        <v>247</v>
      </c>
      <c r="B93" s="198" t="s">
        <v>105</v>
      </c>
      <c r="C93" s="69" t="s">
        <v>40</v>
      </c>
      <c r="D93" s="70" t="s">
        <v>235</v>
      </c>
      <c r="E93" s="136" t="s">
        <v>245</v>
      </c>
      <c r="F93" s="72" t="s">
        <v>85</v>
      </c>
      <c r="G93" s="73" t="s">
        <v>44</v>
      </c>
      <c r="H93" s="73" t="s">
        <v>45</v>
      </c>
      <c r="I93" s="74" t="s">
        <v>248</v>
      </c>
      <c r="J93" s="75" t="n">
        <v>12</v>
      </c>
      <c r="K93" s="79"/>
      <c r="L93" s="185"/>
      <c r="M93" s="78" t="n">
        <v>7000</v>
      </c>
      <c r="N93" s="199"/>
      <c r="O93" s="79" t="n">
        <f aca="false">J93*M93</f>
        <v>84000</v>
      </c>
      <c r="P93" s="76" t="s">
        <v>48</v>
      </c>
      <c r="Q93" s="135"/>
    </row>
    <row r="94" s="66" customFormat="true" ht="199.5" hidden="false" customHeight="true" outlineLevel="0" collapsed="false">
      <c r="A94" s="149" t="s">
        <v>249</v>
      </c>
      <c r="B94" s="150" t="s">
        <v>79</v>
      </c>
      <c r="C94" s="69" t="s">
        <v>40</v>
      </c>
      <c r="D94" s="70" t="s">
        <v>235</v>
      </c>
      <c r="E94" s="95" t="s">
        <v>42</v>
      </c>
      <c r="F94" s="72" t="s">
        <v>85</v>
      </c>
      <c r="G94" s="73" t="s">
        <v>44</v>
      </c>
      <c r="H94" s="73" t="s">
        <v>45</v>
      </c>
      <c r="I94" s="82" t="s">
        <v>250</v>
      </c>
      <c r="J94" s="75" t="n">
        <v>12</v>
      </c>
      <c r="K94" s="79"/>
      <c r="L94" s="185"/>
      <c r="M94" s="78" t="n">
        <v>7000</v>
      </c>
      <c r="N94" s="73"/>
      <c r="O94" s="79" t="n">
        <f aca="false">J94*M94</f>
        <v>84000</v>
      </c>
      <c r="P94" s="76" t="s">
        <v>48</v>
      </c>
      <c r="Q94" s="73"/>
    </row>
    <row r="95" s="66" customFormat="true" ht="199.5" hidden="false" customHeight="true" outlineLevel="0" collapsed="false">
      <c r="A95" s="149" t="s">
        <v>249</v>
      </c>
      <c r="B95" s="150"/>
      <c r="C95" s="69" t="s">
        <v>40</v>
      </c>
      <c r="D95" s="70" t="s">
        <v>235</v>
      </c>
      <c r="E95" s="84" t="s">
        <v>42</v>
      </c>
      <c r="F95" s="72" t="s">
        <v>85</v>
      </c>
      <c r="G95" s="73" t="s">
        <v>44</v>
      </c>
      <c r="H95" s="73" t="s">
        <v>45</v>
      </c>
      <c r="I95" s="73" t="s">
        <v>251</v>
      </c>
      <c r="J95" s="75" t="n">
        <v>12</v>
      </c>
      <c r="K95" s="79"/>
      <c r="L95" s="185"/>
      <c r="M95" s="78" t="n">
        <v>7000</v>
      </c>
      <c r="N95" s="73"/>
      <c r="O95" s="79" t="n">
        <f aca="false">J95*M95</f>
        <v>84000</v>
      </c>
      <c r="P95" s="76" t="s">
        <v>48</v>
      </c>
      <c r="Q95" s="73"/>
    </row>
    <row r="96" s="66" customFormat="true" ht="199.5" hidden="false" customHeight="true" outlineLevel="0" collapsed="false">
      <c r="A96" s="149" t="s">
        <v>249</v>
      </c>
      <c r="B96" s="150"/>
      <c r="C96" s="69" t="s">
        <v>40</v>
      </c>
      <c r="D96" s="70" t="s">
        <v>235</v>
      </c>
      <c r="E96" s="84" t="s">
        <v>42</v>
      </c>
      <c r="F96" s="72" t="s">
        <v>85</v>
      </c>
      <c r="G96" s="73" t="s">
        <v>44</v>
      </c>
      <c r="H96" s="73" t="s">
        <v>45</v>
      </c>
      <c r="I96" s="73" t="s">
        <v>252</v>
      </c>
      <c r="J96" s="75" t="n">
        <v>12</v>
      </c>
      <c r="K96" s="79"/>
      <c r="L96" s="185"/>
      <c r="M96" s="78" t="n">
        <v>7000</v>
      </c>
      <c r="N96" s="73"/>
      <c r="O96" s="79" t="n">
        <f aca="false">J96*M96</f>
        <v>84000</v>
      </c>
      <c r="P96" s="76" t="s">
        <v>48</v>
      </c>
      <c r="Q96" s="73"/>
    </row>
    <row r="97" s="66" customFormat="true" ht="199.5" hidden="false" customHeight="true" outlineLevel="0" collapsed="false">
      <c r="A97" s="149" t="s">
        <v>249</v>
      </c>
      <c r="B97" s="150"/>
      <c r="C97" s="69" t="s">
        <v>40</v>
      </c>
      <c r="D97" s="70" t="s">
        <v>235</v>
      </c>
      <c r="E97" s="84" t="s">
        <v>42</v>
      </c>
      <c r="F97" s="72" t="s">
        <v>85</v>
      </c>
      <c r="G97" s="73" t="s">
        <v>44</v>
      </c>
      <c r="H97" s="73" t="s">
        <v>45</v>
      </c>
      <c r="I97" s="73" t="s">
        <v>253</v>
      </c>
      <c r="J97" s="75" t="n">
        <v>12</v>
      </c>
      <c r="K97" s="79"/>
      <c r="L97" s="185"/>
      <c r="M97" s="78" t="n">
        <v>7000</v>
      </c>
      <c r="N97" s="73"/>
      <c r="O97" s="79" t="n">
        <f aca="false">J97*M97</f>
        <v>84000</v>
      </c>
      <c r="P97" s="76" t="s">
        <v>48</v>
      </c>
      <c r="Q97" s="73"/>
    </row>
    <row r="98" s="66" customFormat="true" ht="199.5" hidden="false" customHeight="true" outlineLevel="0" collapsed="false">
      <c r="A98" s="149" t="s">
        <v>249</v>
      </c>
      <c r="B98" s="150"/>
      <c r="C98" s="69" t="s">
        <v>40</v>
      </c>
      <c r="D98" s="70" t="s">
        <v>235</v>
      </c>
      <c r="E98" s="84" t="s">
        <v>42</v>
      </c>
      <c r="F98" s="72" t="s">
        <v>85</v>
      </c>
      <c r="G98" s="73" t="s">
        <v>44</v>
      </c>
      <c r="H98" s="73" t="s">
        <v>45</v>
      </c>
      <c r="I98" s="73" t="s">
        <v>254</v>
      </c>
      <c r="J98" s="75" t="n">
        <v>12</v>
      </c>
      <c r="K98" s="79"/>
      <c r="L98" s="185"/>
      <c r="M98" s="78" t="n">
        <v>7000</v>
      </c>
      <c r="N98" s="73"/>
      <c r="O98" s="79" t="n">
        <f aca="false">J98*M98</f>
        <v>84000</v>
      </c>
      <c r="P98" s="76" t="s">
        <v>48</v>
      </c>
      <c r="Q98" s="73"/>
    </row>
    <row r="99" s="66" customFormat="true" ht="199.5" hidden="false" customHeight="true" outlineLevel="0" collapsed="false">
      <c r="A99" s="149" t="s">
        <v>249</v>
      </c>
      <c r="B99" s="150"/>
      <c r="C99" s="69" t="s">
        <v>40</v>
      </c>
      <c r="D99" s="70" t="s">
        <v>235</v>
      </c>
      <c r="E99" s="84" t="s">
        <v>42</v>
      </c>
      <c r="F99" s="72" t="s">
        <v>85</v>
      </c>
      <c r="G99" s="73" t="s">
        <v>44</v>
      </c>
      <c r="H99" s="73" t="s">
        <v>45</v>
      </c>
      <c r="I99" s="73" t="s">
        <v>255</v>
      </c>
      <c r="J99" s="75" t="n">
        <v>12</v>
      </c>
      <c r="K99" s="79"/>
      <c r="L99" s="185"/>
      <c r="M99" s="78" t="n">
        <v>7000</v>
      </c>
      <c r="N99" s="73"/>
      <c r="O99" s="79" t="n">
        <f aca="false">J99*M99</f>
        <v>84000</v>
      </c>
      <c r="P99" s="76" t="s">
        <v>48</v>
      </c>
      <c r="Q99" s="73"/>
    </row>
    <row r="100" s="66" customFormat="true" ht="199.5" hidden="false" customHeight="true" outlineLevel="0" collapsed="false">
      <c r="A100" s="149" t="s">
        <v>256</v>
      </c>
      <c r="B100" s="150" t="s">
        <v>105</v>
      </c>
      <c r="C100" s="69" t="s">
        <v>40</v>
      </c>
      <c r="D100" s="70" t="s">
        <v>235</v>
      </c>
      <c r="E100" s="95" t="s">
        <v>42</v>
      </c>
      <c r="F100" s="72" t="s">
        <v>85</v>
      </c>
      <c r="G100" s="73" t="s">
        <v>44</v>
      </c>
      <c r="H100" s="73" t="s">
        <v>45</v>
      </c>
      <c r="I100" s="82" t="s">
        <v>257</v>
      </c>
      <c r="J100" s="75" t="n">
        <v>12</v>
      </c>
      <c r="K100" s="79"/>
      <c r="L100" s="185"/>
      <c r="M100" s="78" t="n">
        <v>7000</v>
      </c>
      <c r="N100" s="73"/>
      <c r="O100" s="79" t="n">
        <f aca="false">J100*M100</f>
        <v>84000</v>
      </c>
      <c r="P100" s="76" t="s">
        <v>48</v>
      </c>
      <c r="Q100" s="73"/>
    </row>
    <row r="101" s="66" customFormat="true" ht="289.5" hidden="false" customHeight="true" outlineLevel="0" collapsed="false">
      <c r="A101" s="162" t="s">
        <v>258</v>
      </c>
      <c r="B101" s="83" t="s">
        <v>105</v>
      </c>
      <c r="C101" s="69" t="s">
        <v>40</v>
      </c>
      <c r="D101" s="70" t="s">
        <v>235</v>
      </c>
      <c r="E101" s="84" t="s">
        <v>42</v>
      </c>
      <c r="F101" s="72" t="s">
        <v>85</v>
      </c>
      <c r="G101" s="73" t="s">
        <v>44</v>
      </c>
      <c r="H101" s="73" t="s">
        <v>45</v>
      </c>
      <c r="I101" s="73" t="s">
        <v>259</v>
      </c>
      <c r="J101" s="75" t="n">
        <v>12</v>
      </c>
      <c r="K101" s="79"/>
      <c r="L101" s="185"/>
      <c r="M101" s="78" t="n">
        <v>7000</v>
      </c>
      <c r="N101" s="73"/>
      <c r="O101" s="79" t="n">
        <f aca="false">J101*M101</f>
        <v>84000</v>
      </c>
      <c r="P101" s="76" t="s">
        <v>48</v>
      </c>
      <c r="Q101" s="73"/>
    </row>
    <row r="102" s="66" customFormat="true" ht="300" hidden="false" customHeight="true" outlineLevel="0" collapsed="false">
      <c r="A102" s="149" t="s">
        <v>260</v>
      </c>
      <c r="B102" s="150" t="s">
        <v>261</v>
      </c>
      <c r="C102" s="69" t="s">
        <v>40</v>
      </c>
      <c r="D102" s="70" t="s">
        <v>228</v>
      </c>
      <c r="E102" s="84" t="s">
        <v>42</v>
      </c>
      <c r="F102" s="72" t="s">
        <v>262</v>
      </c>
      <c r="G102" s="73" t="s">
        <v>44</v>
      </c>
      <c r="H102" s="73" t="s">
        <v>45</v>
      </c>
      <c r="I102" s="73" t="s">
        <v>263</v>
      </c>
      <c r="J102" s="75" t="n">
        <v>12</v>
      </c>
      <c r="K102" s="79"/>
      <c r="L102" s="185"/>
      <c r="M102" s="78" t="n">
        <v>12000</v>
      </c>
      <c r="N102" s="73"/>
      <c r="O102" s="79" t="n">
        <f aca="false">J102*M102</f>
        <v>144000</v>
      </c>
      <c r="P102" s="76" t="s">
        <v>48</v>
      </c>
      <c r="Q102" s="73" t="s">
        <v>64</v>
      </c>
    </row>
    <row r="103" s="66" customFormat="true" ht="300" hidden="false" customHeight="true" outlineLevel="0" collapsed="false">
      <c r="A103" s="149" t="s">
        <v>260</v>
      </c>
      <c r="B103" s="150"/>
      <c r="C103" s="69" t="s">
        <v>40</v>
      </c>
      <c r="D103" s="70" t="s">
        <v>228</v>
      </c>
      <c r="E103" s="84" t="s">
        <v>42</v>
      </c>
      <c r="F103" s="72" t="s">
        <v>262</v>
      </c>
      <c r="G103" s="73" t="s">
        <v>44</v>
      </c>
      <c r="H103" s="73" t="s">
        <v>45</v>
      </c>
      <c r="I103" s="73" t="s">
        <v>264</v>
      </c>
      <c r="J103" s="75" t="n">
        <v>12</v>
      </c>
      <c r="K103" s="79"/>
      <c r="L103" s="185"/>
      <c r="M103" s="78" t="n">
        <v>12000</v>
      </c>
      <c r="N103" s="73"/>
      <c r="O103" s="79" t="n">
        <f aca="false">J103*M103</f>
        <v>144000</v>
      </c>
      <c r="P103" s="76" t="s">
        <v>48</v>
      </c>
      <c r="Q103" s="73" t="s">
        <v>64</v>
      </c>
    </row>
    <row r="104" s="66" customFormat="true" ht="300" hidden="false" customHeight="true" outlineLevel="0" collapsed="false">
      <c r="A104" s="149" t="s">
        <v>260</v>
      </c>
      <c r="B104" s="150"/>
      <c r="C104" s="69" t="s">
        <v>40</v>
      </c>
      <c r="D104" s="70" t="s">
        <v>228</v>
      </c>
      <c r="E104" s="136" t="s">
        <v>245</v>
      </c>
      <c r="F104" s="72" t="s">
        <v>262</v>
      </c>
      <c r="G104" s="73" t="s">
        <v>44</v>
      </c>
      <c r="H104" s="73" t="s">
        <v>45</v>
      </c>
      <c r="I104" s="121" t="s">
        <v>265</v>
      </c>
      <c r="J104" s="75" t="n">
        <v>12</v>
      </c>
      <c r="K104" s="79"/>
      <c r="L104" s="185"/>
      <c r="M104" s="78" t="n">
        <v>8000</v>
      </c>
      <c r="N104" s="73"/>
      <c r="O104" s="79" t="n">
        <f aca="false">J104*M104</f>
        <v>96000</v>
      </c>
      <c r="P104" s="76" t="s">
        <v>48</v>
      </c>
      <c r="Q104" s="73" t="s">
        <v>64</v>
      </c>
    </row>
    <row r="105" s="66" customFormat="true" ht="249.75" hidden="false" customHeight="true" outlineLevel="0" collapsed="false">
      <c r="A105" s="162" t="s">
        <v>266</v>
      </c>
      <c r="B105" s="150"/>
      <c r="C105" s="69" t="s">
        <v>40</v>
      </c>
      <c r="D105" s="70" t="s">
        <v>228</v>
      </c>
      <c r="E105" s="84" t="s">
        <v>42</v>
      </c>
      <c r="F105" s="72" t="s">
        <v>262</v>
      </c>
      <c r="G105" s="73" t="s">
        <v>44</v>
      </c>
      <c r="H105" s="73" t="s">
        <v>45</v>
      </c>
      <c r="I105" s="73" t="s">
        <v>194</v>
      </c>
      <c r="J105" s="75" t="n">
        <v>12</v>
      </c>
      <c r="K105" s="79"/>
      <c r="L105" s="185"/>
      <c r="M105" s="78" t="n">
        <v>5000</v>
      </c>
      <c r="N105" s="183"/>
      <c r="O105" s="79" t="n">
        <f aca="false">J105*M105</f>
        <v>60000</v>
      </c>
      <c r="P105" s="76" t="s">
        <v>48</v>
      </c>
      <c r="Q105" s="74" t="s">
        <v>64</v>
      </c>
    </row>
    <row r="106" s="102" customFormat="true" ht="300" hidden="false" customHeight="true" outlineLevel="0" collapsed="false">
      <c r="A106" s="200" t="s">
        <v>267</v>
      </c>
      <c r="B106" s="158" t="s">
        <v>105</v>
      </c>
      <c r="C106" s="93" t="s">
        <v>40</v>
      </c>
      <c r="D106" s="94" t="s">
        <v>67</v>
      </c>
      <c r="E106" s="95" t="s">
        <v>42</v>
      </c>
      <c r="F106" s="96" t="s">
        <v>85</v>
      </c>
      <c r="G106" s="82" t="s">
        <v>44</v>
      </c>
      <c r="H106" s="82" t="s">
        <v>45</v>
      </c>
      <c r="I106" s="82" t="s">
        <v>268</v>
      </c>
      <c r="J106" s="87" t="n">
        <v>16</v>
      </c>
      <c r="K106" s="97" t="s">
        <v>127</v>
      </c>
      <c r="L106" s="159" t="s">
        <v>47</v>
      </c>
      <c r="M106" s="160"/>
      <c r="N106" s="99" t="n">
        <v>5000</v>
      </c>
      <c r="O106" s="178" t="n">
        <f aca="false">J106*N106</f>
        <v>80000</v>
      </c>
      <c r="P106" s="76" t="s">
        <v>48</v>
      </c>
      <c r="Q106" s="82"/>
    </row>
    <row r="107" s="102" customFormat="true" ht="300" hidden="false" customHeight="true" outlineLevel="0" collapsed="false">
      <c r="A107" s="200" t="s">
        <v>269</v>
      </c>
      <c r="B107" s="158" t="s">
        <v>105</v>
      </c>
      <c r="C107" s="93" t="s">
        <v>40</v>
      </c>
      <c r="D107" s="94" t="s">
        <v>67</v>
      </c>
      <c r="E107" s="95" t="s">
        <v>42</v>
      </c>
      <c r="F107" s="96" t="s">
        <v>85</v>
      </c>
      <c r="G107" s="82" t="s">
        <v>44</v>
      </c>
      <c r="H107" s="82" t="s">
        <v>45</v>
      </c>
      <c r="I107" s="82" t="s">
        <v>270</v>
      </c>
      <c r="J107" s="87" t="n">
        <v>12</v>
      </c>
      <c r="K107" s="97" t="s">
        <v>92</v>
      </c>
      <c r="L107" s="159" t="s">
        <v>271</v>
      </c>
      <c r="M107" s="160"/>
      <c r="N107" s="99" t="n">
        <v>6000</v>
      </c>
      <c r="O107" s="178" t="n">
        <f aca="false">J107*N107</f>
        <v>72000</v>
      </c>
      <c r="P107" s="76" t="s">
        <v>48</v>
      </c>
      <c r="Q107" s="74" t="s">
        <v>64</v>
      </c>
    </row>
    <row r="108" s="102" customFormat="true" ht="249.75" hidden="false" customHeight="true" outlineLevel="0" collapsed="false">
      <c r="A108" s="200" t="s">
        <v>272</v>
      </c>
      <c r="B108" s="158" t="s">
        <v>168</v>
      </c>
      <c r="C108" s="93" t="s">
        <v>40</v>
      </c>
      <c r="D108" s="94" t="s">
        <v>67</v>
      </c>
      <c r="E108" s="136" t="s">
        <v>245</v>
      </c>
      <c r="F108" s="96" t="s">
        <v>85</v>
      </c>
      <c r="G108" s="82" t="s">
        <v>94</v>
      </c>
      <c r="H108" s="82" t="s">
        <v>45</v>
      </c>
      <c r="I108" s="74" t="s">
        <v>273</v>
      </c>
      <c r="J108" s="87" t="n">
        <v>12</v>
      </c>
      <c r="K108" s="97" t="s">
        <v>92</v>
      </c>
      <c r="L108" s="159" t="s">
        <v>271</v>
      </c>
      <c r="M108" s="160"/>
      <c r="N108" s="99" t="n">
        <v>8000</v>
      </c>
      <c r="O108" s="178" t="n">
        <f aca="false">J108*N108</f>
        <v>96000</v>
      </c>
      <c r="P108" s="76" t="s">
        <v>48</v>
      </c>
      <c r="Q108" s="74" t="s">
        <v>64</v>
      </c>
    </row>
    <row r="109" s="102" customFormat="true" ht="249.75" hidden="false" customHeight="true" outlineLevel="0" collapsed="false">
      <c r="A109" s="200" t="s">
        <v>274</v>
      </c>
      <c r="B109" s="158"/>
      <c r="C109" s="93" t="s">
        <v>40</v>
      </c>
      <c r="D109" s="94" t="s">
        <v>67</v>
      </c>
      <c r="E109" s="95" t="s">
        <v>42</v>
      </c>
      <c r="F109" s="96" t="s">
        <v>85</v>
      </c>
      <c r="G109" s="82" t="s">
        <v>44</v>
      </c>
      <c r="H109" s="82" t="s">
        <v>45</v>
      </c>
      <c r="I109" s="82" t="s">
        <v>275</v>
      </c>
      <c r="J109" s="87" t="n">
        <v>12</v>
      </c>
      <c r="K109" s="97" t="s">
        <v>92</v>
      </c>
      <c r="L109" s="159" t="s">
        <v>271</v>
      </c>
      <c r="M109" s="160"/>
      <c r="N109" s="99" t="n">
        <v>2000</v>
      </c>
      <c r="O109" s="178" t="n">
        <f aca="false">J109*N109</f>
        <v>24000</v>
      </c>
      <c r="P109" s="76" t="s">
        <v>48</v>
      </c>
      <c r="Q109" s="74" t="s">
        <v>64</v>
      </c>
    </row>
    <row r="110" s="102" customFormat="true" ht="249.75" hidden="false" customHeight="true" outlineLevel="0" collapsed="false">
      <c r="A110" s="200" t="s">
        <v>276</v>
      </c>
      <c r="B110" s="201" t="s">
        <v>277</v>
      </c>
      <c r="C110" s="93" t="s">
        <v>40</v>
      </c>
      <c r="D110" s="94" t="s">
        <v>67</v>
      </c>
      <c r="E110" s="95" t="s">
        <v>42</v>
      </c>
      <c r="F110" s="96" t="s">
        <v>68</v>
      </c>
      <c r="G110" s="82" t="s">
        <v>94</v>
      </c>
      <c r="H110" s="82" t="s">
        <v>45</v>
      </c>
      <c r="I110" s="82" t="s">
        <v>278</v>
      </c>
      <c r="J110" s="87" t="n">
        <v>16</v>
      </c>
      <c r="K110" s="97" t="s">
        <v>127</v>
      </c>
      <c r="L110" s="159" t="s">
        <v>47</v>
      </c>
      <c r="M110" s="160"/>
      <c r="N110" s="99" t="n">
        <v>2000</v>
      </c>
      <c r="O110" s="178" t="n">
        <f aca="false">J110*N110</f>
        <v>32000</v>
      </c>
      <c r="P110" s="76" t="s">
        <v>48</v>
      </c>
      <c r="Q110" s="74" t="s">
        <v>64</v>
      </c>
    </row>
    <row r="111" s="102" customFormat="true" ht="249.75" hidden="false" customHeight="true" outlineLevel="0" collapsed="false">
      <c r="A111" s="200" t="s">
        <v>279</v>
      </c>
      <c r="B111" s="158" t="s">
        <v>105</v>
      </c>
      <c r="C111" s="93" t="s">
        <v>40</v>
      </c>
      <c r="D111" s="94" t="s">
        <v>67</v>
      </c>
      <c r="E111" s="95" t="s">
        <v>42</v>
      </c>
      <c r="F111" s="96" t="s">
        <v>85</v>
      </c>
      <c r="G111" s="82" t="s">
        <v>44</v>
      </c>
      <c r="H111" s="82" t="s">
        <v>45</v>
      </c>
      <c r="I111" s="82" t="s">
        <v>280</v>
      </c>
      <c r="J111" s="87" t="n">
        <v>16</v>
      </c>
      <c r="K111" s="97" t="s">
        <v>127</v>
      </c>
      <c r="L111" s="159" t="s">
        <v>47</v>
      </c>
      <c r="M111" s="160"/>
      <c r="N111" s="99" t="n">
        <v>5000</v>
      </c>
      <c r="O111" s="178" t="n">
        <f aca="false">J111*N111</f>
        <v>80000</v>
      </c>
      <c r="P111" s="76" t="s">
        <v>48</v>
      </c>
      <c r="Q111" s="82"/>
    </row>
    <row r="112" s="128" customFormat="true" ht="249.75" hidden="false" customHeight="true" outlineLevel="0" collapsed="false">
      <c r="A112" s="202" t="s">
        <v>281</v>
      </c>
      <c r="B112" s="182" t="s">
        <v>105</v>
      </c>
      <c r="C112" s="117" t="s">
        <v>40</v>
      </c>
      <c r="D112" s="118" t="s">
        <v>67</v>
      </c>
      <c r="E112" s="119" t="s">
        <v>42</v>
      </c>
      <c r="F112" s="120" t="s">
        <v>85</v>
      </c>
      <c r="G112" s="121" t="s">
        <v>44</v>
      </c>
      <c r="H112" s="121" t="s">
        <v>45</v>
      </c>
      <c r="I112" s="121" t="s">
        <v>282</v>
      </c>
      <c r="J112" s="122" t="n">
        <v>16</v>
      </c>
      <c r="K112" s="123" t="s">
        <v>127</v>
      </c>
      <c r="L112" s="154" t="s">
        <v>47</v>
      </c>
      <c r="M112" s="155"/>
      <c r="N112" s="126" t="n">
        <v>6000</v>
      </c>
      <c r="O112" s="156" t="n">
        <f aca="false">J112*N112</f>
        <v>96000</v>
      </c>
      <c r="P112" s="123" t="s">
        <v>48</v>
      </c>
      <c r="Q112" s="121"/>
    </row>
    <row r="113" s="128" customFormat="true" ht="249.75" hidden="false" customHeight="true" outlineLevel="0" collapsed="false">
      <c r="A113" s="202" t="s">
        <v>283</v>
      </c>
      <c r="B113" s="182" t="s">
        <v>105</v>
      </c>
      <c r="C113" s="117" t="s">
        <v>40</v>
      </c>
      <c r="D113" s="118" t="s">
        <v>67</v>
      </c>
      <c r="E113" s="119" t="s">
        <v>42</v>
      </c>
      <c r="F113" s="120" t="s">
        <v>85</v>
      </c>
      <c r="G113" s="121" t="s">
        <v>44</v>
      </c>
      <c r="H113" s="121" t="s">
        <v>45</v>
      </c>
      <c r="I113" s="121" t="s">
        <v>284</v>
      </c>
      <c r="J113" s="122" t="n">
        <v>16</v>
      </c>
      <c r="K113" s="123" t="s">
        <v>92</v>
      </c>
      <c r="L113" s="154" t="s">
        <v>47</v>
      </c>
      <c r="M113" s="155"/>
      <c r="N113" s="126" t="n">
        <v>8000</v>
      </c>
      <c r="O113" s="156" t="n">
        <f aca="false">J113*N113</f>
        <v>128000</v>
      </c>
      <c r="P113" s="123" t="s">
        <v>48</v>
      </c>
      <c r="Q113" s="121"/>
    </row>
    <row r="114" s="128" customFormat="true" ht="249.75" hidden="false" customHeight="true" outlineLevel="0" collapsed="false">
      <c r="A114" s="202" t="s">
        <v>285</v>
      </c>
      <c r="B114" s="182" t="s">
        <v>105</v>
      </c>
      <c r="C114" s="117" t="s">
        <v>40</v>
      </c>
      <c r="D114" s="118" t="s">
        <v>67</v>
      </c>
      <c r="E114" s="119" t="s">
        <v>42</v>
      </c>
      <c r="F114" s="120" t="s">
        <v>85</v>
      </c>
      <c r="G114" s="121" t="s">
        <v>44</v>
      </c>
      <c r="H114" s="121" t="s">
        <v>45</v>
      </c>
      <c r="I114" s="121" t="s">
        <v>286</v>
      </c>
      <c r="J114" s="122" t="n">
        <v>16</v>
      </c>
      <c r="K114" s="123" t="s">
        <v>127</v>
      </c>
      <c r="L114" s="154" t="s">
        <v>47</v>
      </c>
      <c r="M114" s="155"/>
      <c r="N114" s="126" t="n">
        <v>5000</v>
      </c>
      <c r="O114" s="156" t="n">
        <f aca="false">J114*N114</f>
        <v>80000</v>
      </c>
      <c r="P114" s="123" t="s">
        <v>48</v>
      </c>
      <c r="Q114" s="121"/>
    </row>
    <row r="115" s="128" customFormat="true" ht="249.75" hidden="false" customHeight="true" outlineLevel="0" collapsed="false">
      <c r="A115" s="202" t="s">
        <v>287</v>
      </c>
      <c r="B115" s="182" t="s">
        <v>105</v>
      </c>
      <c r="C115" s="117" t="s">
        <v>40</v>
      </c>
      <c r="D115" s="118" t="s">
        <v>67</v>
      </c>
      <c r="E115" s="119" t="s">
        <v>288</v>
      </c>
      <c r="F115" s="120" t="s">
        <v>43</v>
      </c>
      <c r="G115" s="121" t="s">
        <v>44</v>
      </c>
      <c r="H115" s="121" t="s">
        <v>45</v>
      </c>
      <c r="I115" s="121" t="s">
        <v>289</v>
      </c>
      <c r="J115" s="122" t="n">
        <v>30</v>
      </c>
      <c r="K115" s="123" t="s">
        <v>130</v>
      </c>
      <c r="L115" s="154" t="s">
        <v>47</v>
      </c>
      <c r="M115" s="155"/>
      <c r="N115" s="126" t="n">
        <v>1500</v>
      </c>
      <c r="O115" s="156" t="n">
        <f aca="false">J115*N115</f>
        <v>45000</v>
      </c>
      <c r="P115" s="123" t="s">
        <v>48</v>
      </c>
      <c r="Q115" s="121"/>
    </row>
    <row r="116" s="128" customFormat="true" ht="249.75" hidden="false" customHeight="true" outlineLevel="0" collapsed="false">
      <c r="A116" s="202" t="s">
        <v>290</v>
      </c>
      <c r="B116" s="182" t="s">
        <v>39</v>
      </c>
      <c r="C116" s="117" t="s">
        <v>40</v>
      </c>
      <c r="D116" s="118" t="s">
        <v>41</v>
      </c>
      <c r="E116" s="119" t="s">
        <v>42</v>
      </c>
      <c r="F116" s="120" t="s">
        <v>43</v>
      </c>
      <c r="G116" s="121" t="s">
        <v>44</v>
      </c>
      <c r="H116" s="121" t="s">
        <v>45</v>
      </c>
      <c r="I116" s="121" t="s">
        <v>291</v>
      </c>
      <c r="J116" s="122" t="n">
        <v>36</v>
      </c>
      <c r="K116" s="123" t="s">
        <v>127</v>
      </c>
      <c r="L116" s="154" t="s">
        <v>47</v>
      </c>
      <c r="M116" s="155"/>
      <c r="N116" s="126" t="n">
        <v>1428.57</v>
      </c>
      <c r="O116" s="156" t="n">
        <f aca="false">J116*N116</f>
        <v>51428.52</v>
      </c>
      <c r="P116" s="123" t="s">
        <v>48</v>
      </c>
      <c r="Q116" s="121"/>
    </row>
    <row r="117" s="66" customFormat="true" ht="81" hidden="false" customHeight="true" outlineLevel="0" collapsed="false">
      <c r="A117" s="203"/>
      <c r="B117" s="204"/>
      <c r="C117" s="205"/>
      <c r="D117" s="204"/>
      <c r="E117" s="206"/>
      <c r="F117" s="207"/>
      <c r="G117" s="204"/>
      <c r="H117" s="204"/>
      <c r="I117" s="204"/>
      <c r="J117" s="204"/>
      <c r="K117" s="204"/>
      <c r="L117" s="208"/>
      <c r="M117" s="209"/>
      <c r="N117" s="204"/>
      <c r="O117" s="210" t="n">
        <f aca="false">SUM(O6:O116)</f>
        <v>10512123.88</v>
      </c>
      <c r="P117" s="204"/>
      <c r="Q117" s="211"/>
    </row>
    <row r="118" s="66" customFormat="true" ht="23.25" hidden="false" customHeight="true" outlineLevel="0" collapsed="false">
      <c r="A118" s="203"/>
      <c r="B118" s="204"/>
      <c r="C118" s="205"/>
      <c r="D118" s="204"/>
      <c r="E118" s="206"/>
      <c r="F118" s="207"/>
      <c r="G118" s="204"/>
      <c r="H118" s="204"/>
      <c r="I118" s="204"/>
      <c r="J118" s="204"/>
      <c r="K118" s="204"/>
      <c r="L118" s="208"/>
      <c r="M118" s="209"/>
      <c r="N118" s="204"/>
      <c r="O118" s="204"/>
      <c r="P118" s="204"/>
      <c r="Q118" s="211"/>
    </row>
    <row r="119" s="66" customFormat="true" ht="23.25" hidden="false" customHeight="true" outlineLevel="0" collapsed="false">
      <c r="A119" s="203"/>
      <c r="B119" s="204"/>
      <c r="C119" s="205"/>
      <c r="D119" s="204"/>
      <c r="E119" s="206"/>
      <c r="F119" s="207"/>
      <c r="G119" s="204"/>
      <c r="H119" s="204"/>
      <c r="I119" s="204"/>
      <c r="J119" s="204"/>
      <c r="K119" s="204"/>
      <c r="L119" s="208"/>
      <c r="M119" s="209"/>
      <c r="N119" s="204"/>
      <c r="O119" s="204"/>
      <c r="P119" s="204"/>
      <c r="Q119" s="211"/>
    </row>
    <row r="120" s="66" customFormat="true" ht="23.25" hidden="false" customHeight="true" outlineLevel="0" collapsed="false">
      <c r="A120" s="203"/>
      <c r="B120" s="204"/>
      <c r="C120" s="205"/>
      <c r="D120" s="204"/>
      <c r="E120" s="206"/>
      <c r="F120" s="207"/>
      <c r="G120" s="204"/>
      <c r="H120" s="204"/>
      <c r="I120" s="204"/>
      <c r="J120" s="204"/>
      <c r="K120" s="204"/>
      <c r="L120" s="208"/>
      <c r="M120" s="209"/>
      <c r="N120" s="204"/>
      <c r="O120" s="204"/>
      <c r="P120" s="204"/>
      <c r="Q120" s="211"/>
    </row>
    <row r="121" s="66" customFormat="true" ht="23.25" hidden="false" customHeight="true" outlineLevel="0" collapsed="false">
      <c r="A121" s="203"/>
      <c r="B121" s="204"/>
      <c r="C121" s="205"/>
      <c r="D121" s="204"/>
      <c r="E121" s="206"/>
      <c r="F121" s="207"/>
      <c r="G121" s="204"/>
      <c r="H121" s="204"/>
      <c r="I121" s="204"/>
      <c r="J121" s="204"/>
      <c r="K121" s="204"/>
      <c r="L121" s="208"/>
      <c r="M121" s="209"/>
      <c r="N121" s="204"/>
      <c r="O121" s="204"/>
      <c r="P121" s="204"/>
      <c r="Q121" s="211"/>
    </row>
    <row r="122" s="66" customFormat="true" ht="23.25" hidden="false" customHeight="true" outlineLevel="0" collapsed="false">
      <c r="A122" s="203"/>
      <c r="B122" s="204"/>
      <c r="C122" s="205"/>
      <c r="D122" s="204"/>
      <c r="E122" s="206"/>
      <c r="F122" s="207"/>
      <c r="G122" s="204"/>
      <c r="H122" s="204"/>
      <c r="I122" s="204"/>
      <c r="J122" s="204"/>
      <c r="K122" s="204"/>
      <c r="L122" s="208"/>
      <c r="M122" s="209"/>
      <c r="N122" s="204"/>
      <c r="O122" s="204"/>
      <c r="P122" s="204"/>
      <c r="Q122" s="211"/>
    </row>
    <row r="123" s="66" customFormat="true" ht="23.25" hidden="false" customHeight="true" outlineLevel="0" collapsed="false">
      <c r="A123" s="203"/>
      <c r="B123" s="204"/>
      <c r="C123" s="205"/>
      <c r="D123" s="204"/>
      <c r="E123" s="206"/>
      <c r="F123" s="207"/>
      <c r="G123" s="204"/>
      <c r="H123" s="204"/>
      <c r="I123" s="204"/>
      <c r="J123" s="204"/>
      <c r="K123" s="204"/>
      <c r="L123" s="208"/>
      <c r="M123" s="209"/>
      <c r="N123" s="204"/>
      <c r="O123" s="204"/>
      <c r="P123" s="204"/>
      <c r="Q123" s="211"/>
    </row>
    <row r="124" s="66" customFormat="true" ht="23.25" hidden="false" customHeight="true" outlineLevel="0" collapsed="false">
      <c r="A124" s="203"/>
      <c r="B124" s="204"/>
      <c r="C124" s="205"/>
      <c r="D124" s="204"/>
      <c r="E124" s="206"/>
      <c r="F124" s="207"/>
      <c r="G124" s="204"/>
      <c r="H124" s="204"/>
      <c r="I124" s="204"/>
      <c r="J124" s="204"/>
      <c r="K124" s="204"/>
      <c r="L124" s="208"/>
      <c r="M124" s="209"/>
      <c r="N124" s="204"/>
      <c r="O124" s="204"/>
      <c r="P124" s="204"/>
      <c r="Q124" s="211"/>
    </row>
    <row r="125" s="66" customFormat="true" ht="23.25" hidden="false" customHeight="true" outlineLevel="0" collapsed="false">
      <c r="A125" s="203"/>
      <c r="B125" s="204"/>
      <c r="C125" s="205"/>
      <c r="D125" s="204"/>
      <c r="E125" s="206"/>
      <c r="F125" s="207"/>
      <c r="G125" s="204"/>
      <c r="H125" s="204"/>
      <c r="I125" s="204"/>
      <c r="J125" s="204"/>
      <c r="K125" s="204"/>
      <c r="L125" s="208"/>
      <c r="M125" s="209"/>
      <c r="N125" s="204"/>
      <c r="O125" s="204"/>
      <c r="P125" s="204"/>
      <c r="Q125" s="211"/>
    </row>
    <row r="126" s="66" customFormat="true" ht="23.25" hidden="false" customHeight="true" outlineLevel="0" collapsed="false">
      <c r="A126" s="203"/>
      <c r="B126" s="204"/>
      <c r="C126" s="205"/>
      <c r="D126" s="204"/>
      <c r="E126" s="206"/>
      <c r="F126" s="207"/>
      <c r="G126" s="204"/>
      <c r="H126" s="204"/>
      <c r="I126" s="204"/>
      <c r="J126" s="204"/>
      <c r="K126" s="204"/>
      <c r="L126" s="208"/>
      <c r="M126" s="209"/>
      <c r="N126" s="204"/>
      <c r="O126" s="204"/>
      <c r="P126" s="204"/>
      <c r="Q126" s="211"/>
    </row>
    <row r="127" s="66" customFormat="true" ht="23.25" hidden="false" customHeight="true" outlineLevel="0" collapsed="false">
      <c r="A127" s="203"/>
      <c r="B127" s="204"/>
      <c r="C127" s="205"/>
      <c r="D127" s="204"/>
      <c r="E127" s="206"/>
      <c r="F127" s="207"/>
      <c r="G127" s="204"/>
      <c r="H127" s="204"/>
      <c r="I127" s="204"/>
      <c r="J127" s="204"/>
      <c r="K127" s="204"/>
      <c r="L127" s="208"/>
      <c r="M127" s="209"/>
      <c r="N127" s="204"/>
      <c r="O127" s="204"/>
      <c r="P127" s="204"/>
      <c r="Q127" s="211"/>
    </row>
    <row r="128" s="66" customFormat="true" ht="23.25" hidden="false" customHeight="true" outlineLevel="0" collapsed="false">
      <c r="A128" s="203"/>
      <c r="B128" s="204"/>
      <c r="C128" s="205"/>
      <c r="D128" s="204"/>
      <c r="E128" s="206"/>
      <c r="F128" s="207"/>
      <c r="G128" s="204"/>
      <c r="H128" s="204"/>
      <c r="I128" s="204"/>
      <c r="J128" s="204"/>
      <c r="K128" s="204"/>
      <c r="L128" s="208"/>
      <c r="M128" s="209"/>
      <c r="N128" s="204"/>
      <c r="O128" s="204"/>
      <c r="P128" s="204"/>
      <c r="Q128" s="211"/>
    </row>
    <row r="129" s="66" customFormat="true" ht="23.25" hidden="false" customHeight="true" outlineLevel="0" collapsed="false">
      <c r="A129" s="203"/>
      <c r="B129" s="204"/>
      <c r="C129" s="205"/>
      <c r="D129" s="204"/>
      <c r="E129" s="206"/>
      <c r="F129" s="207"/>
      <c r="G129" s="204"/>
      <c r="H129" s="204"/>
      <c r="I129" s="204"/>
      <c r="J129" s="204"/>
      <c r="K129" s="204"/>
      <c r="L129" s="208"/>
      <c r="M129" s="209"/>
      <c r="N129" s="204"/>
      <c r="O129" s="204"/>
      <c r="P129" s="204"/>
      <c r="Q129" s="211"/>
    </row>
    <row r="130" s="66" customFormat="true" ht="23.25" hidden="false" customHeight="true" outlineLevel="0" collapsed="false">
      <c r="A130" s="203"/>
      <c r="B130" s="204"/>
      <c r="C130" s="205"/>
      <c r="D130" s="204"/>
      <c r="E130" s="206"/>
      <c r="F130" s="207"/>
      <c r="G130" s="204"/>
      <c r="H130" s="204"/>
      <c r="I130" s="204"/>
      <c r="J130" s="204"/>
      <c r="K130" s="204"/>
      <c r="L130" s="208"/>
      <c r="M130" s="209"/>
      <c r="N130" s="204"/>
      <c r="O130" s="204"/>
      <c r="P130" s="204"/>
      <c r="Q130" s="211"/>
    </row>
    <row r="131" s="66" customFormat="true" ht="23.25" hidden="false" customHeight="true" outlineLevel="0" collapsed="false">
      <c r="A131" s="203"/>
      <c r="B131" s="204"/>
      <c r="C131" s="205"/>
      <c r="D131" s="204"/>
      <c r="E131" s="206"/>
      <c r="F131" s="207"/>
      <c r="G131" s="204"/>
      <c r="H131" s="204"/>
      <c r="I131" s="204"/>
      <c r="J131" s="204"/>
      <c r="K131" s="204"/>
      <c r="L131" s="208"/>
      <c r="M131" s="209"/>
      <c r="N131" s="204"/>
      <c r="O131" s="204"/>
      <c r="P131" s="204"/>
      <c r="Q131" s="211"/>
    </row>
    <row r="132" s="66" customFormat="true" ht="23.25" hidden="false" customHeight="true" outlineLevel="0" collapsed="false">
      <c r="A132" s="203"/>
      <c r="B132" s="204"/>
      <c r="C132" s="205"/>
      <c r="D132" s="204"/>
      <c r="E132" s="206"/>
      <c r="F132" s="207"/>
      <c r="G132" s="204"/>
      <c r="H132" s="204"/>
      <c r="I132" s="204"/>
      <c r="J132" s="204"/>
      <c r="K132" s="204"/>
      <c r="L132" s="208"/>
      <c r="M132" s="209"/>
      <c r="N132" s="204"/>
      <c r="O132" s="204"/>
      <c r="P132" s="204"/>
      <c r="Q132" s="211"/>
    </row>
    <row r="133" s="66" customFormat="true" ht="23.25" hidden="false" customHeight="true" outlineLevel="0" collapsed="false">
      <c r="A133" s="203"/>
      <c r="B133" s="204"/>
      <c r="C133" s="205"/>
      <c r="D133" s="204"/>
      <c r="E133" s="206"/>
      <c r="F133" s="207"/>
      <c r="G133" s="204"/>
      <c r="H133" s="204"/>
      <c r="I133" s="204"/>
      <c r="J133" s="204"/>
      <c r="K133" s="204"/>
      <c r="L133" s="208"/>
      <c r="M133" s="209"/>
      <c r="N133" s="204"/>
      <c r="O133" s="204"/>
      <c r="P133" s="204"/>
      <c r="Q133" s="211"/>
    </row>
    <row r="134" s="66" customFormat="true" ht="23.25" hidden="false" customHeight="true" outlineLevel="0" collapsed="false">
      <c r="A134" s="203"/>
      <c r="B134" s="204"/>
      <c r="C134" s="205"/>
      <c r="D134" s="204"/>
      <c r="E134" s="206"/>
      <c r="F134" s="207"/>
      <c r="G134" s="204"/>
      <c r="H134" s="204"/>
      <c r="I134" s="204"/>
      <c r="J134" s="204"/>
      <c r="K134" s="204"/>
      <c r="L134" s="208"/>
      <c r="M134" s="209"/>
      <c r="N134" s="204"/>
      <c r="O134" s="204"/>
      <c r="P134" s="204"/>
      <c r="Q134" s="211"/>
    </row>
    <row r="135" s="66" customFormat="true" ht="23.25" hidden="false" customHeight="true" outlineLevel="0" collapsed="false">
      <c r="A135" s="203"/>
      <c r="B135" s="204"/>
      <c r="C135" s="205"/>
      <c r="D135" s="204"/>
      <c r="E135" s="206"/>
      <c r="F135" s="207"/>
      <c r="G135" s="204"/>
      <c r="H135" s="204"/>
      <c r="I135" s="204"/>
      <c r="J135" s="204"/>
      <c r="K135" s="204"/>
      <c r="L135" s="208"/>
      <c r="M135" s="209"/>
      <c r="N135" s="204"/>
      <c r="O135" s="204"/>
      <c r="P135" s="204"/>
      <c r="Q135" s="211"/>
    </row>
    <row r="136" s="66" customFormat="true" ht="23.25" hidden="false" customHeight="true" outlineLevel="0" collapsed="false">
      <c r="A136" s="203"/>
      <c r="B136" s="204"/>
      <c r="C136" s="205"/>
      <c r="D136" s="204"/>
      <c r="E136" s="206"/>
      <c r="F136" s="207"/>
      <c r="G136" s="204"/>
      <c r="H136" s="204"/>
      <c r="I136" s="204"/>
      <c r="J136" s="204"/>
      <c r="K136" s="204"/>
      <c r="L136" s="208"/>
      <c r="M136" s="209"/>
      <c r="N136" s="204"/>
      <c r="O136" s="204"/>
      <c r="P136" s="204"/>
      <c r="Q136" s="211"/>
    </row>
    <row r="137" s="66" customFormat="true" ht="23.25" hidden="false" customHeight="true" outlineLevel="0" collapsed="false">
      <c r="A137" s="212"/>
      <c r="B137" s="213"/>
      <c r="C137" s="214"/>
      <c r="D137" s="213"/>
      <c r="E137" s="215"/>
      <c r="F137" s="216"/>
      <c r="G137" s="213"/>
      <c r="H137" s="213"/>
      <c r="I137" s="213"/>
      <c r="J137" s="213"/>
      <c r="K137" s="213"/>
      <c r="L137" s="217"/>
      <c r="M137" s="218"/>
      <c r="N137" s="213"/>
      <c r="O137" s="213"/>
      <c r="P137" s="213"/>
      <c r="Q137" s="219"/>
    </row>
    <row r="138" s="66" customFormat="true" ht="23.25" hidden="false" customHeight="true" outlineLevel="0" collapsed="false">
      <c r="A138" s="220"/>
      <c r="B138" s="221"/>
      <c r="C138" s="222"/>
      <c r="D138" s="221"/>
      <c r="E138" s="223"/>
      <c r="F138" s="224"/>
      <c r="G138" s="221"/>
      <c r="H138" s="221"/>
      <c r="I138" s="221"/>
      <c r="J138" s="221"/>
      <c r="K138" s="221"/>
      <c r="L138" s="225"/>
      <c r="M138" s="226"/>
      <c r="N138" s="221"/>
      <c r="O138" s="221"/>
      <c r="P138" s="221"/>
      <c r="Q138" s="221"/>
    </row>
    <row r="139" s="66" customFormat="true" ht="23.25" hidden="false" customHeight="true" outlineLevel="0" collapsed="false">
      <c r="A139" s="220"/>
      <c r="B139" s="221"/>
      <c r="C139" s="222"/>
      <c r="D139" s="221"/>
      <c r="E139" s="223"/>
      <c r="F139" s="224"/>
      <c r="G139" s="221"/>
      <c r="H139" s="221"/>
      <c r="I139" s="221"/>
      <c r="J139" s="221"/>
      <c r="K139" s="221"/>
      <c r="L139" s="225"/>
      <c r="M139" s="226"/>
      <c r="N139" s="221"/>
      <c r="O139" s="221"/>
      <c r="P139" s="221"/>
      <c r="Q139" s="221"/>
    </row>
    <row r="140" s="66" customFormat="true" ht="23.25" hidden="false" customHeight="true" outlineLevel="0" collapsed="false">
      <c r="A140" s="220"/>
      <c r="B140" s="221"/>
      <c r="C140" s="222"/>
      <c r="D140" s="221"/>
      <c r="E140" s="223"/>
      <c r="F140" s="224"/>
      <c r="G140" s="221"/>
      <c r="H140" s="221"/>
      <c r="I140" s="221"/>
      <c r="J140" s="221"/>
      <c r="K140" s="221"/>
      <c r="L140" s="225"/>
      <c r="M140" s="226"/>
      <c r="N140" s="221"/>
      <c r="O140" s="221"/>
      <c r="P140" s="221"/>
      <c r="Q140" s="221"/>
    </row>
    <row r="141" s="66" customFormat="true" ht="23.25" hidden="false" customHeight="true" outlineLevel="0" collapsed="false">
      <c r="A141" s="220"/>
      <c r="B141" s="221"/>
      <c r="C141" s="222"/>
      <c r="D141" s="221"/>
      <c r="E141" s="223"/>
      <c r="F141" s="224"/>
      <c r="G141" s="221"/>
      <c r="H141" s="221"/>
      <c r="I141" s="221"/>
      <c r="J141" s="221"/>
      <c r="K141" s="221"/>
      <c r="L141" s="225"/>
      <c r="M141" s="226"/>
      <c r="N141" s="221"/>
      <c r="O141" s="221"/>
      <c r="P141" s="221"/>
      <c r="Q141" s="221"/>
    </row>
    <row r="142" s="66" customFormat="true" ht="23.25" hidden="false" customHeight="true" outlineLevel="0" collapsed="false">
      <c r="A142" s="220"/>
      <c r="B142" s="221"/>
      <c r="C142" s="222"/>
      <c r="D142" s="221"/>
      <c r="E142" s="223"/>
      <c r="F142" s="224"/>
      <c r="G142" s="221"/>
      <c r="H142" s="221"/>
      <c r="I142" s="221"/>
      <c r="J142" s="221"/>
      <c r="K142" s="221"/>
      <c r="L142" s="225"/>
      <c r="M142" s="226"/>
      <c r="N142" s="221"/>
      <c r="O142" s="221"/>
      <c r="P142" s="221"/>
      <c r="Q142" s="221"/>
    </row>
    <row r="143" s="66" customFormat="true" ht="23.25" hidden="false" customHeight="true" outlineLevel="0" collapsed="false">
      <c r="A143" s="220"/>
      <c r="B143" s="221"/>
      <c r="C143" s="222"/>
      <c r="D143" s="221"/>
      <c r="E143" s="223"/>
      <c r="F143" s="224"/>
      <c r="G143" s="221"/>
      <c r="H143" s="221"/>
      <c r="I143" s="221"/>
      <c r="J143" s="221"/>
      <c r="K143" s="221"/>
      <c r="L143" s="225"/>
      <c r="M143" s="226"/>
      <c r="N143" s="221"/>
      <c r="O143" s="221"/>
      <c r="P143" s="221"/>
      <c r="Q143" s="221"/>
    </row>
    <row r="144" s="66" customFormat="true" ht="23.25" hidden="false" customHeight="true" outlineLevel="0" collapsed="false">
      <c r="A144" s="220"/>
      <c r="B144" s="221"/>
      <c r="C144" s="222"/>
      <c r="D144" s="221"/>
      <c r="E144" s="223"/>
      <c r="F144" s="224"/>
      <c r="G144" s="221"/>
      <c r="H144" s="221"/>
      <c r="I144" s="221"/>
      <c r="J144" s="221"/>
      <c r="K144" s="221"/>
      <c r="L144" s="225"/>
      <c r="M144" s="226"/>
      <c r="N144" s="221"/>
      <c r="O144" s="221"/>
      <c r="P144" s="221"/>
      <c r="Q144" s="221"/>
    </row>
    <row r="145" s="66" customFormat="true" ht="23.25" hidden="false" customHeight="true" outlineLevel="0" collapsed="false">
      <c r="A145" s="220"/>
      <c r="B145" s="221"/>
      <c r="C145" s="222"/>
      <c r="D145" s="221"/>
      <c r="E145" s="223"/>
      <c r="F145" s="224"/>
      <c r="G145" s="221"/>
      <c r="H145" s="221"/>
      <c r="I145" s="221"/>
      <c r="J145" s="221"/>
      <c r="K145" s="221"/>
      <c r="L145" s="225"/>
      <c r="M145" s="226"/>
      <c r="N145" s="221"/>
      <c r="O145" s="221"/>
      <c r="P145" s="221"/>
      <c r="Q145" s="221"/>
    </row>
    <row r="146" s="66" customFormat="true" ht="23.25" hidden="false" customHeight="true" outlineLevel="0" collapsed="false">
      <c r="A146" s="220"/>
      <c r="B146" s="221"/>
      <c r="C146" s="222"/>
      <c r="D146" s="221"/>
      <c r="E146" s="223"/>
      <c r="F146" s="224"/>
      <c r="G146" s="221"/>
      <c r="H146" s="221"/>
      <c r="I146" s="221"/>
      <c r="J146" s="221"/>
      <c r="K146" s="221"/>
      <c r="L146" s="225"/>
      <c r="M146" s="226"/>
      <c r="N146" s="221"/>
      <c r="O146" s="221"/>
      <c r="P146" s="221"/>
      <c r="Q146" s="221"/>
    </row>
    <row r="147" s="66" customFormat="true" ht="23.25" hidden="false" customHeight="true" outlineLevel="0" collapsed="false">
      <c r="A147" s="220"/>
      <c r="B147" s="221"/>
      <c r="C147" s="222"/>
      <c r="D147" s="221"/>
      <c r="E147" s="223"/>
      <c r="F147" s="224"/>
      <c r="G147" s="221"/>
      <c r="H147" s="221"/>
      <c r="I147" s="221"/>
      <c r="J147" s="221"/>
      <c r="K147" s="221"/>
      <c r="L147" s="225"/>
      <c r="M147" s="226"/>
      <c r="N147" s="221"/>
      <c r="O147" s="221"/>
      <c r="P147" s="221"/>
      <c r="Q147" s="221"/>
    </row>
    <row r="148" s="66" customFormat="true" ht="23.25" hidden="false" customHeight="true" outlineLevel="0" collapsed="false">
      <c r="A148" s="220"/>
      <c r="B148" s="221"/>
      <c r="C148" s="222"/>
      <c r="D148" s="221"/>
      <c r="E148" s="223"/>
      <c r="F148" s="224"/>
      <c r="G148" s="221"/>
      <c r="H148" s="221"/>
      <c r="I148" s="221"/>
      <c r="J148" s="221"/>
      <c r="K148" s="221"/>
      <c r="L148" s="225"/>
      <c r="M148" s="226"/>
      <c r="N148" s="221"/>
      <c r="O148" s="221"/>
      <c r="P148" s="221"/>
      <c r="Q148" s="221"/>
    </row>
    <row r="149" s="66" customFormat="true" ht="23.25" hidden="false" customHeight="true" outlineLevel="0" collapsed="false">
      <c r="A149" s="220"/>
      <c r="B149" s="221"/>
      <c r="C149" s="222"/>
      <c r="D149" s="221"/>
      <c r="E149" s="223"/>
      <c r="F149" s="224"/>
      <c r="G149" s="221"/>
      <c r="H149" s="221"/>
      <c r="I149" s="221"/>
      <c r="J149" s="221"/>
      <c r="K149" s="221"/>
      <c r="L149" s="225"/>
      <c r="M149" s="226"/>
      <c r="N149" s="221"/>
      <c r="O149" s="221"/>
      <c r="P149" s="221"/>
      <c r="Q149" s="221"/>
    </row>
    <row r="150" s="66" customFormat="true" ht="23.25" hidden="false" customHeight="true" outlineLevel="0" collapsed="false">
      <c r="A150" s="220"/>
      <c r="B150" s="221"/>
      <c r="C150" s="222"/>
      <c r="D150" s="221"/>
      <c r="E150" s="223"/>
      <c r="F150" s="224"/>
      <c r="G150" s="221"/>
      <c r="H150" s="221"/>
      <c r="I150" s="221"/>
      <c r="J150" s="221"/>
      <c r="K150" s="221"/>
      <c r="L150" s="225"/>
      <c r="M150" s="226"/>
      <c r="N150" s="221"/>
      <c r="O150" s="221"/>
      <c r="P150" s="221"/>
      <c r="Q150" s="221"/>
    </row>
    <row r="151" s="66" customFormat="true" ht="23.25" hidden="false" customHeight="true" outlineLevel="0" collapsed="false">
      <c r="A151" s="220"/>
      <c r="B151" s="221"/>
      <c r="C151" s="222"/>
      <c r="D151" s="221"/>
      <c r="E151" s="223"/>
      <c r="F151" s="224"/>
      <c r="G151" s="221"/>
      <c r="H151" s="221"/>
      <c r="I151" s="221"/>
      <c r="J151" s="221"/>
      <c r="K151" s="221"/>
      <c r="L151" s="225"/>
      <c r="M151" s="226"/>
      <c r="N151" s="221"/>
      <c r="O151" s="221"/>
      <c r="P151" s="221"/>
      <c r="Q151" s="221"/>
    </row>
    <row r="152" s="66" customFormat="true" ht="23.25" hidden="false" customHeight="true" outlineLevel="0" collapsed="false">
      <c r="A152" s="220"/>
      <c r="B152" s="221"/>
      <c r="C152" s="222"/>
      <c r="D152" s="221"/>
      <c r="E152" s="223"/>
      <c r="F152" s="224"/>
      <c r="G152" s="221"/>
      <c r="H152" s="221"/>
      <c r="I152" s="221"/>
      <c r="J152" s="221"/>
      <c r="K152" s="221"/>
      <c r="L152" s="225"/>
      <c r="M152" s="226"/>
      <c r="N152" s="221"/>
      <c r="O152" s="221"/>
      <c r="P152" s="221"/>
      <c r="Q152" s="221"/>
    </row>
    <row r="153" s="66" customFormat="true" ht="23.25" hidden="false" customHeight="true" outlineLevel="0" collapsed="false">
      <c r="A153" s="220"/>
      <c r="B153" s="221"/>
      <c r="C153" s="222"/>
      <c r="D153" s="221"/>
      <c r="E153" s="223"/>
      <c r="F153" s="224"/>
      <c r="G153" s="221"/>
      <c r="H153" s="221"/>
      <c r="I153" s="221"/>
      <c r="J153" s="221"/>
      <c r="K153" s="221"/>
      <c r="L153" s="225"/>
      <c r="M153" s="226"/>
      <c r="N153" s="221"/>
      <c r="O153" s="221"/>
      <c r="P153" s="221"/>
      <c r="Q153" s="221"/>
    </row>
    <row r="154" s="66" customFormat="true" ht="23.25" hidden="false" customHeight="true" outlineLevel="0" collapsed="false">
      <c r="A154" s="220"/>
      <c r="B154" s="221"/>
      <c r="C154" s="222"/>
      <c r="D154" s="221"/>
      <c r="E154" s="223"/>
      <c r="F154" s="224"/>
      <c r="G154" s="221"/>
      <c r="H154" s="221"/>
      <c r="I154" s="221"/>
      <c r="J154" s="221"/>
      <c r="K154" s="221"/>
      <c r="L154" s="225"/>
      <c r="M154" s="226"/>
      <c r="N154" s="221"/>
      <c r="O154" s="221"/>
      <c r="P154" s="221"/>
      <c r="Q154" s="221"/>
    </row>
    <row r="155" s="66" customFormat="true" ht="23.25" hidden="false" customHeight="true" outlineLevel="0" collapsed="false">
      <c r="A155" s="220"/>
      <c r="B155" s="221"/>
      <c r="C155" s="222"/>
      <c r="D155" s="221"/>
      <c r="E155" s="223"/>
      <c r="F155" s="224"/>
      <c r="G155" s="221"/>
      <c r="H155" s="221"/>
      <c r="I155" s="221"/>
      <c r="J155" s="221"/>
      <c r="K155" s="221"/>
      <c r="L155" s="225"/>
      <c r="M155" s="226"/>
      <c r="N155" s="221"/>
      <c r="O155" s="221"/>
      <c r="P155" s="221"/>
      <c r="Q155" s="221"/>
    </row>
    <row r="156" s="66" customFormat="true" ht="23.25" hidden="false" customHeight="true" outlineLevel="0" collapsed="false">
      <c r="A156" s="220"/>
      <c r="B156" s="221"/>
      <c r="C156" s="222"/>
      <c r="D156" s="221"/>
      <c r="E156" s="223"/>
      <c r="F156" s="224"/>
      <c r="G156" s="221"/>
      <c r="H156" s="221"/>
      <c r="I156" s="221"/>
      <c r="J156" s="221"/>
      <c r="K156" s="221"/>
      <c r="L156" s="225"/>
      <c r="M156" s="226"/>
      <c r="N156" s="221"/>
      <c r="O156" s="221"/>
      <c r="P156" s="221"/>
      <c r="Q156" s="221"/>
    </row>
    <row r="157" s="66" customFormat="true" ht="23.25" hidden="false" customHeight="true" outlineLevel="0" collapsed="false">
      <c r="A157" s="220"/>
      <c r="B157" s="221"/>
      <c r="C157" s="222"/>
      <c r="D157" s="221"/>
      <c r="E157" s="223"/>
      <c r="F157" s="224"/>
      <c r="G157" s="221"/>
      <c r="H157" s="221"/>
      <c r="I157" s="221"/>
      <c r="J157" s="221"/>
      <c r="K157" s="221"/>
      <c r="L157" s="225"/>
      <c r="M157" s="226"/>
      <c r="N157" s="221"/>
      <c r="O157" s="221"/>
      <c r="P157" s="221"/>
      <c r="Q157" s="221"/>
    </row>
    <row r="158" s="66" customFormat="true" ht="23.25" hidden="false" customHeight="true" outlineLevel="0" collapsed="false">
      <c r="A158" s="220"/>
      <c r="B158" s="221"/>
      <c r="C158" s="222"/>
      <c r="D158" s="221"/>
      <c r="E158" s="223"/>
      <c r="F158" s="224"/>
      <c r="G158" s="221"/>
      <c r="H158" s="221"/>
      <c r="I158" s="221"/>
      <c r="J158" s="221"/>
      <c r="K158" s="221"/>
      <c r="L158" s="225"/>
      <c r="M158" s="226"/>
      <c r="N158" s="221"/>
      <c r="O158" s="221"/>
      <c r="P158" s="221"/>
      <c r="Q158" s="221"/>
    </row>
    <row r="159" s="66" customFormat="true" ht="23.25" hidden="false" customHeight="true" outlineLevel="0" collapsed="false">
      <c r="A159" s="220"/>
      <c r="B159" s="221"/>
      <c r="C159" s="222"/>
      <c r="D159" s="221"/>
      <c r="E159" s="223"/>
      <c r="F159" s="224"/>
      <c r="G159" s="221"/>
      <c r="H159" s="221"/>
      <c r="I159" s="221"/>
      <c r="J159" s="221"/>
      <c r="K159" s="221"/>
      <c r="L159" s="225"/>
      <c r="M159" s="226"/>
      <c r="N159" s="221"/>
      <c r="O159" s="221"/>
      <c r="P159" s="221"/>
      <c r="Q159" s="221"/>
    </row>
    <row r="160" s="66" customFormat="true" ht="23.25" hidden="false" customHeight="true" outlineLevel="0" collapsed="false">
      <c r="A160" s="220"/>
      <c r="B160" s="221"/>
      <c r="C160" s="222"/>
      <c r="D160" s="221"/>
      <c r="E160" s="223"/>
      <c r="F160" s="224"/>
      <c r="G160" s="221"/>
      <c r="H160" s="221"/>
      <c r="I160" s="221"/>
      <c r="J160" s="221"/>
      <c r="K160" s="221"/>
      <c r="L160" s="225"/>
      <c r="M160" s="226"/>
      <c r="N160" s="221"/>
      <c r="O160" s="221"/>
      <c r="P160" s="221"/>
      <c r="Q160" s="221"/>
    </row>
    <row r="161" s="66" customFormat="true" ht="23.25" hidden="false" customHeight="true" outlineLevel="0" collapsed="false">
      <c r="A161" s="220"/>
      <c r="B161" s="221"/>
      <c r="C161" s="222"/>
      <c r="D161" s="221"/>
      <c r="E161" s="223"/>
      <c r="F161" s="224"/>
      <c r="G161" s="221"/>
      <c r="H161" s="221"/>
      <c r="I161" s="221"/>
      <c r="J161" s="221"/>
      <c r="K161" s="221"/>
      <c r="L161" s="225"/>
      <c r="M161" s="226"/>
      <c r="N161" s="221"/>
      <c r="O161" s="221"/>
      <c r="P161" s="221"/>
      <c r="Q161" s="221"/>
    </row>
    <row r="162" s="66" customFormat="true" ht="23.25" hidden="false" customHeight="true" outlineLevel="0" collapsed="false">
      <c r="A162" s="220"/>
      <c r="B162" s="221"/>
      <c r="C162" s="222"/>
      <c r="D162" s="221"/>
      <c r="E162" s="223"/>
      <c r="F162" s="224"/>
      <c r="G162" s="221"/>
      <c r="H162" s="221"/>
      <c r="I162" s="221"/>
      <c r="J162" s="221"/>
      <c r="K162" s="221"/>
      <c r="L162" s="225"/>
      <c r="M162" s="226"/>
      <c r="N162" s="221"/>
      <c r="O162" s="221"/>
      <c r="P162" s="221"/>
      <c r="Q162" s="221"/>
    </row>
    <row r="163" s="66" customFormat="true" ht="23.25" hidden="false" customHeight="true" outlineLevel="0" collapsed="false">
      <c r="A163" s="220"/>
      <c r="B163" s="221"/>
      <c r="C163" s="222"/>
      <c r="D163" s="221"/>
      <c r="E163" s="223"/>
      <c r="F163" s="224"/>
      <c r="G163" s="221"/>
      <c r="H163" s="221"/>
      <c r="I163" s="221"/>
      <c r="J163" s="221"/>
      <c r="K163" s="221"/>
      <c r="L163" s="225"/>
      <c r="M163" s="226"/>
      <c r="N163" s="221"/>
      <c r="O163" s="221"/>
      <c r="P163" s="221"/>
      <c r="Q163" s="221"/>
    </row>
    <row r="164" s="66" customFormat="true" ht="23.25" hidden="false" customHeight="true" outlineLevel="0" collapsed="false">
      <c r="A164" s="220"/>
      <c r="B164" s="221"/>
      <c r="C164" s="222"/>
      <c r="D164" s="221"/>
      <c r="E164" s="223"/>
      <c r="F164" s="224"/>
      <c r="G164" s="221"/>
      <c r="H164" s="221"/>
      <c r="I164" s="221"/>
      <c r="J164" s="221"/>
      <c r="K164" s="221"/>
      <c r="L164" s="225"/>
      <c r="M164" s="226"/>
      <c r="N164" s="221"/>
      <c r="O164" s="221"/>
      <c r="P164" s="221"/>
      <c r="Q164" s="221"/>
    </row>
    <row r="165" s="66" customFormat="true" ht="23.25" hidden="false" customHeight="true" outlineLevel="0" collapsed="false">
      <c r="A165" s="220"/>
      <c r="B165" s="221"/>
      <c r="C165" s="222"/>
      <c r="D165" s="221"/>
      <c r="E165" s="223"/>
      <c r="F165" s="224"/>
      <c r="G165" s="221"/>
      <c r="H165" s="221"/>
      <c r="I165" s="221"/>
      <c r="J165" s="221"/>
      <c r="K165" s="221"/>
      <c r="L165" s="225"/>
      <c r="M165" s="226"/>
      <c r="N165" s="221"/>
      <c r="O165" s="221"/>
      <c r="P165" s="221"/>
      <c r="Q165" s="221"/>
    </row>
    <row r="166" s="66" customFormat="true" ht="23.25" hidden="false" customHeight="true" outlineLevel="0" collapsed="false">
      <c r="A166" s="220"/>
      <c r="B166" s="221"/>
      <c r="C166" s="222"/>
      <c r="D166" s="221"/>
      <c r="E166" s="223"/>
      <c r="F166" s="224"/>
      <c r="G166" s="221"/>
      <c r="H166" s="221"/>
      <c r="I166" s="221"/>
      <c r="J166" s="221"/>
      <c r="K166" s="221"/>
      <c r="L166" s="225"/>
      <c r="M166" s="226"/>
      <c r="N166" s="221"/>
      <c r="O166" s="221"/>
      <c r="P166" s="221"/>
      <c r="Q166" s="221"/>
    </row>
    <row r="167" s="66" customFormat="true" ht="23.25" hidden="false" customHeight="true" outlineLevel="0" collapsed="false">
      <c r="A167" s="220"/>
      <c r="B167" s="221"/>
      <c r="C167" s="222"/>
      <c r="D167" s="221"/>
      <c r="E167" s="223"/>
      <c r="F167" s="224"/>
      <c r="G167" s="221"/>
      <c r="H167" s="221"/>
      <c r="I167" s="221"/>
      <c r="J167" s="221"/>
      <c r="K167" s="221"/>
      <c r="L167" s="225"/>
      <c r="M167" s="226"/>
      <c r="N167" s="221"/>
      <c r="O167" s="221"/>
      <c r="P167" s="221"/>
      <c r="Q167" s="221"/>
    </row>
    <row r="168" s="66" customFormat="true" ht="23.25" hidden="false" customHeight="true" outlineLevel="0" collapsed="false">
      <c r="A168" s="220"/>
      <c r="B168" s="221"/>
      <c r="C168" s="222"/>
      <c r="D168" s="221"/>
      <c r="E168" s="223"/>
      <c r="F168" s="224"/>
      <c r="G168" s="221"/>
      <c r="H168" s="221"/>
      <c r="I168" s="221"/>
      <c r="J168" s="221"/>
      <c r="K168" s="221"/>
      <c r="L168" s="225"/>
      <c r="M168" s="226"/>
      <c r="N168" s="221"/>
      <c r="O168" s="221"/>
      <c r="P168" s="221"/>
      <c r="Q168" s="221"/>
    </row>
    <row r="169" s="66" customFormat="true" ht="23.25" hidden="false" customHeight="true" outlineLevel="0" collapsed="false">
      <c r="A169" s="220"/>
      <c r="B169" s="221"/>
      <c r="C169" s="222"/>
      <c r="D169" s="221"/>
      <c r="E169" s="223"/>
      <c r="F169" s="224"/>
      <c r="G169" s="221"/>
      <c r="H169" s="221"/>
      <c r="I169" s="221"/>
      <c r="J169" s="221"/>
      <c r="K169" s="221"/>
      <c r="L169" s="225"/>
      <c r="M169" s="226"/>
      <c r="N169" s="221"/>
      <c r="O169" s="221"/>
      <c r="P169" s="221"/>
      <c r="Q169" s="221"/>
    </row>
    <row r="170" s="66" customFormat="true" ht="23.25" hidden="false" customHeight="true" outlineLevel="0" collapsed="false">
      <c r="A170" s="220"/>
      <c r="B170" s="221"/>
      <c r="C170" s="222"/>
      <c r="D170" s="221"/>
      <c r="E170" s="223"/>
      <c r="F170" s="224"/>
      <c r="G170" s="221"/>
      <c r="H170" s="221"/>
      <c r="I170" s="221"/>
      <c r="J170" s="221"/>
      <c r="K170" s="221"/>
      <c r="L170" s="225"/>
      <c r="M170" s="226"/>
      <c r="N170" s="221"/>
      <c r="O170" s="221"/>
      <c r="P170" s="221"/>
      <c r="Q170" s="221"/>
    </row>
    <row r="171" s="66" customFormat="true" ht="23.25" hidden="false" customHeight="true" outlineLevel="0" collapsed="false">
      <c r="A171" s="220"/>
      <c r="B171" s="221"/>
      <c r="C171" s="222"/>
      <c r="D171" s="221"/>
      <c r="E171" s="223"/>
      <c r="F171" s="224"/>
      <c r="G171" s="221"/>
      <c r="H171" s="221"/>
      <c r="I171" s="221"/>
      <c r="J171" s="221"/>
      <c r="K171" s="221"/>
      <c r="L171" s="225"/>
      <c r="M171" s="226"/>
      <c r="N171" s="221"/>
      <c r="O171" s="221"/>
      <c r="P171" s="221"/>
      <c r="Q171" s="221"/>
    </row>
    <row r="172" s="66" customFormat="true" ht="23.25" hidden="false" customHeight="true" outlineLevel="0" collapsed="false">
      <c r="A172" s="220"/>
      <c r="B172" s="221"/>
      <c r="C172" s="222"/>
      <c r="D172" s="221"/>
      <c r="E172" s="223"/>
      <c r="F172" s="224"/>
      <c r="G172" s="221"/>
      <c r="H172" s="221"/>
      <c r="I172" s="221"/>
      <c r="J172" s="221"/>
      <c r="K172" s="221"/>
      <c r="L172" s="225"/>
      <c r="M172" s="226"/>
      <c r="N172" s="221"/>
      <c r="O172" s="221"/>
      <c r="P172" s="221"/>
      <c r="Q172" s="221"/>
    </row>
    <row r="173" s="66" customFormat="true" ht="23.25" hidden="false" customHeight="true" outlineLevel="0" collapsed="false">
      <c r="A173" s="220"/>
      <c r="B173" s="221"/>
      <c r="C173" s="222"/>
      <c r="D173" s="221"/>
      <c r="E173" s="223"/>
      <c r="F173" s="224"/>
      <c r="G173" s="221"/>
      <c r="H173" s="221"/>
      <c r="I173" s="221"/>
      <c r="J173" s="221"/>
      <c r="K173" s="221"/>
      <c r="L173" s="225"/>
      <c r="M173" s="226"/>
      <c r="N173" s="221"/>
      <c r="O173" s="221"/>
      <c r="P173" s="221"/>
      <c r="Q173" s="221"/>
    </row>
    <row r="174" s="66" customFormat="true" ht="23.25" hidden="false" customHeight="true" outlineLevel="0" collapsed="false">
      <c r="A174" s="220"/>
      <c r="B174" s="221"/>
      <c r="C174" s="222"/>
      <c r="D174" s="221"/>
      <c r="E174" s="223"/>
      <c r="F174" s="224"/>
      <c r="G174" s="221"/>
      <c r="H174" s="221"/>
      <c r="I174" s="221"/>
      <c r="J174" s="221"/>
      <c r="K174" s="221"/>
      <c r="L174" s="225"/>
      <c r="M174" s="226"/>
      <c r="N174" s="221"/>
      <c r="O174" s="221"/>
      <c r="P174" s="221"/>
      <c r="Q174" s="221"/>
    </row>
    <row r="175" s="66" customFormat="true" ht="23.25" hidden="false" customHeight="true" outlineLevel="0" collapsed="false">
      <c r="A175" s="220"/>
      <c r="B175" s="221"/>
      <c r="C175" s="222"/>
      <c r="D175" s="221"/>
      <c r="E175" s="223"/>
      <c r="F175" s="224"/>
      <c r="G175" s="221"/>
      <c r="H175" s="221"/>
      <c r="I175" s="221"/>
      <c r="J175" s="221"/>
      <c r="K175" s="221"/>
      <c r="L175" s="225"/>
      <c r="M175" s="226"/>
      <c r="N175" s="221"/>
      <c r="O175" s="221"/>
      <c r="P175" s="221"/>
      <c r="Q175" s="221"/>
    </row>
    <row r="176" s="66" customFormat="true" ht="23.25" hidden="false" customHeight="true" outlineLevel="0" collapsed="false">
      <c r="A176" s="220"/>
      <c r="B176" s="221"/>
      <c r="C176" s="222"/>
      <c r="D176" s="221"/>
      <c r="E176" s="223"/>
      <c r="F176" s="224"/>
      <c r="G176" s="221"/>
      <c r="H176" s="221"/>
      <c r="I176" s="221"/>
      <c r="J176" s="221"/>
      <c r="K176" s="221"/>
      <c r="L176" s="225"/>
      <c r="M176" s="226"/>
      <c r="N176" s="221"/>
      <c r="O176" s="221"/>
      <c r="P176" s="221"/>
      <c r="Q176" s="221"/>
    </row>
    <row r="177" s="66" customFormat="true" ht="23.25" hidden="false" customHeight="true" outlineLevel="0" collapsed="false">
      <c r="A177" s="220"/>
      <c r="B177" s="221"/>
      <c r="C177" s="222"/>
      <c r="D177" s="221"/>
      <c r="E177" s="223"/>
      <c r="F177" s="224"/>
      <c r="G177" s="221"/>
      <c r="H177" s="221"/>
      <c r="I177" s="221"/>
      <c r="J177" s="221"/>
      <c r="K177" s="221"/>
      <c r="L177" s="225"/>
      <c r="M177" s="226"/>
      <c r="N177" s="221"/>
      <c r="O177" s="221"/>
      <c r="P177" s="221"/>
      <c r="Q177" s="221"/>
    </row>
    <row r="178" s="66" customFormat="true" ht="23.25" hidden="false" customHeight="true" outlineLevel="0" collapsed="false">
      <c r="A178" s="220"/>
      <c r="B178" s="221"/>
      <c r="C178" s="222"/>
      <c r="D178" s="221"/>
      <c r="E178" s="223"/>
      <c r="F178" s="224"/>
      <c r="G178" s="221"/>
      <c r="H178" s="221"/>
      <c r="I178" s="221"/>
      <c r="J178" s="221"/>
      <c r="K178" s="221"/>
      <c r="L178" s="225"/>
      <c r="M178" s="226"/>
      <c r="N178" s="221"/>
      <c r="O178" s="221"/>
      <c r="P178" s="221"/>
      <c r="Q178" s="221"/>
    </row>
    <row r="179" s="66" customFormat="true" ht="23.25" hidden="false" customHeight="true" outlineLevel="0" collapsed="false">
      <c r="A179" s="220"/>
      <c r="B179" s="221"/>
      <c r="C179" s="222"/>
      <c r="D179" s="221"/>
      <c r="E179" s="223"/>
      <c r="F179" s="224"/>
      <c r="G179" s="221"/>
      <c r="H179" s="221"/>
      <c r="I179" s="221"/>
      <c r="J179" s="221"/>
      <c r="K179" s="221"/>
      <c r="L179" s="225"/>
      <c r="M179" s="226"/>
      <c r="N179" s="221"/>
      <c r="O179" s="221"/>
      <c r="P179" s="221"/>
      <c r="Q179" s="221"/>
    </row>
    <row r="180" s="66" customFormat="true" ht="23.25" hidden="false" customHeight="true" outlineLevel="0" collapsed="false">
      <c r="A180" s="220"/>
      <c r="B180" s="221"/>
      <c r="C180" s="222"/>
      <c r="D180" s="221"/>
      <c r="E180" s="223"/>
      <c r="F180" s="224"/>
      <c r="G180" s="221"/>
      <c r="H180" s="221"/>
      <c r="I180" s="221"/>
      <c r="J180" s="221"/>
      <c r="K180" s="221"/>
      <c r="L180" s="225"/>
      <c r="M180" s="226"/>
      <c r="N180" s="221"/>
      <c r="O180" s="221"/>
      <c r="P180" s="221"/>
      <c r="Q180" s="221"/>
    </row>
    <row r="181" s="66" customFormat="true" ht="23.25" hidden="false" customHeight="true" outlineLevel="0" collapsed="false">
      <c r="A181" s="220"/>
      <c r="B181" s="221"/>
      <c r="C181" s="222"/>
      <c r="D181" s="221"/>
      <c r="E181" s="223"/>
      <c r="F181" s="224"/>
      <c r="G181" s="221"/>
      <c r="H181" s="221"/>
      <c r="I181" s="221"/>
      <c r="J181" s="221"/>
      <c r="K181" s="221"/>
      <c r="L181" s="225"/>
      <c r="M181" s="226"/>
      <c r="N181" s="221"/>
      <c r="O181" s="221"/>
      <c r="P181" s="221"/>
      <c r="Q181" s="221"/>
    </row>
    <row r="182" s="66" customFormat="true" ht="23.25" hidden="false" customHeight="true" outlineLevel="0" collapsed="false">
      <c r="A182" s="220"/>
      <c r="B182" s="221"/>
      <c r="C182" s="222"/>
      <c r="D182" s="221"/>
      <c r="E182" s="223"/>
      <c r="F182" s="224"/>
      <c r="G182" s="221"/>
      <c r="H182" s="221"/>
      <c r="I182" s="221"/>
      <c r="J182" s="221"/>
      <c r="K182" s="221"/>
      <c r="L182" s="225"/>
      <c r="M182" s="226"/>
      <c r="N182" s="221"/>
      <c r="O182" s="221"/>
      <c r="P182" s="221"/>
      <c r="Q182" s="221"/>
    </row>
    <row r="183" s="66" customFormat="true" ht="23.25" hidden="false" customHeight="true" outlineLevel="0" collapsed="false">
      <c r="A183" s="220"/>
      <c r="B183" s="221"/>
      <c r="C183" s="222"/>
      <c r="D183" s="221"/>
      <c r="E183" s="223"/>
      <c r="F183" s="224"/>
      <c r="G183" s="221"/>
      <c r="H183" s="221"/>
      <c r="I183" s="221"/>
      <c r="J183" s="221"/>
      <c r="K183" s="221"/>
      <c r="L183" s="225"/>
      <c r="M183" s="226"/>
      <c r="N183" s="221"/>
      <c r="O183" s="221"/>
      <c r="P183" s="221"/>
      <c r="Q183" s="221"/>
    </row>
    <row r="184" s="66" customFormat="true" ht="23.25" hidden="false" customHeight="true" outlineLevel="0" collapsed="false">
      <c r="A184" s="220"/>
      <c r="B184" s="221"/>
      <c r="C184" s="222"/>
      <c r="D184" s="221"/>
      <c r="E184" s="223"/>
      <c r="F184" s="224"/>
      <c r="G184" s="221"/>
      <c r="H184" s="221"/>
      <c r="I184" s="221"/>
      <c r="J184" s="221"/>
      <c r="K184" s="221"/>
      <c r="L184" s="225"/>
      <c r="M184" s="226"/>
      <c r="N184" s="221"/>
      <c r="O184" s="221"/>
      <c r="P184" s="221"/>
      <c r="Q184" s="221"/>
    </row>
    <row r="185" s="66" customFormat="true" ht="23.25" hidden="false" customHeight="true" outlineLevel="0" collapsed="false">
      <c r="A185" s="220"/>
      <c r="B185" s="221"/>
      <c r="C185" s="222"/>
      <c r="D185" s="221"/>
      <c r="E185" s="223"/>
      <c r="F185" s="224"/>
      <c r="G185" s="221"/>
      <c r="H185" s="221"/>
      <c r="I185" s="221"/>
      <c r="J185" s="221"/>
      <c r="K185" s="221"/>
      <c r="L185" s="225"/>
      <c r="M185" s="226"/>
      <c r="N185" s="221"/>
      <c r="O185" s="221"/>
      <c r="P185" s="221"/>
      <c r="Q185" s="221"/>
    </row>
    <row r="186" s="66" customFormat="true" ht="23.25" hidden="false" customHeight="true" outlineLevel="0" collapsed="false">
      <c r="A186" s="220"/>
      <c r="B186" s="221"/>
      <c r="C186" s="222"/>
      <c r="D186" s="221"/>
      <c r="E186" s="223"/>
      <c r="F186" s="224"/>
      <c r="G186" s="221"/>
      <c r="H186" s="221"/>
      <c r="I186" s="221"/>
      <c r="J186" s="221"/>
      <c r="K186" s="221"/>
      <c r="L186" s="225"/>
      <c r="M186" s="226"/>
      <c r="N186" s="221"/>
      <c r="O186" s="221"/>
      <c r="P186" s="221"/>
      <c r="Q186" s="221"/>
    </row>
    <row r="187" s="66" customFormat="true" ht="23.25" hidden="false" customHeight="true" outlineLevel="0" collapsed="false">
      <c r="A187" s="220"/>
      <c r="B187" s="221"/>
      <c r="C187" s="222"/>
      <c r="D187" s="221"/>
      <c r="E187" s="223"/>
      <c r="F187" s="224"/>
      <c r="G187" s="221"/>
      <c r="H187" s="221"/>
      <c r="I187" s="221"/>
      <c r="J187" s="221"/>
      <c r="K187" s="221"/>
      <c r="L187" s="225"/>
      <c r="M187" s="226"/>
      <c r="N187" s="221"/>
      <c r="O187" s="221"/>
      <c r="P187" s="221"/>
      <c r="Q187" s="221"/>
    </row>
    <row r="188" s="66" customFormat="true" ht="23.25" hidden="false" customHeight="true" outlineLevel="0" collapsed="false">
      <c r="A188" s="220"/>
      <c r="B188" s="221"/>
      <c r="C188" s="222"/>
      <c r="D188" s="221"/>
      <c r="E188" s="223"/>
      <c r="F188" s="224"/>
      <c r="G188" s="221"/>
      <c r="H188" s="221"/>
      <c r="I188" s="221"/>
      <c r="J188" s="221"/>
      <c r="K188" s="221"/>
      <c r="L188" s="225"/>
      <c r="M188" s="226"/>
      <c r="N188" s="221"/>
      <c r="O188" s="221"/>
      <c r="P188" s="221"/>
      <c r="Q188" s="221"/>
    </row>
    <row r="189" s="66" customFormat="true" ht="23.25" hidden="false" customHeight="true" outlineLevel="0" collapsed="false">
      <c r="A189" s="220"/>
      <c r="B189" s="221"/>
      <c r="C189" s="222"/>
      <c r="D189" s="221"/>
      <c r="E189" s="223"/>
      <c r="F189" s="224"/>
      <c r="G189" s="221"/>
      <c r="H189" s="221"/>
      <c r="I189" s="221"/>
      <c r="J189" s="221"/>
      <c r="K189" s="221"/>
      <c r="L189" s="225"/>
      <c r="M189" s="226"/>
      <c r="N189" s="221"/>
      <c r="O189" s="221"/>
      <c r="P189" s="221"/>
      <c r="Q189" s="221"/>
    </row>
    <row r="190" s="66" customFormat="true" ht="23.25" hidden="false" customHeight="true" outlineLevel="0" collapsed="false">
      <c r="A190" s="220"/>
      <c r="B190" s="221"/>
      <c r="C190" s="222"/>
      <c r="D190" s="221"/>
      <c r="E190" s="223"/>
      <c r="F190" s="224"/>
      <c r="G190" s="221"/>
      <c r="H190" s="221"/>
      <c r="I190" s="221"/>
      <c r="J190" s="221"/>
      <c r="K190" s="221"/>
      <c r="L190" s="225"/>
      <c r="M190" s="226"/>
      <c r="N190" s="221"/>
      <c r="O190" s="221"/>
      <c r="P190" s="221"/>
      <c r="Q190" s="221"/>
    </row>
    <row r="191" s="66" customFormat="true" ht="23.25" hidden="false" customHeight="true" outlineLevel="0" collapsed="false">
      <c r="A191" s="220"/>
      <c r="B191" s="221"/>
      <c r="C191" s="222"/>
      <c r="D191" s="221"/>
      <c r="E191" s="223"/>
      <c r="F191" s="224"/>
      <c r="G191" s="221"/>
      <c r="H191" s="221"/>
      <c r="I191" s="221"/>
      <c r="J191" s="221"/>
      <c r="K191" s="221"/>
      <c r="L191" s="225"/>
      <c r="M191" s="226"/>
      <c r="N191" s="221"/>
      <c r="O191" s="221"/>
      <c r="P191" s="221"/>
      <c r="Q191" s="221"/>
    </row>
    <row r="192" s="66" customFormat="true" ht="23.25" hidden="false" customHeight="true" outlineLevel="0" collapsed="false">
      <c r="A192" s="220"/>
      <c r="B192" s="221"/>
      <c r="C192" s="222"/>
      <c r="D192" s="221"/>
      <c r="E192" s="223"/>
      <c r="F192" s="224"/>
      <c r="G192" s="221"/>
      <c r="H192" s="221"/>
      <c r="I192" s="221"/>
      <c r="J192" s="221"/>
      <c r="K192" s="221"/>
      <c r="L192" s="225"/>
      <c r="M192" s="226"/>
      <c r="N192" s="221"/>
      <c r="O192" s="221"/>
      <c r="P192" s="221"/>
      <c r="Q192" s="221"/>
    </row>
    <row r="193" s="66" customFormat="true" ht="23.25" hidden="false" customHeight="true" outlineLevel="0" collapsed="false">
      <c r="A193" s="220"/>
      <c r="B193" s="221"/>
      <c r="C193" s="222"/>
      <c r="D193" s="221"/>
      <c r="E193" s="223"/>
      <c r="F193" s="224"/>
      <c r="G193" s="221"/>
      <c r="H193" s="221"/>
      <c r="I193" s="221"/>
      <c r="J193" s="221"/>
      <c r="K193" s="221"/>
      <c r="L193" s="225"/>
      <c r="M193" s="226"/>
      <c r="N193" s="221"/>
      <c r="O193" s="221"/>
      <c r="P193" s="221"/>
      <c r="Q193" s="221"/>
    </row>
    <row r="194" s="66" customFormat="true" ht="23.25" hidden="false" customHeight="true" outlineLevel="0" collapsed="false">
      <c r="A194" s="220"/>
      <c r="B194" s="221"/>
      <c r="C194" s="222"/>
      <c r="D194" s="221"/>
      <c r="E194" s="223"/>
      <c r="F194" s="224"/>
      <c r="G194" s="221"/>
      <c r="H194" s="221"/>
      <c r="I194" s="221"/>
      <c r="J194" s="221"/>
      <c r="K194" s="221"/>
      <c r="L194" s="225"/>
      <c r="M194" s="226"/>
      <c r="N194" s="221"/>
      <c r="O194" s="221"/>
      <c r="P194" s="221"/>
      <c r="Q194" s="221"/>
    </row>
    <row r="195" s="66" customFormat="true" ht="23.25" hidden="false" customHeight="true" outlineLevel="0" collapsed="false">
      <c r="A195" s="220"/>
      <c r="B195" s="221"/>
      <c r="C195" s="222"/>
      <c r="D195" s="221"/>
      <c r="E195" s="223"/>
      <c r="F195" s="224"/>
      <c r="G195" s="221"/>
      <c r="H195" s="221"/>
      <c r="I195" s="221"/>
      <c r="J195" s="221"/>
      <c r="K195" s="221"/>
      <c r="L195" s="225"/>
      <c r="M195" s="226"/>
      <c r="N195" s="221"/>
      <c r="O195" s="221"/>
      <c r="P195" s="221"/>
      <c r="Q195" s="221"/>
    </row>
    <row r="196" s="66" customFormat="true" ht="23.25" hidden="false" customHeight="true" outlineLevel="0" collapsed="false">
      <c r="A196" s="220"/>
      <c r="B196" s="221"/>
      <c r="C196" s="222"/>
      <c r="D196" s="221"/>
      <c r="E196" s="223"/>
      <c r="F196" s="224"/>
      <c r="G196" s="221"/>
      <c r="H196" s="221"/>
      <c r="I196" s="221"/>
      <c r="J196" s="221"/>
      <c r="K196" s="221"/>
      <c r="L196" s="225"/>
      <c r="M196" s="226"/>
      <c r="N196" s="221"/>
      <c r="O196" s="221"/>
      <c r="P196" s="221"/>
      <c r="Q196" s="221"/>
    </row>
    <row r="197" s="66" customFormat="true" ht="23.25" hidden="false" customHeight="true" outlineLevel="0" collapsed="false">
      <c r="A197" s="220"/>
      <c r="B197" s="221"/>
      <c r="C197" s="222"/>
      <c r="D197" s="221"/>
      <c r="E197" s="223"/>
      <c r="F197" s="224"/>
      <c r="G197" s="221"/>
      <c r="H197" s="221"/>
      <c r="I197" s="221"/>
      <c r="J197" s="221"/>
      <c r="K197" s="221"/>
      <c r="L197" s="225"/>
      <c r="M197" s="226"/>
      <c r="N197" s="221"/>
      <c r="O197" s="221"/>
      <c r="P197" s="221"/>
      <c r="Q197" s="221"/>
    </row>
    <row r="198" s="66" customFormat="true" ht="23.25" hidden="false" customHeight="true" outlineLevel="0" collapsed="false">
      <c r="A198" s="220"/>
      <c r="B198" s="221"/>
      <c r="C198" s="222"/>
      <c r="D198" s="221"/>
      <c r="E198" s="223"/>
      <c r="F198" s="224"/>
      <c r="G198" s="221"/>
      <c r="H198" s="221"/>
      <c r="I198" s="221"/>
      <c r="J198" s="221"/>
      <c r="K198" s="221"/>
      <c r="L198" s="225"/>
      <c r="M198" s="226"/>
      <c r="N198" s="221"/>
      <c r="O198" s="221"/>
      <c r="P198" s="221"/>
      <c r="Q198" s="221"/>
    </row>
    <row r="199" s="66" customFormat="true" ht="23.25" hidden="false" customHeight="true" outlineLevel="0" collapsed="false">
      <c r="A199" s="220"/>
      <c r="B199" s="221"/>
      <c r="C199" s="222"/>
      <c r="D199" s="221"/>
      <c r="E199" s="223"/>
      <c r="F199" s="224"/>
      <c r="G199" s="221"/>
      <c r="H199" s="221"/>
      <c r="I199" s="221"/>
      <c r="J199" s="221"/>
      <c r="K199" s="221"/>
      <c r="L199" s="225"/>
      <c r="M199" s="226"/>
      <c r="N199" s="221"/>
      <c r="O199" s="221"/>
      <c r="P199" s="221"/>
      <c r="Q199" s="221"/>
    </row>
    <row r="200" s="66" customFormat="true" ht="23.25" hidden="false" customHeight="true" outlineLevel="0" collapsed="false">
      <c r="A200" s="220"/>
      <c r="B200" s="221"/>
      <c r="C200" s="222"/>
      <c r="D200" s="221"/>
      <c r="E200" s="223"/>
      <c r="F200" s="224"/>
      <c r="G200" s="221"/>
      <c r="H200" s="221"/>
      <c r="I200" s="221"/>
      <c r="J200" s="221"/>
      <c r="K200" s="221"/>
      <c r="L200" s="225"/>
      <c r="M200" s="226"/>
      <c r="N200" s="221"/>
      <c r="O200" s="221"/>
      <c r="P200" s="221"/>
      <c r="Q200" s="221"/>
    </row>
    <row r="201" s="66" customFormat="true" ht="23.25" hidden="false" customHeight="true" outlineLevel="0" collapsed="false">
      <c r="A201" s="220"/>
      <c r="B201" s="221"/>
      <c r="C201" s="222"/>
      <c r="D201" s="221"/>
      <c r="E201" s="223"/>
      <c r="F201" s="224"/>
      <c r="G201" s="221"/>
      <c r="H201" s="221"/>
      <c r="I201" s="221"/>
      <c r="J201" s="221"/>
      <c r="K201" s="221"/>
      <c r="L201" s="225"/>
      <c r="M201" s="226"/>
      <c r="N201" s="221"/>
      <c r="O201" s="221"/>
      <c r="P201" s="221"/>
      <c r="Q201" s="221"/>
    </row>
    <row r="202" s="66" customFormat="true" ht="23.25" hidden="false" customHeight="true" outlineLevel="0" collapsed="false">
      <c r="A202" s="220"/>
      <c r="B202" s="221"/>
      <c r="C202" s="222"/>
      <c r="D202" s="221"/>
      <c r="E202" s="223"/>
      <c r="F202" s="224"/>
      <c r="G202" s="221"/>
      <c r="H202" s="221"/>
      <c r="I202" s="221"/>
      <c r="J202" s="221"/>
      <c r="K202" s="221"/>
      <c r="L202" s="225"/>
      <c r="M202" s="226"/>
      <c r="N202" s="221"/>
      <c r="O202" s="221"/>
      <c r="P202" s="221"/>
      <c r="Q202" s="221"/>
    </row>
    <row r="203" s="66" customFormat="true" ht="23.25" hidden="false" customHeight="true" outlineLevel="0" collapsed="false">
      <c r="A203" s="220"/>
      <c r="B203" s="221"/>
      <c r="C203" s="222"/>
      <c r="D203" s="221"/>
      <c r="E203" s="223"/>
      <c r="F203" s="224"/>
      <c r="G203" s="221"/>
      <c r="H203" s="221"/>
      <c r="I203" s="221"/>
      <c r="J203" s="221"/>
      <c r="K203" s="221"/>
      <c r="L203" s="225"/>
      <c r="M203" s="226"/>
      <c r="N203" s="221"/>
      <c r="O203" s="221"/>
      <c r="P203" s="221"/>
      <c r="Q203" s="221"/>
    </row>
    <row r="204" s="66" customFormat="true" ht="23.25" hidden="false" customHeight="true" outlineLevel="0" collapsed="false">
      <c r="A204" s="220"/>
      <c r="B204" s="221"/>
      <c r="C204" s="222"/>
      <c r="D204" s="221"/>
      <c r="E204" s="223"/>
      <c r="F204" s="224"/>
      <c r="G204" s="221"/>
      <c r="H204" s="221"/>
      <c r="I204" s="221"/>
      <c r="J204" s="221"/>
      <c r="K204" s="221"/>
      <c r="L204" s="225"/>
      <c r="M204" s="226"/>
      <c r="N204" s="221"/>
      <c r="O204" s="221"/>
      <c r="P204" s="221"/>
      <c r="Q204" s="221"/>
    </row>
    <row r="205" s="66" customFormat="true" ht="23.25" hidden="false" customHeight="true" outlineLevel="0" collapsed="false">
      <c r="A205" s="220"/>
      <c r="B205" s="221"/>
      <c r="C205" s="222"/>
      <c r="D205" s="221"/>
      <c r="E205" s="223"/>
      <c r="F205" s="224"/>
      <c r="G205" s="221"/>
      <c r="H205" s="221"/>
      <c r="I205" s="221"/>
      <c r="J205" s="221"/>
      <c r="K205" s="221"/>
      <c r="L205" s="225"/>
      <c r="M205" s="226"/>
      <c r="N205" s="221"/>
      <c r="O205" s="221"/>
      <c r="P205" s="221"/>
      <c r="Q205" s="221"/>
    </row>
    <row r="206" s="66" customFormat="true" ht="23.25" hidden="false" customHeight="true" outlineLevel="0" collapsed="false">
      <c r="A206" s="220"/>
      <c r="B206" s="221"/>
      <c r="C206" s="222"/>
      <c r="D206" s="221"/>
      <c r="E206" s="223"/>
      <c r="F206" s="224"/>
      <c r="G206" s="221"/>
      <c r="H206" s="221"/>
      <c r="I206" s="221"/>
      <c r="J206" s="221"/>
      <c r="K206" s="221"/>
      <c r="L206" s="225"/>
      <c r="M206" s="226"/>
      <c r="N206" s="221"/>
      <c r="O206" s="221"/>
      <c r="P206" s="221"/>
      <c r="Q206" s="221"/>
    </row>
    <row r="207" s="66" customFormat="true" ht="23.25" hidden="false" customHeight="true" outlineLevel="0" collapsed="false">
      <c r="A207" s="220"/>
      <c r="B207" s="221"/>
      <c r="C207" s="222"/>
      <c r="D207" s="221"/>
      <c r="E207" s="223"/>
      <c r="F207" s="224"/>
      <c r="G207" s="221"/>
      <c r="H207" s="221"/>
      <c r="I207" s="221"/>
      <c r="J207" s="221"/>
      <c r="K207" s="221"/>
      <c r="L207" s="225"/>
      <c r="M207" s="226"/>
      <c r="N207" s="221"/>
      <c r="O207" s="221"/>
      <c r="P207" s="221"/>
      <c r="Q207" s="221"/>
    </row>
    <row r="208" s="66" customFormat="true" ht="23.25" hidden="false" customHeight="true" outlineLevel="0" collapsed="false">
      <c r="A208" s="220"/>
      <c r="B208" s="221"/>
      <c r="C208" s="222"/>
      <c r="D208" s="221"/>
      <c r="E208" s="223"/>
      <c r="F208" s="224"/>
      <c r="G208" s="221"/>
      <c r="H208" s="221"/>
      <c r="I208" s="221"/>
      <c r="J208" s="221"/>
      <c r="K208" s="221"/>
      <c r="L208" s="225"/>
      <c r="M208" s="226"/>
      <c r="N208" s="221"/>
      <c r="O208" s="221"/>
      <c r="P208" s="221"/>
      <c r="Q208" s="221"/>
    </row>
    <row r="209" s="66" customFormat="true" ht="23.25" hidden="false" customHeight="true" outlineLevel="0" collapsed="false">
      <c r="A209" s="220"/>
      <c r="B209" s="221"/>
      <c r="C209" s="222"/>
      <c r="D209" s="221"/>
      <c r="E209" s="223"/>
      <c r="F209" s="224"/>
      <c r="G209" s="221"/>
      <c r="H209" s="221"/>
      <c r="I209" s="221"/>
      <c r="J209" s="221"/>
      <c r="K209" s="221"/>
      <c r="L209" s="225"/>
      <c r="M209" s="226"/>
      <c r="N209" s="221"/>
      <c r="O209" s="221"/>
      <c r="P209" s="221"/>
      <c r="Q209" s="221"/>
    </row>
    <row r="210" s="66" customFormat="true" ht="23.25" hidden="false" customHeight="true" outlineLevel="0" collapsed="false">
      <c r="A210" s="220"/>
      <c r="B210" s="221"/>
      <c r="C210" s="222"/>
      <c r="D210" s="221"/>
      <c r="E210" s="223"/>
      <c r="F210" s="224"/>
      <c r="G210" s="221"/>
      <c r="H210" s="221"/>
      <c r="I210" s="221"/>
      <c r="J210" s="221"/>
      <c r="K210" s="221"/>
      <c r="L210" s="225"/>
      <c r="M210" s="226"/>
      <c r="N210" s="221"/>
      <c r="O210" s="221"/>
      <c r="P210" s="221"/>
      <c r="Q210" s="221"/>
    </row>
    <row r="211" s="66" customFormat="true" ht="23.25" hidden="false" customHeight="true" outlineLevel="0" collapsed="false">
      <c r="A211" s="220"/>
      <c r="B211" s="221"/>
      <c r="C211" s="222"/>
      <c r="D211" s="221"/>
      <c r="E211" s="223"/>
      <c r="F211" s="224"/>
      <c r="G211" s="221"/>
      <c r="H211" s="221"/>
      <c r="I211" s="221"/>
      <c r="J211" s="221"/>
      <c r="K211" s="221"/>
      <c r="L211" s="225"/>
      <c r="M211" s="226"/>
      <c r="N211" s="221"/>
      <c r="O211" s="221"/>
      <c r="P211" s="221"/>
      <c r="Q211" s="221"/>
    </row>
    <row r="212" s="66" customFormat="true" ht="23.25" hidden="false" customHeight="true" outlineLevel="0" collapsed="false">
      <c r="A212" s="220"/>
      <c r="B212" s="221"/>
      <c r="C212" s="222"/>
      <c r="D212" s="221"/>
      <c r="E212" s="223"/>
      <c r="F212" s="224"/>
      <c r="G212" s="221"/>
      <c r="H212" s="221"/>
      <c r="I212" s="221"/>
      <c r="J212" s="221"/>
      <c r="K212" s="221"/>
      <c r="L212" s="225"/>
      <c r="M212" s="226"/>
      <c r="N212" s="221"/>
      <c r="O212" s="221"/>
      <c r="P212" s="221"/>
      <c r="Q212" s="221"/>
    </row>
    <row r="213" s="66" customFormat="true" ht="23.25" hidden="false" customHeight="true" outlineLevel="0" collapsed="false">
      <c r="A213" s="220"/>
      <c r="B213" s="221"/>
      <c r="C213" s="222"/>
      <c r="D213" s="221"/>
      <c r="E213" s="223"/>
      <c r="F213" s="224"/>
      <c r="G213" s="221"/>
      <c r="H213" s="221"/>
      <c r="I213" s="221"/>
      <c r="J213" s="221"/>
      <c r="K213" s="221"/>
      <c r="L213" s="225"/>
      <c r="M213" s="226"/>
      <c r="N213" s="221"/>
      <c r="O213" s="221"/>
      <c r="P213" s="221"/>
      <c r="Q213" s="221"/>
    </row>
    <row r="214" s="66" customFormat="true" ht="23.25" hidden="false" customHeight="true" outlineLevel="0" collapsed="false">
      <c r="A214" s="220"/>
      <c r="B214" s="221"/>
      <c r="C214" s="222"/>
      <c r="D214" s="221"/>
      <c r="E214" s="223"/>
      <c r="F214" s="224"/>
      <c r="G214" s="221"/>
      <c r="H214" s="221"/>
      <c r="I214" s="221"/>
      <c r="J214" s="221"/>
      <c r="K214" s="221"/>
      <c r="L214" s="225"/>
      <c r="M214" s="226"/>
      <c r="N214" s="221"/>
      <c r="O214" s="221"/>
      <c r="P214" s="221"/>
      <c r="Q214" s="221"/>
    </row>
    <row r="215" s="66" customFormat="true" ht="23.25" hidden="false" customHeight="true" outlineLevel="0" collapsed="false">
      <c r="A215" s="220"/>
      <c r="B215" s="221"/>
      <c r="C215" s="222"/>
      <c r="D215" s="221"/>
      <c r="E215" s="223"/>
      <c r="F215" s="224"/>
      <c r="G215" s="221"/>
      <c r="H215" s="221"/>
      <c r="I215" s="221"/>
      <c r="J215" s="221"/>
      <c r="K215" s="221"/>
      <c r="L215" s="225"/>
      <c r="M215" s="226"/>
      <c r="N215" s="221"/>
      <c r="O215" s="221"/>
      <c r="P215" s="221"/>
      <c r="Q215" s="221"/>
    </row>
    <row r="216" s="66" customFormat="true" ht="23.25" hidden="false" customHeight="true" outlineLevel="0" collapsed="false">
      <c r="A216" s="220"/>
      <c r="B216" s="221"/>
      <c r="C216" s="222"/>
      <c r="D216" s="221"/>
      <c r="E216" s="223"/>
      <c r="F216" s="224"/>
      <c r="G216" s="221"/>
      <c r="H216" s="221"/>
      <c r="I216" s="221"/>
      <c r="J216" s="221"/>
      <c r="K216" s="221"/>
      <c r="L216" s="225"/>
      <c r="M216" s="226"/>
      <c r="N216" s="221"/>
      <c r="O216" s="221"/>
      <c r="P216" s="221"/>
      <c r="Q216" s="221"/>
    </row>
    <row r="217" s="66" customFormat="true" ht="23.25" hidden="false" customHeight="true" outlineLevel="0" collapsed="false">
      <c r="A217" s="220"/>
      <c r="B217" s="221"/>
      <c r="C217" s="222"/>
      <c r="D217" s="221"/>
      <c r="E217" s="223"/>
      <c r="F217" s="224"/>
      <c r="G217" s="221"/>
      <c r="H217" s="221"/>
      <c r="I217" s="221"/>
      <c r="J217" s="221"/>
      <c r="K217" s="221"/>
      <c r="L217" s="225"/>
      <c r="M217" s="226"/>
      <c r="N217" s="221"/>
      <c r="O217" s="221"/>
      <c r="P217" s="221"/>
      <c r="Q217" s="221"/>
    </row>
    <row r="218" s="66" customFormat="true" ht="23.25" hidden="false" customHeight="true" outlineLevel="0" collapsed="false">
      <c r="A218" s="220"/>
      <c r="B218" s="221"/>
      <c r="C218" s="222"/>
      <c r="D218" s="221"/>
      <c r="E218" s="223"/>
      <c r="F218" s="224"/>
      <c r="G218" s="221"/>
      <c r="H218" s="221"/>
      <c r="I218" s="221"/>
      <c r="J218" s="221"/>
      <c r="K218" s="221"/>
      <c r="L218" s="225"/>
      <c r="M218" s="226"/>
      <c r="N218" s="221"/>
      <c r="O218" s="221"/>
      <c r="P218" s="221"/>
      <c r="Q218" s="221"/>
    </row>
    <row r="219" s="66" customFormat="true" ht="23.25" hidden="false" customHeight="true" outlineLevel="0" collapsed="false">
      <c r="A219" s="220"/>
      <c r="B219" s="221"/>
      <c r="C219" s="222"/>
      <c r="D219" s="221"/>
      <c r="E219" s="223"/>
      <c r="F219" s="224"/>
      <c r="G219" s="221"/>
      <c r="H219" s="221"/>
      <c r="I219" s="221"/>
      <c r="J219" s="221"/>
      <c r="K219" s="221"/>
      <c r="L219" s="225"/>
      <c r="M219" s="226"/>
      <c r="N219" s="221"/>
      <c r="O219" s="221"/>
      <c r="P219" s="221"/>
      <c r="Q219" s="221"/>
    </row>
    <row r="220" s="66" customFormat="true" ht="23.25" hidden="false" customHeight="true" outlineLevel="0" collapsed="false">
      <c r="A220" s="220"/>
      <c r="B220" s="221"/>
      <c r="C220" s="222"/>
      <c r="D220" s="221"/>
      <c r="E220" s="223"/>
      <c r="F220" s="224"/>
      <c r="G220" s="221"/>
      <c r="H220" s="221"/>
      <c r="I220" s="221"/>
      <c r="J220" s="221"/>
      <c r="K220" s="221"/>
      <c r="L220" s="225"/>
      <c r="M220" s="226"/>
      <c r="N220" s="221"/>
      <c r="O220" s="221"/>
      <c r="P220" s="221"/>
      <c r="Q220" s="221"/>
    </row>
    <row r="221" s="66" customFormat="true" ht="23.25" hidden="false" customHeight="true" outlineLevel="0" collapsed="false">
      <c r="A221" s="220"/>
      <c r="B221" s="221"/>
      <c r="C221" s="222"/>
      <c r="D221" s="221"/>
      <c r="E221" s="223"/>
      <c r="F221" s="224"/>
      <c r="G221" s="221"/>
      <c r="H221" s="221"/>
      <c r="I221" s="221"/>
      <c r="J221" s="221"/>
      <c r="K221" s="221"/>
      <c r="L221" s="225"/>
      <c r="M221" s="226"/>
      <c r="N221" s="221"/>
      <c r="O221" s="221"/>
      <c r="P221" s="221"/>
      <c r="Q221" s="221"/>
    </row>
    <row r="222" s="66" customFormat="true" ht="23.25" hidden="false" customHeight="true" outlineLevel="0" collapsed="false">
      <c r="A222" s="220"/>
      <c r="B222" s="221"/>
      <c r="C222" s="222"/>
      <c r="D222" s="221"/>
      <c r="E222" s="223"/>
      <c r="F222" s="224"/>
      <c r="G222" s="221"/>
      <c r="H222" s="221"/>
      <c r="I222" s="221"/>
      <c r="J222" s="221"/>
      <c r="K222" s="221"/>
      <c r="L222" s="225"/>
      <c r="M222" s="226"/>
      <c r="N222" s="221"/>
      <c r="O222" s="221"/>
      <c r="P222" s="221"/>
      <c r="Q222" s="221"/>
    </row>
    <row r="223" s="66" customFormat="true" ht="23.25" hidden="false" customHeight="true" outlineLevel="0" collapsed="false">
      <c r="A223" s="220"/>
      <c r="B223" s="221"/>
      <c r="C223" s="222"/>
      <c r="D223" s="221"/>
      <c r="E223" s="223"/>
      <c r="F223" s="224"/>
      <c r="G223" s="221"/>
      <c r="H223" s="221"/>
      <c r="I223" s="221"/>
      <c r="J223" s="221"/>
      <c r="K223" s="221"/>
      <c r="L223" s="225"/>
      <c r="M223" s="226"/>
      <c r="N223" s="221"/>
      <c r="O223" s="221"/>
      <c r="P223" s="221"/>
      <c r="Q223" s="221"/>
    </row>
    <row r="224" s="66" customFormat="true" ht="23.25" hidden="false" customHeight="true" outlineLevel="0" collapsed="false">
      <c r="A224" s="220"/>
      <c r="B224" s="221"/>
      <c r="C224" s="222"/>
      <c r="D224" s="221"/>
      <c r="E224" s="223"/>
      <c r="F224" s="224"/>
      <c r="G224" s="221"/>
      <c r="H224" s="221"/>
      <c r="I224" s="221"/>
      <c r="J224" s="221"/>
      <c r="K224" s="221"/>
      <c r="L224" s="225"/>
      <c r="M224" s="226"/>
      <c r="N224" s="221"/>
      <c r="O224" s="221"/>
      <c r="P224" s="221"/>
      <c r="Q224" s="221"/>
    </row>
    <row r="225" s="66" customFormat="true" ht="23.25" hidden="false" customHeight="true" outlineLevel="0" collapsed="false">
      <c r="A225" s="220"/>
      <c r="B225" s="221"/>
      <c r="C225" s="222"/>
      <c r="D225" s="221"/>
      <c r="E225" s="223"/>
      <c r="F225" s="224"/>
      <c r="G225" s="221"/>
      <c r="H225" s="221"/>
      <c r="I225" s="221"/>
      <c r="J225" s="221"/>
      <c r="K225" s="221"/>
      <c r="L225" s="225"/>
      <c r="M225" s="226"/>
      <c r="N225" s="221"/>
      <c r="O225" s="221"/>
      <c r="P225" s="221"/>
      <c r="Q225" s="221"/>
    </row>
    <row r="226" s="66" customFormat="true" ht="23.25" hidden="false" customHeight="true" outlineLevel="0" collapsed="false">
      <c r="A226" s="220"/>
      <c r="B226" s="221"/>
      <c r="C226" s="222"/>
      <c r="D226" s="221"/>
      <c r="E226" s="223"/>
      <c r="F226" s="224"/>
      <c r="G226" s="221"/>
      <c r="H226" s="221"/>
      <c r="I226" s="221"/>
      <c r="J226" s="221"/>
      <c r="K226" s="221"/>
      <c r="L226" s="225"/>
      <c r="M226" s="226"/>
      <c r="N226" s="221"/>
      <c r="O226" s="221"/>
      <c r="P226" s="221"/>
      <c r="Q226" s="221"/>
    </row>
    <row r="227" s="66" customFormat="true" ht="23.25" hidden="false" customHeight="true" outlineLevel="0" collapsed="false">
      <c r="A227" s="220"/>
      <c r="B227" s="221"/>
      <c r="C227" s="222"/>
      <c r="D227" s="221"/>
      <c r="E227" s="223"/>
      <c r="F227" s="224"/>
      <c r="G227" s="221"/>
      <c r="H227" s="221"/>
      <c r="I227" s="221"/>
      <c r="J227" s="221"/>
      <c r="K227" s="221"/>
      <c r="L227" s="225"/>
      <c r="M227" s="226"/>
      <c r="N227" s="221"/>
      <c r="O227" s="221"/>
      <c r="P227" s="221"/>
      <c r="Q227" s="221"/>
    </row>
    <row r="228" s="66" customFormat="true" ht="23.25" hidden="false" customHeight="true" outlineLevel="0" collapsed="false">
      <c r="A228" s="220"/>
      <c r="B228" s="221"/>
      <c r="C228" s="222"/>
      <c r="D228" s="221"/>
      <c r="E228" s="223"/>
      <c r="F228" s="224"/>
      <c r="G228" s="221"/>
      <c r="H228" s="221"/>
      <c r="I228" s="221"/>
      <c r="J228" s="221"/>
      <c r="K228" s="221"/>
      <c r="L228" s="225"/>
      <c r="M228" s="226"/>
      <c r="N228" s="221"/>
      <c r="O228" s="221"/>
      <c r="P228" s="221"/>
      <c r="Q228" s="221"/>
    </row>
    <row r="229" s="66" customFormat="true" ht="23.25" hidden="false" customHeight="true" outlineLevel="0" collapsed="false">
      <c r="A229" s="220"/>
      <c r="B229" s="221"/>
      <c r="C229" s="222"/>
      <c r="D229" s="221"/>
      <c r="E229" s="223"/>
      <c r="F229" s="224"/>
      <c r="G229" s="221"/>
      <c r="H229" s="221"/>
      <c r="I229" s="221"/>
      <c r="J229" s="221"/>
      <c r="K229" s="221"/>
      <c r="L229" s="225"/>
      <c r="M229" s="226"/>
      <c r="N229" s="221"/>
      <c r="O229" s="221"/>
      <c r="P229" s="221"/>
      <c r="Q229" s="221"/>
    </row>
    <row r="230" s="66" customFormat="true" ht="23.25" hidden="false" customHeight="true" outlineLevel="0" collapsed="false">
      <c r="A230" s="220"/>
      <c r="B230" s="221"/>
      <c r="C230" s="222"/>
      <c r="D230" s="221"/>
      <c r="E230" s="223"/>
      <c r="F230" s="224"/>
      <c r="G230" s="221"/>
      <c r="H230" s="221"/>
      <c r="I230" s="221"/>
      <c r="J230" s="221"/>
      <c r="K230" s="221"/>
      <c r="L230" s="225"/>
      <c r="M230" s="226"/>
      <c r="N230" s="221"/>
      <c r="O230" s="221"/>
      <c r="P230" s="221"/>
      <c r="Q230" s="221"/>
    </row>
    <row r="231" s="66" customFormat="true" ht="23.25" hidden="false" customHeight="true" outlineLevel="0" collapsed="false">
      <c r="A231" s="220"/>
      <c r="B231" s="221"/>
      <c r="C231" s="222"/>
      <c r="D231" s="221"/>
      <c r="E231" s="223"/>
      <c r="F231" s="224"/>
      <c r="G231" s="221"/>
      <c r="H231" s="221"/>
      <c r="I231" s="221"/>
      <c r="J231" s="221"/>
      <c r="K231" s="221"/>
      <c r="L231" s="225"/>
      <c r="M231" s="226"/>
      <c r="N231" s="221"/>
      <c r="O231" s="221"/>
      <c r="P231" s="221"/>
      <c r="Q231" s="221"/>
    </row>
    <row r="232" s="66" customFormat="true" ht="23.25" hidden="false" customHeight="true" outlineLevel="0" collapsed="false">
      <c r="A232" s="220"/>
      <c r="B232" s="221"/>
      <c r="C232" s="222"/>
      <c r="D232" s="221"/>
      <c r="E232" s="223"/>
      <c r="F232" s="224"/>
      <c r="G232" s="221"/>
      <c r="H232" s="221"/>
      <c r="I232" s="221"/>
      <c r="J232" s="221"/>
      <c r="K232" s="221"/>
      <c r="L232" s="225"/>
      <c r="M232" s="226"/>
      <c r="N232" s="221"/>
      <c r="O232" s="221"/>
      <c r="P232" s="221"/>
      <c r="Q232" s="221"/>
    </row>
    <row r="233" s="66" customFormat="true" ht="23.25" hidden="false" customHeight="true" outlineLevel="0" collapsed="false">
      <c r="A233" s="220"/>
      <c r="B233" s="221"/>
      <c r="C233" s="222"/>
      <c r="D233" s="221"/>
      <c r="E233" s="223"/>
      <c r="F233" s="224"/>
      <c r="G233" s="221"/>
      <c r="H233" s="221"/>
      <c r="I233" s="221"/>
      <c r="J233" s="221"/>
      <c r="K233" s="221"/>
      <c r="L233" s="225"/>
      <c r="M233" s="226"/>
      <c r="N233" s="221"/>
      <c r="O233" s="221"/>
      <c r="P233" s="221"/>
      <c r="Q233" s="221"/>
    </row>
    <row r="234" s="66" customFormat="true" ht="23.25" hidden="false" customHeight="true" outlineLevel="0" collapsed="false">
      <c r="A234" s="220"/>
      <c r="B234" s="221"/>
      <c r="C234" s="222"/>
      <c r="D234" s="221"/>
      <c r="E234" s="223"/>
      <c r="F234" s="224"/>
      <c r="G234" s="221"/>
      <c r="H234" s="221"/>
      <c r="I234" s="221"/>
      <c r="J234" s="221"/>
      <c r="K234" s="221"/>
      <c r="L234" s="225"/>
      <c r="M234" s="226"/>
      <c r="N234" s="221"/>
      <c r="O234" s="221"/>
      <c r="P234" s="221"/>
      <c r="Q234" s="221"/>
    </row>
    <row r="235" s="66" customFormat="true" ht="23.25" hidden="false" customHeight="true" outlineLevel="0" collapsed="false">
      <c r="A235" s="220"/>
      <c r="B235" s="221"/>
      <c r="C235" s="222"/>
      <c r="D235" s="221"/>
      <c r="E235" s="223"/>
      <c r="F235" s="224"/>
      <c r="G235" s="221"/>
      <c r="H235" s="221"/>
      <c r="I235" s="221"/>
      <c r="J235" s="221"/>
      <c r="K235" s="221"/>
      <c r="L235" s="225"/>
      <c r="M235" s="226"/>
      <c r="N235" s="221"/>
      <c r="O235" s="221"/>
      <c r="P235" s="221"/>
      <c r="Q235" s="221"/>
    </row>
    <row r="236" s="66" customFormat="true" ht="23.25" hidden="false" customHeight="true" outlineLevel="0" collapsed="false">
      <c r="A236" s="220"/>
      <c r="B236" s="221"/>
      <c r="C236" s="222"/>
      <c r="D236" s="221"/>
      <c r="E236" s="223"/>
      <c r="F236" s="224"/>
      <c r="G236" s="221"/>
      <c r="H236" s="221"/>
      <c r="I236" s="221"/>
      <c r="J236" s="221"/>
      <c r="K236" s="221"/>
      <c r="L236" s="225"/>
      <c r="M236" s="226"/>
      <c r="N236" s="221"/>
      <c r="O236" s="221"/>
      <c r="P236" s="221"/>
      <c r="Q236" s="221"/>
    </row>
    <row r="237" s="66" customFormat="true" ht="23.25" hidden="false" customHeight="true" outlineLevel="0" collapsed="false">
      <c r="A237" s="220"/>
      <c r="B237" s="221"/>
      <c r="C237" s="222"/>
      <c r="D237" s="221"/>
      <c r="E237" s="223"/>
      <c r="F237" s="224"/>
      <c r="G237" s="221"/>
      <c r="H237" s="221"/>
      <c r="I237" s="221"/>
      <c r="J237" s="221"/>
      <c r="K237" s="221"/>
      <c r="L237" s="225"/>
      <c r="M237" s="226"/>
      <c r="N237" s="221"/>
      <c r="O237" s="221"/>
      <c r="P237" s="221"/>
      <c r="Q237" s="221"/>
    </row>
    <row r="238" s="66" customFormat="true" ht="23.25" hidden="false" customHeight="true" outlineLevel="0" collapsed="false">
      <c r="A238" s="220"/>
      <c r="B238" s="221"/>
      <c r="C238" s="222"/>
      <c r="D238" s="221"/>
      <c r="E238" s="223"/>
      <c r="F238" s="224"/>
      <c r="G238" s="221"/>
      <c r="H238" s="221"/>
      <c r="I238" s="221"/>
      <c r="J238" s="221"/>
      <c r="K238" s="221"/>
      <c r="L238" s="225"/>
      <c r="M238" s="226"/>
      <c r="N238" s="221"/>
      <c r="O238" s="221"/>
      <c r="P238" s="221"/>
      <c r="Q238" s="221"/>
    </row>
    <row r="239" s="66" customFormat="true" ht="23.25" hidden="false" customHeight="true" outlineLevel="0" collapsed="false">
      <c r="A239" s="220"/>
      <c r="B239" s="221"/>
      <c r="C239" s="222"/>
      <c r="D239" s="221"/>
      <c r="E239" s="223"/>
      <c r="F239" s="224"/>
      <c r="G239" s="221"/>
      <c r="H239" s="221"/>
      <c r="I239" s="221"/>
      <c r="J239" s="221"/>
      <c r="K239" s="221"/>
      <c r="L239" s="225"/>
      <c r="M239" s="226"/>
      <c r="N239" s="221"/>
      <c r="O239" s="221"/>
      <c r="P239" s="221"/>
      <c r="Q239" s="221"/>
    </row>
    <row r="240" s="66" customFormat="true" ht="23.25" hidden="false" customHeight="true" outlineLevel="0" collapsed="false">
      <c r="A240" s="220"/>
      <c r="B240" s="221"/>
      <c r="C240" s="222"/>
      <c r="D240" s="221"/>
      <c r="E240" s="223"/>
      <c r="F240" s="224"/>
      <c r="G240" s="221"/>
      <c r="H240" s="221"/>
      <c r="I240" s="221"/>
      <c r="J240" s="221"/>
      <c r="K240" s="221"/>
      <c r="L240" s="225"/>
      <c r="M240" s="226"/>
      <c r="N240" s="221"/>
      <c r="O240" s="221"/>
      <c r="P240" s="221"/>
      <c r="Q240" s="221"/>
    </row>
    <row r="241" s="66" customFormat="true" ht="23.25" hidden="false" customHeight="true" outlineLevel="0" collapsed="false">
      <c r="A241" s="220"/>
      <c r="B241" s="221"/>
      <c r="C241" s="222"/>
      <c r="D241" s="221"/>
      <c r="E241" s="223"/>
      <c r="F241" s="224"/>
      <c r="G241" s="221"/>
      <c r="H241" s="221"/>
      <c r="I241" s="221"/>
      <c r="J241" s="221"/>
      <c r="K241" s="221"/>
      <c r="L241" s="225"/>
      <c r="M241" s="226"/>
      <c r="N241" s="221"/>
      <c r="O241" s="221"/>
      <c r="P241" s="221"/>
      <c r="Q241" s="221"/>
    </row>
    <row r="242" s="66" customFormat="true" ht="23.25" hidden="false" customHeight="true" outlineLevel="0" collapsed="false">
      <c r="A242" s="220"/>
      <c r="B242" s="221"/>
      <c r="C242" s="222"/>
      <c r="D242" s="221"/>
      <c r="E242" s="223"/>
      <c r="F242" s="224"/>
      <c r="G242" s="221"/>
      <c r="H242" s="221"/>
      <c r="I242" s="221"/>
      <c r="J242" s="221"/>
      <c r="K242" s="221"/>
      <c r="L242" s="225"/>
      <c r="M242" s="226"/>
      <c r="N242" s="221"/>
      <c r="O242" s="221"/>
      <c r="P242" s="221"/>
      <c r="Q242" s="221"/>
    </row>
    <row r="243" s="66" customFormat="true" ht="23.25" hidden="false" customHeight="true" outlineLevel="0" collapsed="false">
      <c r="A243" s="220"/>
      <c r="B243" s="221"/>
      <c r="C243" s="222"/>
      <c r="D243" s="221"/>
      <c r="E243" s="223"/>
      <c r="F243" s="224"/>
      <c r="G243" s="221"/>
      <c r="H243" s="221"/>
      <c r="I243" s="221"/>
      <c r="J243" s="221"/>
      <c r="K243" s="221"/>
      <c r="L243" s="225"/>
      <c r="M243" s="226"/>
      <c r="N243" s="221"/>
      <c r="O243" s="221"/>
      <c r="P243" s="221"/>
      <c r="Q243" s="221"/>
    </row>
    <row r="244" s="66" customFormat="true" ht="23.25" hidden="false" customHeight="true" outlineLevel="0" collapsed="false">
      <c r="A244" s="220"/>
      <c r="B244" s="221"/>
      <c r="C244" s="222"/>
      <c r="D244" s="221"/>
      <c r="E244" s="223"/>
      <c r="F244" s="224"/>
      <c r="G244" s="221"/>
      <c r="H244" s="221"/>
      <c r="I244" s="221"/>
      <c r="J244" s="221"/>
      <c r="K244" s="221"/>
      <c r="L244" s="225"/>
      <c r="M244" s="226"/>
      <c r="N244" s="221"/>
      <c r="O244" s="221"/>
      <c r="P244" s="221"/>
      <c r="Q244" s="221"/>
    </row>
    <row r="245" s="66" customFormat="true" ht="23.25" hidden="false" customHeight="true" outlineLevel="0" collapsed="false">
      <c r="A245" s="220"/>
      <c r="B245" s="221"/>
      <c r="C245" s="222"/>
      <c r="D245" s="221"/>
      <c r="E245" s="223"/>
      <c r="F245" s="224"/>
      <c r="G245" s="221"/>
      <c r="H245" s="221"/>
      <c r="I245" s="221"/>
      <c r="J245" s="221"/>
      <c r="K245" s="221"/>
      <c r="L245" s="225"/>
      <c r="M245" s="226"/>
      <c r="N245" s="221"/>
      <c r="O245" s="221"/>
      <c r="P245" s="221"/>
      <c r="Q245" s="221"/>
    </row>
    <row r="246" s="66" customFormat="true" ht="23.25" hidden="false" customHeight="true" outlineLevel="0" collapsed="false">
      <c r="A246" s="220"/>
      <c r="B246" s="221"/>
      <c r="C246" s="222"/>
      <c r="D246" s="221"/>
      <c r="E246" s="223"/>
      <c r="F246" s="224"/>
      <c r="G246" s="221"/>
      <c r="H246" s="221"/>
      <c r="I246" s="221"/>
      <c r="J246" s="221"/>
      <c r="K246" s="221"/>
      <c r="L246" s="225"/>
      <c r="M246" s="226"/>
      <c r="N246" s="221"/>
      <c r="O246" s="221"/>
      <c r="P246" s="221"/>
      <c r="Q246" s="221"/>
    </row>
    <row r="247" s="66" customFormat="true" ht="23.25" hidden="false" customHeight="true" outlineLevel="0" collapsed="false">
      <c r="A247" s="220"/>
      <c r="B247" s="221"/>
      <c r="C247" s="222"/>
      <c r="D247" s="221"/>
      <c r="E247" s="223"/>
      <c r="F247" s="224"/>
      <c r="G247" s="221"/>
      <c r="H247" s="221"/>
      <c r="I247" s="221"/>
      <c r="J247" s="221"/>
      <c r="K247" s="221"/>
      <c r="L247" s="225"/>
      <c r="M247" s="226"/>
      <c r="N247" s="221"/>
      <c r="O247" s="221"/>
      <c r="P247" s="221"/>
      <c r="Q247" s="221"/>
    </row>
    <row r="248" s="66" customFormat="true" ht="23.25" hidden="false" customHeight="true" outlineLevel="0" collapsed="false">
      <c r="A248" s="220"/>
      <c r="B248" s="221"/>
      <c r="C248" s="222"/>
      <c r="D248" s="221"/>
      <c r="E248" s="223"/>
      <c r="F248" s="224"/>
      <c r="G248" s="221"/>
      <c r="H248" s="221"/>
      <c r="I248" s="221"/>
      <c r="J248" s="221"/>
      <c r="K248" s="221"/>
      <c r="L248" s="225"/>
      <c r="M248" s="226"/>
      <c r="N248" s="221"/>
      <c r="O248" s="221"/>
      <c r="P248" s="221"/>
      <c r="Q248" s="221"/>
    </row>
    <row r="249" s="66" customFormat="true" ht="23.25" hidden="false" customHeight="true" outlineLevel="0" collapsed="false">
      <c r="A249" s="227"/>
      <c r="C249" s="222"/>
      <c r="D249" s="228"/>
      <c r="E249" s="223"/>
      <c r="F249" s="224"/>
      <c r="G249" s="228"/>
      <c r="H249" s="228"/>
      <c r="I249" s="225"/>
      <c r="L249" s="225"/>
      <c r="M249" s="229"/>
    </row>
    <row r="250" s="66" customFormat="true" ht="23.25" hidden="false" customHeight="true" outlineLevel="0" collapsed="false">
      <c r="A250" s="227"/>
      <c r="C250" s="222"/>
      <c r="D250" s="228"/>
      <c r="E250" s="223"/>
      <c r="F250" s="224"/>
      <c r="G250" s="228"/>
      <c r="H250" s="228"/>
      <c r="I250" s="225"/>
      <c r="L250" s="225"/>
      <c r="M250" s="229"/>
    </row>
    <row r="251" s="66" customFormat="true" ht="23.25" hidden="false" customHeight="true" outlineLevel="0" collapsed="false">
      <c r="A251" s="227"/>
      <c r="C251" s="222"/>
      <c r="D251" s="228"/>
      <c r="E251" s="223"/>
      <c r="F251" s="224"/>
      <c r="G251" s="228"/>
      <c r="H251" s="228"/>
      <c r="I251" s="225"/>
      <c r="L251" s="225"/>
      <c r="M251" s="229"/>
    </row>
    <row r="252" s="66" customFormat="true" ht="23.25" hidden="false" customHeight="true" outlineLevel="0" collapsed="false">
      <c r="A252" s="227"/>
      <c r="C252" s="222"/>
      <c r="D252" s="228"/>
      <c r="E252" s="223"/>
      <c r="F252" s="224"/>
      <c r="G252" s="228"/>
      <c r="H252" s="228"/>
      <c r="I252" s="225"/>
      <c r="L252" s="225"/>
      <c r="M252" s="229"/>
    </row>
    <row r="253" s="66" customFormat="true" ht="23.25" hidden="false" customHeight="true" outlineLevel="0" collapsed="false">
      <c r="A253" s="227"/>
      <c r="C253" s="222"/>
      <c r="D253" s="228"/>
      <c r="E253" s="223"/>
      <c r="F253" s="224"/>
      <c r="G253" s="228"/>
      <c r="H253" s="228"/>
      <c r="I253" s="225"/>
      <c r="L253" s="225"/>
      <c r="M253" s="229"/>
    </row>
    <row r="254" s="66" customFormat="true" ht="23.25" hidden="false" customHeight="true" outlineLevel="0" collapsed="false">
      <c r="A254" s="227"/>
      <c r="C254" s="222"/>
      <c r="D254" s="228"/>
      <c r="E254" s="223"/>
      <c r="F254" s="224"/>
      <c r="G254" s="228"/>
      <c r="H254" s="228"/>
      <c r="I254" s="225"/>
      <c r="L254" s="225"/>
      <c r="M254" s="229"/>
    </row>
    <row r="255" s="66" customFormat="true" ht="23.25" hidden="false" customHeight="true" outlineLevel="0" collapsed="false">
      <c r="A255" s="227"/>
      <c r="C255" s="222"/>
      <c r="D255" s="228"/>
      <c r="E255" s="223"/>
      <c r="F255" s="224"/>
      <c r="G255" s="228"/>
      <c r="H255" s="228"/>
      <c r="I255" s="225"/>
      <c r="L255" s="225"/>
      <c r="M255" s="229"/>
    </row>
    <row r="256" s="66" customFormat="true" ht="23.25" hidden="false" customHeight="true" outlineLevel="0" collapsed="false">
      <c r="A256" s="227"/>
      <c r="C256" s="222"/>
      <c r="D256" s="228"/>
      <c r="E256" s="223"/>
      <c r="F256" s="224"/>
      <c r="G256" s="228"/>
      <c r="H256" s="228"/>
      <c r="I256" s="225"/>
      <c r="L256" s="225"/>
      <c r="M256" s="229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5:Q5"/>
  <mergeCells count="39">
    <mergeCell ref="A1:B1"/>
    <mergeCell ref="C1:J2"/>
    <mergeCell ref="K1:Q2"/>
    <mergeCell ref="A2:B2"/>
    <mergeCell ref="A3:B3"/>
    <mergeCell ref="A4:Q4"/>
    <mergeCell ref="B7:B8"/>
    <mergeCell ref="B9:B10"/>
    <mergeCell ref="I9:I10"/>
    <mergeCell ref="B11:B17"/>
    <mergeCell ref="L11:L17"/>
    <mergeCell ref="B18:B23"/>
    <mergeCell ref="L18:L23"/>
    <mergeCell ref="A24:A25"/>
    <mergeCell ref="B24:B25"/>
    <mergeCell ref="B26:B27"/>
    <mergeCell ref="I26:I27"/>
    <mergeCell ref="B31:B36"/>
    <mergeCell ref="L31:L36"/>
    <mergeCell ref="B38:B39"/>
    <mergeCell ref="I38:I39"/>
    <mergeCell ref="B40:B41"/>
    <mergeCell ref="I40:I41"/>
    <mergeCell ref="B42:B43"/>
    <mergeCell ref="I42:I43"/>
    <mergeCell ref="B44:B45"/>
    <mergeCell ref="I44:I45"/>
    <mergeCell ref="B46:B47"/>
    <mergeCell ref="B48:B49"/>
    <mergeCell ref="B56:B57"/>
    <mergeCell ref="B70:B71"/>
    <mergeCell ref="I70:I71"/>
    <mergeCell ref="B73:B75"/>
    <mergeCell ref="B76:B84"/>
    <mergeCell ref="B88:B89"/>
    <mergeCell ref="B91:B92"/>
    <mergeCell ref="B94:B99"/>
    <mergeCell ref="B102:B105"/>
    <mergeCell ref="B108:B10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9" manualBreakCount="9">
    <brk id="17" man="true" max="16383" min="0"/>
    <brk id="28" man="true" max="16383" min="0"/>
    <brk id="39" man="true" max="16383" min="0"/>
    <brk id="49" man="true" max="16383" min="0"/>
    <brk id="59" man="true" max="16383" min="0"/>
    <brk id="69" man="true" max="16383" min="0"/>
    <brk id="80" man="true" max="16383" min="0"/>
    <brk id="90" man="true" max="16383" min="0"/>
    <brk id="101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2024-09-23T08:33:25Z</dcterms:created>
  <dc:creator>jamal ZENTAR</dc:creator>
  <dc:description/>
  <dc:language>fr-FR</dc:language>
  <cp:lastModifiedBy/>
  <cp:lastPrinted>2026-01-02T15:21:19Z</cp:lastPrinted>
  <dcterms:modified xsi:type="dcterms:W3CDTF">2026-01-06T12:09:49Z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