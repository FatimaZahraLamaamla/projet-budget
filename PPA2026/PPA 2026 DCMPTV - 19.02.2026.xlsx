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i.louali\Desktop\"/>
    </mc:Choice>
  </mc:AlternateContent>
  <bookViews>
    <workbookView xWindow="0" yWindow="0" windowWidth="19200" windowHeight="11595" tabRatio="601" activeTab="1"/>
  </bookViews>
  <sheets>
    <sheet name="RECAP" sheetId="7" r:id="rId1"/>
    <sheet name="Contrat-Convention " sheetId="3" r:id="rId2"/>
    <sheet name="Marchés" sheetId="1" r:id="rId3"/>
    <sheet name="Bons de commande " sheetId="9" r:id="rId4"/>
    <sheet name="free lance recon (2)" sheetId="10" r:id="rId5"/>
    <sheet name="carte internationale" sheetId="4" r:id="rId6"/>
  </sheets>
  <definedNames>
    <definedName name="_xlnm.Print_Titles" localSheetId="1">'Contrat-Convention '!$6:$6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7" l="1"/>
  <c r="B14" i="7"/>
  <c r="B15" i="7"/>
  <c r="B18" i="9"/>
  <c r="B11" i="7"/>
  <c r="H12" i="3"/>
  <c r="B22" i="3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18" i="10"/>
  <c r="B13" i="3"/>
  <c r="B11" i="3"/>
  <c r="B12" i="3"/>
  <c r="B9" i="3"/>
  <c r="B21" i="3"/>
  <c r="B23" i="3"/>
  <c r="B10" i="3"/>
  <c r="B8" i="3"/>
  <c r="B7" i="3"/>
  <c r="B9" i="4"/>
  <c r="B15" i="1"/>
  <c r="B16" i="3"/>
  <c r="C16" i="3"/>
  <c r="C14" i="3"/>
  <c r="C24" i="3"/>
  <c r="C18" i="3"/>
  <c r="C19" i="3"/>
  <c r="C20" i="3"/>
  <c r="C17" i="3"/>
  <c r="C15" i="3"/>
</calcChain>
</file>

<file path=xl/sharedStrings.xml><?xml version="1.0" encoding="utf-8"?>
<sst xmlns="http://schemas.openxmlformats.org/spreadsheetml/2006/main" count="232" uniqueCount="167">
  <si>
    <t>Lieu d'execution</t>
  </si>
  <si>
    <t>Mode de passation</t>
  </si>
  <si>
    <t>Période prévue 
pour le lancement</t>
  </si>
  <si>
    <t>Budget Prévisionnel (TTC)</t>
  </si>
  <si>
    <t>ANNEE</t>
  </si>
  <si>
    <t>OBJET
(le plus détaillé possible)</t>
  </si>
  <si>
    <t>Période d'exécution</t>
  </si>
  <si>
    <t>PME</t>
  </si>
  <si>
    <t>Budget 
Prévisionnel HT</t>
  </si>
  <si>
    <t>Prestataire</t>
  </si>
  <si>
    <t>…...................</t>
  </si>
  <si>
    <t>FC MEDIA</t>
  </si>
  <si>
    <t>MAROCMETRIE</t>
  </si>
  <si>
    <t>L'Achat d’espaces publicitaires sur la presse digitale et la presse écrite pour la promotion des Programmes de Ramadan 2024, FORJA, Grille rentrée</t>
  </si>
  <si>
    <t xml:space="preserve">Infogérance d'un système de veille digitale stratégique et opérationel pour le compte de la SNRT et pour l'ensemble des services web et digitaux </t>
  </si>
  <si>
    <t>Insertions SNRT sur supports  divers (exemple : revue de la SMAP, revue de la gendarmerie; jardin  des héspérides) + autres</t>
  </si>
  <si>
    <t>ATH trophée Hassan II de golf 2024</t>
  </si>
  <si>
    <t>ATH</t>
  </si>
  <si>
    <t>ASSOCIATION MAROC CULTURES</t>
  </si>
  <si>
    <t>Novembre</t>
  </si>
  <si>
    <t>Février</t>
  </si>
  <si>
    <t>Juin</t>
  </si>
  <si>
    <t>ZAKARIA TIBARI</t>
  </si>
  <si>
    <t>Chef de produit digital</t>
  </si>
  <si>
    <t>Monteur digital et cameraman</t>
  </si>
  <si>
    <t>Monteur</t>
  </si>
  <si>
    <t>BASMA WAJIB</t>
  </si>
  <si>
    <t>FFIFM</t>
  </si>
  <si>
    <t>Non</t>
  </si>
  <si>
    <t>Rabat</t>
  </si>
  <si>
    <t>Groupement</t>
  </si>
  <si>
    <t xml:space="preserve">Prise de vue et shooting des comédiens lors des tournages de la SNRT </t>
  </si>
  <si>
    <t>La souscription par la SNRT au service de mesures d’audience Radiomat,  ainsi que la souscription au service bandes annonce</t>
  </si>
  <si>
    <t>Conception de bandes annonces pour la promotion des programmes de la grille de la chaîne Al Aoula</t>
  </si>
  <si>
    <t>Diffusion de programmes avec mécanisme de vote tel que Stand up ,lalla Laarossa,  animation antenne avec des jeux sms /promotion des programmes et services de la SNRT (VOD)</t>
  </si>
  <si>
    <t>Goodies et production de vêtements brandés  SNRT vidéo mobile/chaîne</t>
  </si>
  <si>
    <t xml:space="preserve">Création musicale  ou voix off pour programmes tv , radio et web pour les programmes phares SNRT - WEB </t>
  </si>
  <si>
    <t>Particpation aux frais de prodcution de la mesure d'audience</t>
  </si>
  <si>
    <t>Justification de besoin</t>
  </si>
  <si>
    <t>Abonnement à l'interface d'exploitation de la mesure d'audiance</t>
  </si>
  <si>
    <t>Location écrans leds pour la promotion 
des produits et services SNRT</t>
  </si>
  <si>
    <t>L'achat d’espaces publicitaires sur les réseaux sociaux Facebook, Instagram, Tiktok et Youtube pour  acquisition de trafic pour le portail et VOD + la promotion des produits et services de la SNRT et (programmes du mois de  Ramadan2024 ET campagne lancement et maintien plateforme VOD…..)</t>
  </si>
  <si>
    <t>L'achat d’espaces publicitaires sur les réseaux sociaux Facebook, Instagram, Tiktok et Youtube pour  acquisition de trafic pour le portail et VOD + la promotion des produits et services de la SNRT</t>
  </si>
  <si>
    <t xml:space="preserve">Insertions SNRT sur supports  divers </t>
  </si>
  <si>
    <t>………………..</t>
  </si>
  <si>
    <t xml:space="preserve">OBJET
</t>
  </si>
  <si>
    <t xml:space="preserve">
OBJET
</t>
  </si>
  <si>
    <t>prise de vue pendant les tournages et contribution artistique à la conception des intentions de shooting et des visuels créatifs validés par la DMPTV</t>
  </si>
  <si>
    <t>TOTAL BON DE COMMANDE</t>
  </si>
  <si>
    <t>Appel d'offres ouvert</t>
  </si>
  <si>
    <t>TOTAL PRESTATIONS MARCHES</t>
  </si>
  <si>
    <t>Création musicale ou voix off pour programmes tv , radio et web</t>
  </si>
  <si>
    <t>MARS</t>
  </si>
  <si>
    <t>AVANT RAMADAN
et DURANT L'ANNEE</t>
  </si>
  <si>
    <t xml:space="preserve">SMS et  vote autour des programmes </t>
  </si>
  <si>
    <t>Supervision des votes (notaire)</t>
  </si>
  <si>
    <t>Deuxième trimestre</t>
  </si>
  <si>
    <t>Production de spot publicitaire TV pour la promotion des produits et 
services de la SNRT</t>
  </si>
  <si>
    <t>Mesurer les audiences des chaînes et des programmes TV du 
groupe SNRT</t>
  </si>
  <si>
    <t>La location des écrans Leds pour la promotion des produits et services SNRT sur les villes  de : Casablanca, Rabat et Marrakech, Agadir et Tanger  ainsi que la location d’un écran géant Twin center (casablanca)</t>
  </si>
  <si>
    <t>Location écrans sur Bus pour la promotion des programmes du mois de Ramadan 2024 ET autres produits et services de la SNRT</t>
  </si>
  <si>
    <t>Location écrans sur Bus pour la promotion des programmes du mois de Ramadan 2024 et 
autres produits et services de la SNRT</t>
  </si>
  <si>
    <t>Achat d'espace radio promotion produits et services de la SNRT</t>
  </si>
  <si>
    <t>promotion produits et services de la SNRT</t>
  </si>
  <si>
    <t>MAWAZINE 2025</t>
  </si>
  <si>
    <t>ATH trophée Hassan II de golf 2025</t>
  </si>
  <si>
    <t>FIFM 2025</t>
  </si>
  <si>
    <t>Acquisition des programmes</t>
  </si>
  <si>
    <t>Enrichir la grille des programmes</t>
  </si>
  <si>
    <t>TOTAL CONTRATS HORS FREE LANCES</t>
  </si>
  <si>
    <t>N°</t>
  </si>
  <si>
    <t>Nom du prestataire</t>
  </si>
  <si>
    <t>Mission</t>
  </si>
  <si>
    <t>Montant Mensuel 
brut</t>
  </si>
  <si>
    <t>Nombre
de mois</t>
  </si>
  <si>
    <t>Montant 
Total en DH Brut</t>
  </si>
  <si>
    <t>21 428,57</t>
  </si>
  <si>
    <t>GHISLAINE MERZOUGUI</t>
  </si>
  <si>
    <t>Enregistrement des voix off en arabe des bandes annonces TV et radio Al Aoula</t>
  </si>
  <si>
    <t>M’BARK AGNAOU</t>
  </si>
  <si>
    <t>MSIOUAS DRISS</t>
  </si>
  <si>
    <t>Community manager</t>
  </si>
  <si>
    <t xml:space="preserve">ABDELOUAHED JABBAR </t>
  </si>
  <si>
    <t>YASSINE KIRAMI</t>
  </si>
  <si>
    <t>SAFAA SABRI</t>
  </si>
  <si>
    <t>Rédacteur en arabe</t>
  </si>
  <si>
    <t xml:space="preserve">SARAH MAACHE </t>
  </si>
  <si>
    <t>Rédactrice en Français</t>
  </si>
  <si>
    <t xml:space="preserve">SAMI ESSAIFI </t>
  </si>
  <si>
    <t>Content lead digital</t>
  </si>
  <si>
    <t>ANAS ESSAOUDI</t>
  </si>
  <si>
    <t xml:space="preserve">Monteur </t>
  </si>
  <si>
    <t>HAJAR LAMRANI</t>
  </si>
  <si>
    <t>Promotion des produits et services de la SNRT</t>
  </si>
  <si>
    <t>Partenariat</t>
  </si>
  <si>
    <t>Année</t>
  </si>
  <si>
    <t>……</t>
  </si>
  <si>
    <t>Conclure des partenariats pour promouvoir la 
notoriété de la SNRT</t>
  </si>
  <si>
    <t>Réalisation d'études qualitatives et quantitatives marketing pour la SNRT</t>
  </si>
  <si>
    <t xml:space="preserve">3 ans </t>
  </si>
  <si>
    <t>Maintenance du portail de la SNRT</t>
  </si>
  <si>
    <t>12 mois</t>
  </si>
  <si>
    <t>Production de flags et bonnettes pour les micros des chaînes TV et radios de 
la SNRT</t>
  </si>
  <si>
    <t>4 mois</t>
  </si>
  <si>
    <t>Location de supports d'affichage urbain 4x3 pour la promotion des produits et 
services de la SNRT</t>
  </si>
  <si>
    <t xml:space="preserve">Décors virtuels des chaînes de la SNRT </t>
  </si>
  <si>
    <t>……………..</t>
  </si>
  <si>
    <t>Rabat/Casablanca</t>
  </si>
  <si>
    <t xml:space="preserve">Abonnement à :
des outils d'intelligence artificielle pour la production et l'exploitation
Acquisition des outils 
d'animation pour spots
publicitaire </t>
  </si>
  <si>
    <t>Acquisition d'outils de gestion de réseaux sociaux</t>
  </si>
  <si>
    <t>Acquisition d'outils de visualisation des données</t>
  </si>
  <si>
    <t>TOTAL CARTE INTERNATIONALE</t>
  </si>
  <si>
    <t xml:space="preserve">TOTAL PRESTATIONS CONTRATS </t>
  </si>
  <si>
    <t>TOTAL PRESTATIONS BC</t>
  </si>
  <si>
    <t>TOTAL NOUVEAUX FREE LANCE</t>
  </si>
  <si>
    <t>Observations</t>
  </si>
  <si>
    <t>Type de support d'engagement</t>
  </si>
  <si>
    <t>Reliquat prestataires reconduction</t>
  </si>
  <si>
    <t>Montant en DH TTC</t>
  </si>
  <si>
    <t>TOTAL RECONDUCTION FREE LANCE</t>
  </si>
  <si>
    <t xml:space="preserve">TOTAL CARTE INETRNATIONALE </t>
  </si>
  <si>
    <t xml:space="preserve">Goodies , stylisme brandés SNRT'  </t>
  </si>
  <si>
    <t xml:space="preserve">Stand des évenments à caractère stratégique tel le FIFM ou le trophée Hassan II de Golf /ADS/ Laayoune </t>
  </si>
  <si>
    <t>Anciennes et nouvelles émissions</t>
  </si>
  <si>
    <t>Royaume du 
Maroc</t>
  </si>
  <si>
    <t>Quatrième trimestre</t>
  </si>
  <si>
    <r>
      <t xml:space="preserve">PROGRAMME PREVISIONNEL DES ACHATS 2026 / </t>
    </r>
    <r>
      <rPr>
        <b/>
        <sz val="14"/>
        <color theme="4"/>
        <rFont val="Calibri"/>
        <family val="2"/>
        <scheme val="minor"/>
      </rPr>
      <t>CONTRATS</t>
    </r>
  </si>
  <si>
    <t>DIRECTION CENTRALE MARKETING ET PROGRAMMATION TV</t>
  </si>
  <si>
    <t>Nouveau Partenariat exceptionnel ATH / SNRT</t>
  </si>
  <si>
    <t>MAI</t>
  </si>
  <si>
    <t xml:space="preserve"> Sponsoring à l'occasion du 50ème édition du Trophée Hassan II et à la 29ème édition de la Coupe Lalla Meryem.</t>
  </si>
  <si>
    <r>
      <t xml:space="preserve">PROGRAMME PREVISIONNEL DES ACHATS 2026 / </t>
    </r>
    <r>
      <rPr>
        <b/>
        <sz val="12"/>
        <color theme="4"/>
        <rFont val="Calibri"/>
        <family val="2"/>
        <scheme val="minor"/>
      </rPr>
      <t>MARCHES</t>
    </r>
  </si>
  <si>
    <r>
      <t>PROGRAMME PREVISIONNEL DES ACHATS 2026 /</t>
    </r>
    <r>
      <rPr>
        <b/>
        <sz val="12"/>
        <color theme="4"/>
        <rFont val="Calibri"/>
        <family val="2"/>
        <scheme val="minor"/>
      </rPr>
      <t xml:space="preserve"> BON DE COMMANDE</t>
    </r>
  </si>
  <si>
    <t xml:space="preserve">Stratégie Marketing, conseil en communication, exécution et production des campagnes </t>
  </si>
  <si>
    <t>Décor  JT Al Aoula , Laayoune, Tamazight
Habillage chaînes SNRT</t>
  </si>
  <si>
    <t>Production de spots / films publicitaires pour la promotion des produits et 
services de la SNRT</t>
  </si>
  <si>
    <t xml:space="preserve">Réalisation Etude Marketing </t>
  </si>
  <si>
    <t xml:space="preserve">Année </t>
  </si>
  <si>
    <t>Evaluation des programmes et / ou de plateformes de
la SNRT</t>
  </si>
  <si>
    <t>Prestation de conception et fabrication de meubles pour différents décors</t>
  </si>
  <si>
    <t>Maroc</t>
  </si>
  <si>
    <t>IDRISS TAZARNI</t>
  </si>
  <si>
    <t>Rédacteur web 
sénior en arabe</t>
  </si>
  <si>
    <t>HOUSSAM MOUILAH</t>
  </si>
  <si>
    <t xml:space="preserve">Montant Total de la reconduction </t>
  </si>
  <si>
    <t>*****</t>
  </si>
  <si>
    <t xml:space="preserve"> pour la production et l'exploitation
Acquisition des outils 
d'animation pour spots
publicitaire </t>
  </si>
  <si>
    <r>
      <t>PROGRAMME PREVISIONNEL DES ACHATS 2026 /</t>
    </r>
    <r>
      <rPr>
        <b/>
        <sz val="12"/>
        <color theme="4"/>
        <rFont val="Calibri"/>
        <family val="2"/>
        <scheme val="minor"/>
      </rPr>
      <t xml:space="preserve"> CARTE INTERNATIONALE</t>
    </r>
  </si>
  <si>
    <t>RECAPITUALITIF PPA 2026 de la DCMPTV</t>
  </si>
  <si>
    <t>Fourniture et impression des agendas / Travaux d'impression</t>
  </si>
  <si>
    <t xml:space="preserve">Fourniture et pose du mobilier d'exposition pour le stand SNRT 
Réhabilitation de stand </t>
  </si>
  <si>
    <t>TOTAL  PPA en DH TTC</t>
  </si>
  <si>
    <t xml:space="preserve">Montant accordé
à la reconduction / remplacement est de 
3 300 000,00
</t>
  </si>
  <si>
    <t>L'intitulé sur le tableau du budget
"Assurer une présence en ligne
efficace et sécurisée, reflétant
l'image et les standards de 
qualité"</t>
  </si>
  <si>
    <t>Supervision des votes</t>
  </si>
  <si>
    <t>meubles pour des décors des chaînes de la SNRT</t>
  </si>
  <si>
    <t xml:space="preserve">Prestation de conception et facrication de décor  </t>
  </si>
  <si>
    <t xml:space="preserve">Janvier 2026
Année </t>
  </si>
  <si>
    <t>……………</t>
  </si>
  <si>
    <t>GLONER</t>
  </si>
  <si>
    <t>Reconduction  des  prestataires de la DCMPTV au titre de l'année  2026</t>
  </si>
  <si>
    <t>BUDGET ACCORDE DCMPTV EN DH TTC</t>
  </si>
  <si>
    <t>TOTAL PPA en DH TTC</t>
  </si>
  <si>
    <t>TOTAL GENERAL PPA EN DH TTC</t>
  </si>
  <si>
    <t>TOTAL PPA - Partenariat exceptionnel SNRT ATH non planifié</t>
  </si>
  <si>
    <t>TOTAL GENERAL PPA EN DH TTC sans 
le partenariat exceptionnel SNRT ATH</t>
  </si>
  <si>
    <t>Y/C Partenariat exceptionnel
SNRT ATH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</si>
</sst>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-* #,##0.00\ _D_H_-;\-* #,##0.00\ _D_H_-;_-* &quot;-&quot;??\ _D_H_-;_-@_-"/>
    <numFmt numFmtId="165" formatCode="_ * #,##0.00_)\ _$_ ;_ * \(#,##0.00\)\ _$_ ;_ * &quot;-&quot;??_)\ _$_ ;_ @_ "/>
  </numFmts>
  <fonts count="3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Book Antiqua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Book Antiqua"/>
      <family val="1"/>
    </font>
    <font>
      <b/>
      <sz val="14"/>
      <color theme="4" tint="-0.499984740745262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2"/>
      <color theme="4" tint="-0.49998474074526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338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8" fillId="0" borderId="0" applyNumberFormat="0" applyFill="0">
      <alignment horizontal="center" vertical="center" wrapText="1"/>
    </xf>
    <xf numFmtId="164" fontId="9" fillId="0" borderId="0" applyFont="0" applyFill="0" applyBorder="0" applyAlignment="0" applyProtection="0"/>
    <xf numFmtId="0" fontId="8" fillId="0" borderId="0" applyNumberFormat="0" applyFill="0">
      <alignment horizontal="center" vertical="center" wrapText="1"/>
    </xf>
    <xf numFmtId="43" fontId="7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wrapText="1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vertical="center"/>
    </xf>
    <xf numFmtId="0" fontId="0" fillId="3" borderId="0" xfId="0" applyFill="1"/>
    <xf numFmtId="0" fontId="11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0" fontId="14" fillId="5" borderId="6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3" xfId="0" applyFont="1" applyFill="1" applyBorder="1" applyAlignment="1">
      <alignment vertical="center"/>
    </xf>
    <xf numFmtId="2" fontId="15" fillId="0" borderId="1" xfId="0" applyNumberFormat="1" applyFont="1" applyBorder="1" applyAlignment="1">
      <alignment horizontal="left" vertical="center" wrapText="1"/>
    </xf>
    <xf numFmtId="2" fontId="15" fillId="3" borderId="1" xfId="0" applyNumberFormat="1" applyFont="1" applyFill="1" applyBorder="1" applyAlignment="1">
      <alignment horizontal="left" vertical="center" wrapText="1"/>
    </xf>
    <xf numFmtId="4" fontId="18" fillId="0" borderId="1" xfId="0" applyNumberFormat="1" applyFont="1" applyBorder="1" applyAlignment="1">
      <alignment vertical="center"/>
    </xf>
    <xf numFmtId="2" fontId="14" fillId="5" borderId="1" xfId="0" applyNumberFormat="1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10" fillId="0" borderId="11" xfId="334" applyNumberFormat="1" applyFont="1" applyFill="1" applyBorder="1" applyAlignment="1">
      <alignment horizontal="left" vertical="center" wrapText="1"/>
    </xf>
    <xf numFmtId="165" fontId="10" fillId="3" borderId="11" xfId="0" applyNumberFormat="1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4" fontId="10" fillId="0" borderId="11" xfId="335" applyNumberFormat="1" applyFont="1" applyFill="1" applyBorder="1" applyAlignment="1">
      <alignment horizontal="center" vertical="center" wrapText="1"/>
    </xf>
    <xf numFmtId="4" fontId="10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334" applyNumberFormat="1" applyFont="1" applyFill="1" applyBorder="1" applyAlignment="1">
      <alignment horizontal="left" vertical="center" wrapText="1"/>
    </xf>
    <xf numFmtId="49" fontId="10" fillId="0" borderId="11" xfId="334" applyNumberFormat="1" applyFont="1" applyFill="1" applyBorder="1">
      <alignment horizontal="center" vertical="center" wrapText="1"/>
    </xf>
    <xf numFmtId="4" fontId="10" fillId="0" borderId="15" xfId="0" applyNumberFormat="1" applyFont="1" applyBorder="1" applyAlignment="1">
      <alignment horizontal="center" vertical="center"/>
    </xf>
    <xf numFmtId="2" fontId="16" fillId="6" borderId="1" xfId="0" applyNumberFormat="1" applyFont="1" applyFill="1" applyBorder="1" applyAlignment="1">
      <alignment horizontal="left" vertical="center" wrapText="1"/>
    </xf>
    <xf numFmtId="2" fontId="15" fillId="0" borderId="1" xfId="0" applyNumberFormat="1" applyFon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19" fillId="0" borderId="1" xfId="0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4" fontId="0" fillId="0" borderId="1" xfId="0" applyNumberFormat="1" applyFont="1" applyFill="1" applyBorder="1" applyAlignment="1">
      <alignment vertical="center"/>
    </xf>
    <xf numFmtId="0" fontId="0" fillId="0" borderId="1" xfId="0" applyFont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43" fontId="21" fillId="0" borderId="1" xfId="333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wrapText="1"/>
    </xf>
    <xf numFmtId="43" fontId="0" fillId="0" borderId="0" xfId="0" applyNumberFormat="1"/>
    <xf numFmtId="4" fontId="0" fillId="3" borderId="1" xfId="0" applyNumberFormat="1" applyFont="1" applyFill="1" applyBorder="1" applyAlignment="1">
      <alignment vertical="center"/>
    </xf>
    <xf numFmtId="4" fontId="0" fillId="0" borderId="0" xfId="0" applyNumberFormat="1"/>
    <xf numFmtId="43" fontId="21" fillId="0" borderId="0" xfId="333" applyFont="1" applyFill="1" applyBorder="1" applyAlignment="1">
      <alignment horizontal="center" vertical="center" wrapText="1"/>
    </xf>
    <xf numFmtId="43" fontId="21" fillId="0" borderId="18" xfId="333" applyFont="1" applyFill="1" applyBorder="1" applyAlignment="1">
      <alignment horizontal="center" vertical="center" wrapText="1"/>
    </xf>
    <xf numFmtId="0" fontId="10" fillId="0" borderId="15" xfId="334" applyNumberFormat="1" applyFont="1" applyFill="1" applyBorder="1" applyAlignment="1">
      <alignment horizontal="left" vertical="center" wrapText="1"/>
    </xf>
    <xf numFmtId="49" fontId="10" fillId="0" borderId="15" xfId="334" applyNumberFormat="1" applyFont="1" applyFill="1" applyBorder="1">
      <alignment horizontal="center" vertical="center" wrapText="1"/>
    </xf>
    <xf numFmtId="4" fontId="18" fillId="3" borderId="1" xfId="0" applyNumberFormat="1" applyFont="1" applyFill="1" applyBorder="1" applyAlignment="1">
      <alignment vertical="center"/>
    </xf>
    <xf numFmtId="2" fontId="15" fillId="3" borderId="1" xfId="0" applyNumberFormat="1" applyFont="1" applyFill="1" applyBorder="1" applyAlignment="1">
      <alignment vertical="center" wrapText="1"/>
    </xf>
    <xf numFmtId="4" fontId="0" fillId="0" borderId="0" xfId="0" applyNumberFormat="1" applyAlignment="1">
      <alignment horizontal="center"/>
    </xf>
    <xf numFmtId="0" fontId="10" fillId="3" borderId="11" xfId="334" applyNumberFormat="1" applyFont="1" applyFill="1" applyBorder="1" applyAlignment="1">
      <alignment horizontal="left" vertical="center" wrapText="1"/>
    </xf>
    <xf numFmtId="4" fontId="10" fillId="3" borderId="11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/>
    </xf>
    <xf numFmtId="4" fontId="3" fillId="3" borderId="1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2" fillId="3" borderId="11" xfId="0" applyFont="1" applyFill="1" applyBorder="1" applyAlignment="1">
      <alignment horizontal="justify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justify" vertical="center" wrapText="1"/>
    </xf>
    <xf numFmtId="0" fontId="24" fillId="0" borderId="1" xfId="0" applyFont="1" applyBorder="1" applyAlignment="1">
      <alignment horizontal="justify" vertical="center" wrapText="1"/>
    </xf>
    <xf numFmtId="0" fontId="24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vertical="center"/>
    </xf>
    <xf numFmtId="4" fontId="24" fillId="0" borderId="1" xfId="0" applyNumberFormat="1" applyFont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justify" vertical="center" wrapText="1"/>
    </xf>
    <xf numFmtId="0" fontId="24" fillId="0" borderId="1" xfId="0" applyFont="1" applyFill="1" applyBorder="1" applyAlignment="1">
      <alignment horizontal="justify" vertical="center" wrapText="1"/>
    </xf>
    <xf numFmtId="4" fontId="24" fillId="0" borderId="1" xfId="0" applyNumberFormat="1" applyFont="1" applyFill="1" applyBorder="1" applyAlignment="1">
      <alignment horizontal="center" vertical="center" wrapText="1"/>
    </xf>
    <xf numFmtId="4" fontId="25" fillId="4" borderId="1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3" fillId="3" borderId="1" xfId="0" applyFont="1" applyFill="1" applyBorder="1" applyAlignment="1">
      <alignment horizontal="justify" vertical="center" wrapText="1"/>
    </xf>
    <xf numFmtId="0" fontId="24" fillId="3" borderId="1" xfId="0" applyFont="1" applyFill="1" applyBorder="1" applyAlignment="1">
      <alignment horizontal="justify" vertical="center" wrapText="1"/>
    </xf>
    <xf numFmtId="4" fontId="24" fillId="3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vertical="center"/>
    </xf>
    <xf numFmtId="0" fontId="0" fillId="10" borderId="1" xfId="0" applyFill="1" applyBorder="1" applyAlignment="1">
      <alignment wrapText="1"/>
    </xf>
    <xf numFmtId="0" fontId="17" fillId="10" borderId="1" xfId="0" applyFont="1" applyFill="1" applyBorder="1" applyAlignment="1">
      <alignment vertical="center"/>
    </xf>
    <xf numFmtId="4" fontId="2" fillId="4" borderId="1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29" fillId="0" borderId="1" xfId="0" applyFont="1" applyFill="1" applyBorder="1" applyAlignment="1">
      <alignment horizontal="center" vertical="center" wrapText="1"/>
    </xf>
    <xf numFmtId="4" fontId="2" fillId="4" borderId="1" xfId="0" applyNumberFormat="1" applyFont="1" applyFill="1" applyBorder="1"/>
    <xf numFmtId="4" fontId="25" fillId="3" borderId="1" xfId="0" applyNumberFormat="1" applyFont="1" applyFill="1" applyBorder="1" applyAlignment="1">
      <alignment horizontal="center" vertical="center"/>
    </xf>
    <xf numFmtId="4" fontId="26" fillId="3" borderId="0" xfId="0" applyNumberFormat="1" applyFont="1" applyFill="1" applyBorder="1" applyAlignment="1"/>
    <xf numFmtId="4" fontId="25" fillId="3" borderId="0" xfId="0" applyNumberFormat="1" applyFont="1" applyFill="1" applyBorder="1" applyAlignment="1">
      <alignment horizontal="center" vertical="center"/>
    </xf>
    <xf numFmtId="0" fontId="0" fillId="3" borderId="0" xfId="0" applyFill="1" applyBorder="1"/>
    <xf numFmtId="4" fontId="25" fillId="3" borderId="19" xfId="0" applyNumberFormat="1" applyFont="1" applyFill="1" applyBorder="1" applyAlignment="1">
      <alignment horizontal="center" vertical="center"/>
    </xf>
    <xf numFmtId="4" fontId="30" fillId="12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19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4" fontId="28" fillId="4" borderId="1" xfId="0" applyNumberFormat="1" applyFont="1" applyFill="1" applyBorder="1" applyAlignment="1">
      <alignment horizontal="center" vertical="center"/>
    </xf>
    <xf numFmtId="0" fontId="33" fillId="0" borderId="1" xfId="0" applyFont="1" applyBorder="1"/>
    <xf numFmtId="0" fontId="10" fillId="6" borderId="11" xfId="334" applyNumberFormat="1" applyFont="1" applyFill="1" applyBorder="1" applyAlignment="1">
      <alignment horizontal="left" vertical="center" wrapText="1"/>
    </xf>
    <xf numFmtId="4" fontId="10" fillId="6" borderId="11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/>
    </xf>
    <xf numFmtId="4" fontId="2" fillId="6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4" fontId="30" fillId="12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/>
    <xf numFmtId="4" fontId="35" fillId="4" borderId="1" xfId="0" applyNumberFormat="1" applyFont="1" applyFill="1" applyBorder="1" applyAlignment="1">
      <alignment horizontal="center" vertical="center"/>
    </xf>
    <xf numFmtId="4" fontId="18" fillId="0" borderId="1" xfId="0" applyNumberFormat="1" applyFont="1" applyBorder="1" applyAlignment="1">
      <alignment vertical="center" wrapText="1"/>
    </xf>
    <xf numFmtId="0" fontId="36" fillId="3" borderId="1" xfId="0" applyFont="1" applyFill="1" applyBorder="1" applyAlignment="1">
      <alignment vertical="center"/>
    </xf>
    <xf numFmtId="0" fontId="36" fillId="0" borderId="1" xfId="0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center" vertical="center" wrapText="1"/>
    </xf>
    <xf numFmtId="0" fontId="34" fillId="9" borderId="20" xfId="0" applyFont="1" applyFill="1" applyBorder="1" applyAlignment="1">
      <alignment horizontal="center" vertical="center"/>
    </xf>
    <xf numFmtId="0" fontId="34" fillId="9" borderId="21" xfId="0" applyFont="1" applyFill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28" fillId="11" borderId="2" xfId="0" applyFont="1" applyFill="1" applyBorder="1" applyAlignment="1">
      <alignment horizontal="left"/>
    </xf>
    <xf numFmtId="0" fontId="28" fillId="11" borderId="3" xfId="0" applyFont="1" applyFill="1" applyBorder="1" applyAlignment="1">
      <alignment horizontal="left"/>
    </xf>
    <xf numFmtId="0" fontId="28" fillId="11" borderId="4" xfId="0" applyFont="1" applyFill="1" applyBorder="1" applyAlignment="1">
      <alignment horizontal="left"/>
    </xf>
    <xf numFmtId="0" fontId="25" fillId="4" borderId="11" xfId="334" applyNumberFormat="1" applyFont="1" applyFill="1" applyBorder="1" applyAlignment="1">
      <alignment horizontal="left" vertical="center" wrapText="1"/>
    </xf>
    <xf numFmtId="0" fontId="12" fillId="2" borderId="12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  <xf numFmtId="0" fontId="12" fillId="2" borderId="14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20" fillId="0" borderId="16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32" fillId="8" borderId="2" xfId="0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 vertical="center"/>
    </xf>
    <xf numFmtId="0" fontId="32" fillId="8" borderId="4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/>
    </xf>
    <xf numFmtId="0" fontId="31" fillId="9" borderId="3" xfId="0" applyFont="1" applyFill="1" applyBorder="1" applyAlignment="1">
      <alignment horizontal="center"/>
    </xf>
    <xf numFmtId="0" fontId="31" fillId="9" borderId="4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 vertical="center" wrapText="1"/>
    </xf>
    <xf numFmtId="0" fontId="22" fillId="7" borderId="16" xfId="0" applyFont="1" applyFill="1" applyBorder="1" applyAlignment="1">
      <alignment horizontal="center" vertical="center" wrapText="1"/>
    </xf>
    <xf numFmtId="0" fontId="22" fillId="7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4" fontId="35" fillId="13" borderId="1" xfId="0" applyNumberFormat="1" applyFont="1" applyFill="1" applyBorder="1" applyAlignment="1">
      <alignment horizontal="center" vertical="center"/>
    </xf>
  </cellXfs>
  <cellStyles count="338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89" builtinId="8" hidden="1"/>
    <cellStyle name="Lien hypertexte" xfId="91" builtinId="8" hidden="1"/>
    <cellStyle name="Lien hypertexte" xfId="93" builtinId="8" hidden="1"/>
    <cellStyle name="Lien hypertexte" xfId="95" builtinId="8" hidden="1"/>
    <cellStyle name="Lien hypertexte" xfId="97" builtinId="8" hidden="1"/>
    <cellStyle name="Lien hypertexte" xfId="99" builtinId="8" hidden="1"/>
    <cellStyle name="Lien hypertexte" xfId="101" builtinId="8" hidden="1"/>
    <cellStyle name="Lien hypertexte" xfId="103" builtinId="8" hidden="1"/>
    <cellStyle name="Lien hypertexte" xfId="105" builtinId="8" hidden="1"/>
    <cellStyle name="Lien hypertexte" xfId="107" builtinId="8" hidden="1"/>
    <cellStyle name="Lien hypertexte" xfId="109" builtinId="8" hidden="1"/>
    <cellStyle name="Lien hypertexte" xfId="111" builtinId="8" hidden="1"/>
    <cellStyle name="Lien hypertexte" xfId="113" builtinId="8" hidden="1"/>
    <cellStyle name="Lien hypertexte" xfId="115" builtinId="8" hidden="1"/>
    <cellStyle name="Lien hypertexte" xfId="117" builtinId="8" hidden="1"/>
    <cellStyle name="Lien hypertexte" xfId="119" builtinId="8" hidden="1"/>
    <cellStyle name="Lien hypertexte" xfId="121" builtinId="8" hidden="1"/>
    <cellStyle name="Lien hypertexte" xfId="123" builtinId="8" hidden="1"/>
    <cellStyle name="Lien hypertexte" xfId="125" builtinId="8" hidden="1"/>
    <cellStyle name="Lien hypertexte" xfId="127" builtinId="8" hidden="1"/>
    <cellStyle name="Lien hypertexte" xfId="129" builtinId="8" hidden="1"/>
    <cellStyle name="Lien hypertexte" xfId="131" builtinId="8" hidden="1"/>
    <cellStyle name="Lien hypertexte" xfId="133" builtinId="8" hidden="1"/>
    <cellStyle name="Lien hypertexte" xfId="135" builtinId="8" hidden="1"/>
    <cellStyle name="Lien hypertexte" xfId="137" builtinId="8" hidden="1"/>
    <cellStyle name="Lien hypertexte" xfId="139" builtinId="8" hidden="1"/>
    <cellStyle name="Lien hypertexte" xfId="141" builtinId="8" hidden="1"/>
    <cellStyle name="Lien hypertexte" xfId="143" builtinId="8" hidden="1"/>
    <cellStyle name="Lien hypertexte" xfId="145" builtinId="8" hidden="1"/>
    <cellStyle name="Lien hypertexte" xfId="147" builtinId="8" hidden="1"/>
    <cellStyle name="Lien hypertexte" xfId="149" builtinId="8" hidden="1"/>
    <cellStyle name="Lien hypertexte" xfId="151" builtinId="8" hidden="1"/>
    <cellStyle name="Lien hypertexte" xfId="153" builtinId="8" hidden="1"/>
    <cellStyle name="Lien hypertexte" xfId="155" builtinId="8" hidden="1"/>
    <cellStyle name="Lien hypertexte" xfId="157" builtinId="8" hidden="1"/>
    <cellStyle name="Lien hypertexte" xfId="159" builtinId="8" hidden="1"/>
    <cellStyle name="Lien hypertexte" xfId="161" builtinId="8" hidden="1"/>
    <cellStyle name="Lien hypertexte" xfId="163" builtinId="8" hidden="1"/>
    <cellStyle name="Lien hypertexte" xfId="165" builtinId="8" hidden="1"/>
    <cellStyle name="Lien hypertexte" xfId="167" builtinId="8" hidden="1"/>
    <cellStyle name="Lien hypertexte" xfId="169" builtinId="8" hidden="1"/>
    <cellStyle name="Lien hypertexte" xfId="171" builtinId="8" hidden="1"/>
    <cellStyle name="Lien hypertexte" xfId="173" builtinId="8" hidden="1"/>
    <cellStyle name="Lien hypertexte" xfId="175" builtinId="8" hidden="1"/>
    <cellStyle name="Lien hypertexte" xfId="177" builtinId="8" hidden="1"/>
    <cellStyle name="Lien hypertexte" xfId="179" builtinId="8" hidden="1"/>
    <cellStyle name="Lien hypertexte" xfId="181" builtinId="8" hidden="1"/>
    <cellStyle name="Lien hypertexte" xfId="183" builtinId="8" hidden="1"/>
    <cellStyle name="Lien hypertexte" xfId="185" builtinId="8" hidden="1"/>
    <cellStyle name="Lien hypertexte" xfId="187" builtinId="8" hidden="1"/>
    <cellStyle name="Lien hypertexte" xfId="189" builtinId="8" hidden="1"/>
    <cellStyle name="Lien hypertexte" xfId="191" builtinId="8" hidden="1"/>
    <cellStyle name="Lien hypertexte" xfId="193" builtinId="8" hidden="1"/>
    <cellStyle name="Lien hypertexte" xfId="195" builtinId="8" hidden="1"/>
    <cellStyle name="Lien hypertexte" xfId="197" builtinId="8" hidden="1"/>
    <cellStyle name="Lien hypertexte" xfId="199" builtinId="8" hidden="1"/>
    <cellStyle name="Lien hypertexte" xfId="201" builtinId="8" hidden="1"/>
    <cellStyle name="Lien hypertexte" xfId="203" builtinId="8" hidden="1"/>
    <cellStyle name="Lien hypertexte" xfId="205" builtinId="8" hidden="1"/>
    <cellStyle name="Lien hypertexte" xfId="207" builtinId="8" hidden="1"/>
    <cellStyle name="Lien hypertexte" xfId="209" builtinId="8" hidden="1"/>
    <cellStyle name="Lien hypertexte" xfId="211" builtinId="8" hidden="1"/>
    <cellStyle name="Lien hypertexte" xfId="213" builtinId="8" hidden="1"/>
    <cellStyle name="Lien hypertexte" xfId="215" builtinId="8" hidden="1"/>
    <cellStyle name="Lien hypertexte" xfId="217" builtinId="8" hidden="1"/>
    <cellStyle name="Lien hypertexte" xfId="219" builtinId="8" hidden="1"/>
    <cellStyle name="Lien hypertexte" xfId="221" builtinId="8" hidden="1"/>
    <cellStyle name="Lien hypertexte" xfId="223" builtinId="8" hidden="1"/>
    <cellStyle name="Lien hypertexte" xfId="225" builtinId="8" hidden="1"/>
    <cellStyle name="Lien hypertexte" xfId="227" builtinId="8" hidden="1"/>
    <cellStyle name="Lien hypertexte" xfId="229" builtinId="8" hidden="1"/>
    <cellStyle name="Lien hypertexte" xfId="231" builtinId="8" hidden="1"/>
    <cellStyle name="Lien hypertexte" xfId="233" builtinId="8" hidden="1"/>
    <cellStyle name="Lien hypertexte" xfId="235" builtinId="8" hidden="1"/>
    <cellStyle name="Lien hypertexte" xfId="237" builtinId="8" hidden="1"/>
    <cellStyle name="Lien hypertexte" xfId="239" builtinId="8" hidden="1"/>
    <cellStyle name="Lien hypertexte" xfId="241" builtinId="8" hidden="1"/>
    <cellStyle name="Lien hypertexte" xfId="243" builtinId="8" hidden="1"/>
    <cellStyle name="Lien hypertexte" xfId="245" builtinId="8" hidden="1"/>
    <cellStyle name="Lien hypertexte" xfId="247" builtinId="8" hidden="1"/>
    <cellStyle name="Lien hypertexte" xfId="249" builtinId="8" hidden="1"/>
    <cellStyle name="Lien hypertexte" xfId="251" builtinId="8" hidden="1"/>
    <cellStyle name="Lien hypertexte" xfId="253" builtinId="8" hidden="1"/>
    <cellStyle name="Lien hypertexte" xfId="255" builtinId="8" hidden="1"/>
    <cellStyle name="Lien hypertexte" xfId="257" builtinId="8" hidden="1"/>
    <cellStyle name="Lien hypertexte" xfId="259" builtinId="8" hidden="1"/>
    <cellStyle name="Lien hypertexte" xfId="261" builtinId="8" hidden="1"/>
    <cellStyle name="Lien hypertexte" xfId="263" builtinId="8" hidden="1"/>
    <cellStyle name="Lien hypertexte" xfId="265" builtinId="8" hidden="1"/>
    <cellStyle name="Lien hypertexte" xfId="267" builtinId="8" hidden="1"/>
    <cellStyle name="Lien hypertexte" xfId="269" builtinId="8" hidden="1"/>
    <cellStyle name="Lien hypertexte" xfId="271" builtinId="8" hidden="1"/>
    <cellStyle name="Lien hypertexte" xfId="273" builtinId="8" hidden="1"/>
    <cellStyle name="Lien hypertexte" xfId="275" builtinId="8" hidden="1"/>
    <cellStyle name="Lien hypertexte" xfId="277" builtinId="8" hidden="1"/>
    <cellStyle name="Lien hypertexte" xfId="279" builtinId="8" hidden="1"/>
    <cellStyle name="Lien hypertexte" xfId="281" builtinId="8" hidden="1"/>
    <cellStyle name="Lien hypertexte" xfId="283" builtinId="8" hidden="1"/>
    <cellStyle name="Lien hypertexte" xfId="285" builtinId="8" hidden="1"/>
    <cellStyle name="Lien hypertexte" xfId="287" builtinId="8" hidden="1"/>
    <cellStyle name="Lien hypertexte" xfId="289" builtinId="8" hidden="1"/>
    <cellStyle name="Lien hypertexte" xfId="291" builtinId="8" hidden="1"/>
    <cellStyle name="Lien hypertexte" xfId="293" builtinId="8" hidden="1"/>
    <cellStyle name="Lien hypertexte" xfId="295" builtinId="8" hidden="1"/>
    <cellStyle name="Lien hypertexte" xfId="297" builtinId="8" hidden="1"/>
    <cellStyle name="Lien hypertexte" xfId="299" builtinId="8" hidden="1"/>
    <cellStyle name="Lien hypertexte" xfId="301" builtinId="8" hidden="1"/>
    <cellStyle name="Lien hypertexte" xfId="303" builtinId="8" hidden="1"/>
    <cellStyle name="Lien hypertexte" xfId="305" builtinId="8" hidden="1"/>
    <cellStyle name="Lien hypertexte" xfId="307" builtinId="8" hidden="1"/>
    <cellStyle name="Lien hypertexte" xfId="309" builtinId="8" hidden="1"/>
    <cellStyle name="Lien hypertexte" xfId="311" builtinId="8" hidden="1"/>
    <cellStyle name="Lien hypertexte" xfId="313" builtinId="8" hidden="1"/>
    <cellStyle name="Lien hypertexte" xfId="315" builtinId="8" hidden="1"/>
    <cellStyle name="Lien hypertexte" xfId="317" builtinId="8" hidden="1"/>
    <cellStyle name="Lien hypertexte" xfId="319" builtinId="8" hidden="1"/>
    <cellStyle name="Lien hypertexte" xfId="321" builtinId="8" hidden="1"/>
    <cellStyle name="Lien hypertexte" xfId="323" builtinId="8" hidden="1"/>
    <cellStyle name="Lien hypertexte" xfId="325" builtinId="8" hidden="1"/>
    <cellStyle name="Lien hypertexte" xfId="327" builtinId="8" hidden="1"/>
    <cellStyle name="Lien hypertexte" xfId="329" builtinId="8" hidden="1"/>
    <cellStyle name="Lien hypertexte" xfId="331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0" builtinId="9" hidden="1"/>
    <cellStyle name="Lien hypertexte visité" xfId="92" builtinId="9" hidden="1"/>
    <cellStyle name="Lien hypertexte visité" xfId="94" builtinId="9" hidden="1"/>
    <cellStyle name="Lien hypertexte visité" xfId="96" builtinId="9" hidden="1"/>
    <cellStyle name="Lien hypertexte visité" xfId="98" builtinId="9" hidden="1"/>
    <cellStyle name="Lien hypertexte visité" xfId="100" builtinId="9" hidden="1"/>
    <cellStyle name="Lien hypertexte visité" xfId="102" builtinId="9" hidden="1"/>
    <cellStyle name="Lien hypertexte visité" xfId="104" builtinId="9" hidden="1"/>
    <cellStyle name="Lien hypertexte visité" xfId="106" builtinId="9" hidden="1"/>
    <cellStyle name="Lien hypertexte visité" xfId="108" builtinId="9" hidden="1"/>
    <cellStyle name="Lien hypertexte visité" xfId="110" builtinId="9" hidden="1"/>
    <cellStyle name="Lien hypertexte visité" xfId="112" builtinId="9" hidden="1"/>
    <cellStyle name="Lien hypertexte visité" xfId="114" builtinId="9" hidden="1"/>
    <cellStyle name="Lien hypertexte visité" xfId="116" builtinId="9" hidden="1"/>
    <cellStyle name="Lien hypertexte visité" xfId="118" builtinId="9" hidden="1"/>
    <cellStyle name="Lien hypertexte visité" xfId="120" builtinId="9" hidden="1"/>
    <cellStyle name="Lien hypertexte visité" xfId="122" builtinId="9" hidden="1"/>
    <cellStyle name="Lien hypertexte visité" xfId="124" builtinId="9" hidden="1"/>
    <cellStyle name="Lien hypertexte visité" xfId="126" builtinId="9" hidden="1"/>
    <cellStyle name="Lien hypertexte visité" xfId="128" builtinId="9" hidden="1"/>
    <cellStyle name="Lien hypertexte visité" xfId="130" builtinId="9" hidden="1"/>
    <cellStyle name="Lien hypertexte visité" xfId="132" builtinId="9" hidden="1"/>
    <cellStyle name="Lien hypertexte visité" xfId="134" builtinId="9" hidden="1"/>
    <cellStyle name="Lien hypertexte visité" xfId="136" builtinId="9" hidden="1"/>
    <cellStyle name="Lien hypertexte visité" xfId="138" builtinId="9" hidden="1"/>
    <cellStyle name="Lien hypertexte visité" xfId="140" builtinId="9" hidden="1"/>
    <cellStyle name="Lien hypertexte visité" xfId="142" builtinId="9" hidden="1"/>
    <cellStyle name="Lien hypertexte visité" xfId="144" builtinId="9" hidden="1"/>
    <cellStyle name="Lien hypertexte visité" xfId="146" builtinId="9" hidden="1"/>
    <cellStyle name="Lien hypertexte visité" xfId="148" builtinId="9" hidden="1"/>
    <cellStyle name="Lien hypertexte visité" xfId="150" builtinId="9" hidden="1"/>
    <cellStyle name="Lien hypertexte visité" xfId="152" builtinId="9" hidden="1"/>
    <cellStyle name="Lien hypertexte visité" xfId="154" builtinId="9" hidden="1"/>
    <cellStyle name="Lien hypertexte visité" xfId="156" builtinId="9" hidden="1"/>
    <cellStyle name="Lien hypertexte visité" xfId="158" builtinId="9" hidden="1"/>
    <cellStyle name="Lien hypertexte visité" xfId="160" builtinId="9" hidden="1"/>
    <cellStyle name="Lien hypertexte visité" xfId="162" builtinId="9" hidden="1"/>
    <cellStyle name="Lien hypertexte visité" xfId="164" builtinId="9" hidden="1"/>
    <cellStyle name="Lien hypertexte visité" xfId="166" builtinId="9" hidden="1"/>
    <cellStyle name="Lien hypertexte visité" xfId="168" builtinId="9" hidden="1"/>
    <cellStyle name="Lien hypertexte visité" xfId="170" builtinId="9" hidden="1"/>
    <cellStyle name="Lien hypertexte visité" xfId="172" builtinId="9" hidden="1"/>
    <cellStyle name="Lien hypertexte visité" xfId="174" builtinId="9" hidden="1"/>
    <cellStyle name="Lien hypertexte visité" xfId="176" builtinId="9" hidden="1"/>
    <cellStyle name="Lien hypertexte visité" xfId="178" builtinId="9" hidden="1"/>
    <cellStyle name="Lien hypertexte visité" xfId="180" builtinId="9" hidden="1"/>
    <cellStyle name="Lien hypertexte visité" xfId="182" builtinId="9" hidden="1"/>
    <cellStyle name="Lien hypertexte visité" xfId="184" builtinId="9" hidden="1"/>
    <cellStyle name="Lien hypertexte visité" xfId="186" builtinId="9" hidden="1"/>
    <cellStyle name="Lien hypertexte visité" xfId="188" builtinId="9" hidden="1"/>
    <cellStyle name="Lien hypertexte visité" xfId="190" builtinId="9" hidden="1"/>
    <cellStyle name="Lien hypertexte visité" xfId="192" builtinId="9" hidden="1"/>
    <cellStyle name="Lien hypertexte visité" xfId="194" builtinId="9" hidden="1"/>
    <cellStyle name="Lien hypertexte visité" xfId="196" builtinId="9" hidden="1"/>
    <cellStyle name="Lien hypertexte visité" xfId="198" builtinId="9" hidden="1"/>
    <cellStyle name="Lien hypertexte visité" xfId="200" builtinId="9" hidden="1"/>
    <cellStyle name="Lien hypertexte visité" xfId="202" builtinId="9" hidden="1"/>
    <cellStyle name="Lien hypertexte visité" xfId="204" builtinId="9" hidden="1"/>
    <cellStyle name="Lien hypertexte visité" xfId="206" builtinId="9" hidden="1"/>
    <cellStyle name="Lien hypertexte visité" xfId="208" builtinId="9" hidden="1"/>
    <cellStyle name="Lien hypertexte visité" xfId="210" builtinId="9" hidden="1"/>
    <cellStyle name="Lien hypertexte visité" xfId="212" builtinId="9" hidden="1"/>
    <cellStyle name="Lien hypertexte visité" xfId="214" builtinId="9" hidden="1"/>
    <cellStyle name="Lien hypertexte visité" xfId="216" builtinId="9" hidden="1"/>
    <cellStyle name="Lien hypertexte visité" xfId="218" builtinId="9" hidden="1"/>
    <cellStyle name="Lien hypertexte visité" xfId="220" builtinId="9" hidden="1"/>
    <cellStyle name="Lien hypertexte visité" xfId="222" builtinId="9" hidden="1"/>
    <cellStyle name="Lien hypertexte visité" xfId="224" builtinId="9" hidden="1"/>
    <cellStyle name="Lien hypertexte visité" xfId="226" builtinId="9" hidden="1"/>
    <cellStyle name="Lien hypertexte visité" xfId="228" builtinId="9" hidden="1"/>
    <cellStyle name="Lien hypertexte visité" xfId="230" builtinId="9" hidden="1"/>
    <cellStyle name="Lien hypertexte visité" xfId="232" builtinId="9" hidden="1"/>
    <cellStyle name="Lien hypertexte visité" xfId="234" builtinId="9" hidden="1"/>
    <cellStyle name="Lien hypertexte visité" xfId="236" builtinId="9" hidden="1"/>
    <cellStyle name="Lien hypertexte visité" xfId="238" builtinId="9" hidden="1"/>
    <cellStyle name="Lien hypertexte visité" xfId="240" builtinId="9" hidden="1"/>
    <cellStyle name="Lien hypertexte visité" xfId="242" builtinId="9" hidden="1"/>
    <cellStyle name="Lien hypertexte visité" xfId="244" builtinId="9" hidden="1"/>
    <cellStyle name="Lien hypertexte visité" xfId="246" builtinId="9" hidden="1"/>
    <cellStyle name="Lien hypertexte visité" xfId="248" builtinId="9" hidden="1"/>
    <cellStyle name="Lien hypertexte visité" xfId="250" builtinId="9" hidden="1"/>
    <cellStyle name="Lien hypertexte visité" xfId="252" builtinId="9" hidden="1"/>
    <cellStyle name="Lien hypertexte visité" xfId="254" builtinId="9" hidden="1"/>
    <cellStyle name="Lien hypertexte visité" xfId="256" builtinId="9" hidden="1"/>
    <cellStyle name="Lien hypertexte visité" xfId="258" builtinId="9" hidden="1"/>
    <cellStyle name="Lien hypertexte visité" xfId="260" builtinId="9" hidden="1"/>
    <cellStyle name="Lien hypertexte visité" xfId="262" builtinId="9" hidden="1"/>
    <cellStyle name="Lien hypertexte visité" xfId="264" builtinId="9" hidden="1"/>
    <cellStyle name="Lien hypertexte visité" xfId="266" builtinId="9" hidden="1"/>
    <cellStyle name="Lien hypertexte visité" xfId="268" builtinId="9" hidden="1"/>
    <cellStyle name="Lien hypertexte visité" xfId="270" builtinId="9" hidden="1"/>
    <cellStyle name="Lien hypertexte visité" xfId="272" builtinId="9" hidden="1"/>
    <cellStyle name="Lien hypertexte visité" xfId="274" builtinId="9" hidden="1"/>
    <cellStyle name="Lien hypertexte visité" xfId="276" builtinId="9" hidden="1"/>
    <cellStyle name="Lien hypertexte visité" xfId="278" builtinId="9" hidden="1"/>
    <cellStyle name="Lien hypertexte visité" xfId="280" builtinId="9" hidden="1"/>
    <cellStyle name="Lien hypertexte visité" xfId="282" builtinId="9" hidden="1"/>
    <cellStyle name="Lien hypertexte visité" xfId="284" builtinId="9" hidden="1"/>
    <cellStyle name="Lien hypertexte visité" xfId="286" builtinId="9" hidden="1"/>
    <cellStyle name="Lien hypertexte visité" xfId="288" builtinId="9" hidden="1"/>
    <cellStyle name="Lien hypertexte visité" xfId="290" builtinId="9" hidden="1"/>
    <cellStyle name="Lien hypertexte visité" xfId="292" builtinId="9" hidden="1"/>
    <cellStyle name="Lien hypertexte visité" xfId="294" builtinId="9" hidden="1"/>
    <cellStyle name="Lien hypertexte visité" xfId="296" builtinId="9" hidden="1"/>
    <cellStyle name="Lien hypertexte visité" xfId="298" builtinId="9" hidden="1"/>
    <cellStyle name="Lien hypertexte visité" xfId="300" builtinId="9" hidden="1"/>
    <cellStyle name="Lien hypertexte visité" xfId="302" builtinId="9" hidden="1"/>
    <cellStyle name="Lien hypertexte visité" xfId="304" builtinId="9" hidden="1"/>
    <cellStyle name="Lien hypertexte visité" xfId="306" builtinId="9" hidden="1"/>
    <cellStyle name="Lien hypertexte visité" xfId="308" builtinId="9" hidden="1"/>
    <cellStyle name="Lien hypertexte visité" xfId="310" builtinId="9" hidden="1"/>
    <cellStyle name="Lien hypertexte visité" xfId="312" builtinId="9" hidden="1"/>
    <cellStyle name="Lien hypertexte visité" xfId="314" builtinId="9" hidden="1"/>
    <cellStyle name="Lien hypertexte visité" xfId="316" builtinId="9" hidden="1"/>
    <cellStyle name="Lien hypertexte visité" xfId="318" builtinId="9" hidden="1"/>
    <cellStyle name="Lien hypertexte visité" xfId="320" builtinId="9" hidden="1"/>
    <cellStyle name="Lien hypertexte visité" xfId="322" builtinId="9" hidden="1"/>
    <cellStyle name="Lien hypertexte visité" xfId="324" builtinId="9" hidden="1"/>
    <cellStyle name="Lien hypertexte visité" xfId="326" builtinId="9" hidden="1"/>
    <cellStyle name="Lien hypertexte visité" xfId="328" builtinId="9" hidden="1"/>
    <cellStyle name="Lien hypertexte visité" xfId="330" builtinId="9" hidden="1"/>
    <cellStyle name="Lien hypertexte visité" xfId="332" builtinId="9" hidden="1"/>
    <cellStyle name="Milliers" xfId="333" builtinId="3"/>
    <cellStyle name="Milliers 10" xfId="337"/>
    <cellStyle name="Milliers 7" xfId="335"/>
    <cellStyle name="Normal" xfId="0" builtinId="0"/>
    <cellStyle name="Normal 13" xfId="334"/>
    <cellStyle name="Normal 8" xfId="3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opLeftCell="A7" workbookViewId="0">
      <selection activeCell="F8" sqref="F8"/>
    </sheetView>
  </sheetViews>
  <sheetFormatPr baseColWidth="10" defaultRowHeight="15" x14ac:dyDescent="0.25"/>
  <cols>
    <col min="1" max="1" width="40.7109375" customWidth="1"/>
    <col min="2" max="2" width="25.28515625" customWidth="1"/>
    <col min="3" max="3" width="40.5703125" style="86" customWidth="1"/>
    <col min="5" max="5" width="15.7109375" customWidth="1"/>
  </cols>
  <sheetData>
    <row r="1" spans="1:3" ht="15.75" thickBot="1" x14ac:dyDescent="0.3"/>
    <row r="2" spans="1:3" s="5" customFormat="1" ht="20.25" customHeight="1" thickTop="1" thickBot="1" x14ac:dyDescent="0.3">
      <c r="A2" s="111" t="s">
        <v>148</v>
      </c>
      <c r="B2" s="112"/>
      <c r="C2" s="113"/>
    </row>
    <row r="3" spans="1:3" s="5" customFormat="1" ht="16.5" thickTop="1" thickBot="1" x14ac:dyDescent="0.3">
      <c r="C3" s="86"/>
    </row>
    <row r="4" spans="1:3" s="5" customFormat="1" ht="26.25" customHeight="1" thickTop="1" thickBot="1" x14ac:dyDescent="0.3">
      <c r="A4" s="103" t="s">
        <v>116</v>
      </c>
      <c r="B4" s="103" t="s">
        <v>118</v>
      </c>
      <c r="C4" s="103" t="s">
        <v>115</v>
      </c>
    </row>
    <row r="5" spans="1:3" ht="41.25" customHeight="1" thickTop="1" thickBot="1" x14ac:dyDescent="0.3">
      <c r="A5" s="108" t="s">
        <v>112</v>
      </c>
      <c r="B5" s="83">
        <v>52877550.004000001</v>
      </c>
      <c r="C5" s="110" t="s">
        <v>166</v>
      </c>
    </row>
    <row r="6" spans="1:3" ht="33" customHeight="1" thickTop="1" thickBot="1" x14ac:dyDescent="0.3">
      <c r="A6" s="108" t="s">
        <v>50</v>
      </c>
      <c r="B6" s="83">
        <v>27980000</v>
      </c>
      <c r="C6" s="83"/>
    </row>
    <row r="7" spans="1:3" ht="31.5" customHeight="1" thickTop="1" thickBot="1" x14ac:dyDescent="0.3">
      <c r="A7" s="108" t="s">
        <v>113</v>
      </c>
      <c r="B7" s="83">
        <v>4200000</v>
      </c>
      <c r="C7" s="83"/>
    </row>
    <row r="8" spans="1:3" ht="27.75" customHeight="1" thickTop="1" thickBot="1" x14ac:dyDescent="0.3">
      <c r="A8" s="108" t="s">
        <v>120</v>
      </c>
      <c r="B8" s="83">
        <v>350000</v>
      </c>
      <c r="C8" s="83"/>
    </row>
    <row r="9" spans="1:3" ht="80.25" thickTop="1" thickBot="1" x14ac:dyDescent="0.3">
      <c r="A9" s="108" t="s">
        <v>119</v>
      </c>
      <c r="B9" s="83">
        <v>2501142.84</v>
      </c>
      <c r="C9" s="110" t="s">
        <v>152</v>
      </c>
    </row>
    <row r="10" spans="1:3" ht="80.25" thickTop="1" thickBot="1" x14ac:dyDescent="0.3">
      <c r="A10" s="109" t="s">
        <v>114</v>
      </c>
      <c r="B10" s="83">
        <v>1200000</v>
      </c>
      <c r="C10" s="110" t="s">
        <v>153</v>
      </c>
    </row>
    <row r="11" spans="1:3" s="5" customFormat="1" ht="27" customHeight="1" thickTop="1" thickBot="1" x14ac:dyDescent="0.3">
      <c r="A11" s="104" t="s">
        <v>162</v>
      </c>
      <c r="B11" s="88">
        <f>SUM(B5:B10)</f>
        <v>89108692.844000012</v>
      </c>
      <c r="C11" s="83"/>
    </row>
    <row r="12" spans="1:3" s="5" customFormat="1" ht="20.25" thickTop="1" thickBot="1" x14ac:dyDescent="0.3">
      <c r="A12" s="76"/>
      <c r="B12" s="87"/>
      <c r="C12" s="85"/>
    </row>
    <row r="13" spans="1:3" ht="35.25" customHeight="1" thickTop="1" thickBot="1" x14ac:dyDescent="0.3">
      <c r="A13" s="101" t="s">
        <v>151</v>
      </c>
      <c r="B13" s="102">
        <v>89108692.844000012</v>
      </c>
      <c r="C13" s="84"/>
    </row>
    <row r="14" spans="1:3" ht="31.5" customHeight="1" thickTop="1" thickBot="1" x14ac:dyDescent="0.3">
      <c r="A14" s="101" t="s">
        <v>117</v>
      </c>
      <c r="B14" s="102">
        <f>3300000-B9</f>
        <v>798857.16000000015</v>
      </c>
      <c r="C14" s="84"/>
    </row>
    <row r="15" spans="1:3" ht="33" customHeight="1" thickTop="1" thickBot="1" x14ac:dyDescent="0.3">
      <c r="A15" s="101" t="s">
        <v>163</v>
      </c>
      <c r="B15" s="106">
        <f>SUM(B13:B14)</f>
        <v>89907550.004000008</v>
      </c>
      <c r="C15" s="84"/>
    </row>
    <row r="16" spans="1:3" s="5" customFormat="1" ht="33" customHeight="1" thickTop="1" thickBot="1" x14ac:dyDescent="0.3">
      <c r="A16" s="144" t="s">
        <v>164</v>
      </c>
      <c r="B16" s="145">
        <v>4320000</v>
      </c>
      <c r="C16" s="84"/>
    </row>
    <row r="17" spans="1:3" ht="31.5" thickTop="1" thickBot="1" x14ac:dyDescent="0.3">
      <c r="A17" s="143" t="s">
        <v>165</v>
      </c>
      <c r="B17" s="106">
        <f>B15-B16</f>
        <v>85587550.004000008</v>
      </c>
    </row>
    <row r="18" spans="1:3" ht="24.75" customHeight="1" thickTop="1" thickBot="1" x14ac:dyDescent="0.3">
      <c r="A18" s="105" t="s">
        <v>161</v>
      </c>
      <c r="B18" s="106">
        <v>85587550</v>
      </c>
      <c r="C18" s="85"/>
    </row>
    <row r="19" spans="1:3" ht="15.75" thickTop="1" x14ac:dyDescent="0.25"/>
  </sheetData>
  <mergeCells count="1">
    <mergeCell ref="A2:C2"/>
  </mergeCells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8"/>
  <sheetViews>
    <sheetView tabSelected="1" topLeftCell="A8" zoomScale="75" zoomScaleNormal="75" zoomScalePageLayoutView="200" workbookViewId="0">
      <selection activeCell="D20" sqref="D20"/>
    </sheetView>
  </sheetViews>
  <sheetFormatPr baseColWidth="10" defaultRowHeight="15" x14ac:dyDescent="0.25"/>
  <cols>
    <col min="1" max="1" width="64.7109375" style="4" customWidth="1"/>
    <col min="2" max="2" width="16.28515625" customWidth="1"/>
    <col min="3" max="3" width="24.7109375" customWidth="1"/>
    <col min="4" max="4" width="19.85546875" style="3" customWidth="1"/>
    <col min="5" max="5" width="21.28515625" style="3" customWidth="1"/>
    <col min="6" max="6" width="54.140625" customWidth="1"/>
    <col min="8" max="8" width="22.7109375" customWidth="1"/>
  </cols>
  <sheetData>
    <row r="2" spans="1:8" ht="15.75" thickBot="1" x14ac:dyDescent="0.3"/>
    <row r="3" spans="1:8" ht="20.25" thickTop="1" thickBot="1" x14ac:dyDescent="0.35">
      <c r="A3" s="114" t="s">
        <v>126</v>
      </c>
      <c r="B3" s="115"/>
      <c r="C3" s="115"/>
      <c r="D3" s="115"/>
      <c r="E3" s="115"/>
      <c r="F3" s="116"/>
    </row>
    <row r="4" spans="1:8" ht="16.5" thickTop="1" x14ac:dyDescent="0.25">
      <c r="A4" s="118" t="s">
        <v>127</v>
      </c>
      <c r="B4" s="119"/>
      <c r="C4" s="119"/>
      <c r="D4" s="119"/>
      <c r="E4" s="120"/>
    </row>
    <row r="5" spans="1:8" x14ac:dyDescent="0.25">
      <c r="B5" s="3"/>
      <c r="C5" s="3"/>
    </row>
    <row r="6" spans="1:8" ht="31.5" x14ac:dyDescent="0.25">
      <c r="A6" s="17" t="s">
        <v>5</v>
      </c>
      <c r="B6" s="17" t="s">
        <v>8</v>
      </c>
      <c r="C6" s="17" t="s">
        <v>3</v>
      </c>
      <c r="D6" s="17" t="s">
        <v>9</v>
      </c>
      <c r="E6" s="17" t="s">
        <v>6</v>
      </c>
      <c r="F6" s="17" t="s">
        <v>38</v>
      </c>
    </row>
    <row r="7" spans="1:8" s="7" customFormat="1" ht="44.25" customHeight="1" x14ac:dyDescent="0.25">
      <c r="A7" s="18" t="s">
        <v>58</v>
      </c>
      <c r="B7" s="19">
        <f t="shared" ref="B7:B13" si="0">C7/1.2</f>
        <v>3810458.3333333335</v>
      </c>
      <c r="C7" s="22">
        <v>4572550</v>
      </c>
      <c r="D7" s="20" t="s">
        <v>30</v>
      </c>
      <c r="E7" s="20" t="s">
        <v>4</v>
      </c>
      <c r="F7" s="18" t="s">
        <v>37</v>
      </c>
    </row>
    <row r="8" spans="1:8" s="5" customFormat="1" ht="46.5" customHeight="1" x14ac:dyDescent="0.25">
      <c r="A8" s="18" t="s">
        <v>32</v>
      </c>
      <c r="B8" s="21">
        <f t="shared" si="0"/>
        <v>166666.66666666669</v>
      </c>
      <c r="C8" s="22">
        <v>200000</v>
      </c>
      <c r="D8" s="20" t="s">
        <v>12</v>
      </c>
      <c r="E8" s="20" t="s">
        <v>4</v>
      </c>
      <c r="F8" s="18" t="s">
        <v>39</v>
      </c>
    </row>
    <row r="9" spans="1:8" ht="63.75" customHeight="1" x14ac:dyDescent="0.25">
      <c r="A9" s="24" t="s">
        <v>59</v>
      </c>
      <c r="B9" s="21">
        <f t="shared" si="0"/>
        <v>5600000</v>
      </c>
      <c r="C9" s="22">
        <v>6720000</v>
      </c>
      <c r="D9" s="23" t="s">
        <v>11</v>
      </c>
      <c r="E9" s="20" t="s">
        <v>4</v>
      </c>
      <c r="F9" s="18" t="s">
        <v>40</v>
      </c>
    </row>
    <row r="10" spans="1:8" s="5" customFormat="1" ht="68.25" customHeight="1" x14ac:dyDescent="0.25">
      <c r="A10" s="18" t="s">
        <v>60</v>
      </c>
      <c r="B10" s="21">
        <f t="shared" si="0"/>
        <v>445833.33333333337</v>
      </c>
      <c r="C10" s="22">
        <v>535000</v>
      </c>
      <c r="D10" s="23" t="s">
        <v>159</v>
      </c>
      <c r="E10" s="20" t="s">
        <v>53</v>
      </c>
      <c r="F10" s="18" t="s">
        <v>61</v>
      </c>
    </row>
    <row r="11" spans="1:8" ht="66" customHeight="1" x14ac:dyDescent="0.25">
      <c r="A11" s="18" t="s">
        <v>13</v>
      </c>
      <c r="B11" s="22">
        <f t="shared" si="0"/>
        <v>3333333.3333333335</v>
      </c>
      <c r="C11" s="22">
        <v>4000000</v>
      </c>
      <c r="D11" s="23" t="s">
        <v>10</v>
      </c>
      <c r="E11" s="20" t="s">
        <v>53</v>
      </c>
      <c r="F11" s="18" t="s">
        <v>13</v>
      </c>
    </row>
    <row r="12" spans="1:8" ht="121.5" customHeight="1" x14ac:dyDescent="0.25">
      <c r="A12" s="18" t="s">
        <v>42</v>
      </c>
      <c r="B12" s="22">
        <f t="shared" si="0"/>
        <v>5000000</v>
      </c>
      <c r="C12" s="22">
        <v>6000000</v>
      </c>
      <c r="D12" s="23" t="s">
        <v>10</v>
      </c>
      <c r="E12" s="20" t="s">
        <v>53</v>
      </c>
      <c r="F12" s="18" t="s">
        <v>41</v>
      </c>
      <c r="H12">
        <f>4000000-1320000</f>
        <v>2680000</v>
      </c>
    </row>
    <row r="13" spans="1:8" s="5" customFormat="1" ht="92.25" customHeight="1" x14ac:dyDescent="0.25">
      <c r="A13" s="97" t="s">
        <v>128</v>
      </c>
      <c r="B13" s="98">
        <f t="shared" si="0"/>
        <v>3600000</v>
      </c>
      <c r="C13" s="98">
        <v>4320000</v>
      </c>
      <c r="D13" s="99" t="s">
        <v>17</v>
      </c>
      <c r="E13" s="100" t="s">
        <v>129</v>
      </c>
      <c r="F13" s="97" t="s">
        <v>130</v>
      </c>
    </row>
    <row r="14" spans="1:8" s="7" customFormat="1" ht="20.45" customHeight="1" x14ac:dyDescent="0.25">
      <c r="A14" s="51" t="s">
        <v>62</v>
      </c>
      <c r="B14" s="52">
        <v>833333.33</v>
      </c>
      <c r="C14" s="52">
        <f>B14*1.2</f>
        <v>999999.99599999993</v>
      </c>
      <c r="D14" s="53" t="s">
        <v>10</v>
      </c>
      <c r="E14" s="54" t="s">
        <v>4</v>
      </c>
      <c r="F14" s="51" t="s">
        <v>63</v>
      </c>
    </row>
    <row r="15" spans="1:8" s="7" customFormat="1" ht="47.25" x14ac:dyDescent="0.25">
      <c r="A15" s="51" t="s">
        <v>14</v>
      </c>
      <c r="B15" s="52">
        <v>1666666.67</v>
      </c>
      <c r="C15" s="52">
        <f t="shared" ref="C15:C20" si="1">B15*1.2</f>
        <v>2000000.0039999997</v>
      </c>
      <c r="D15" s="52" t="s">
        <v>10</v>
      </c>
      <c r="E15" s="52" t="s">
        <v>4</v>
      </c>
      <c r="F15" s="51" t="s">
        <v>14</v>
      </c>
    </row>
    <row r="16" spans="1:8" ht="47.25" x14ac:dyDescent="0.25">
      <c r="A16" s="18" t="s">
        <v>43</v>
      </c>
      <c r="B16" s="22">
        <f>166666.67</f>
        <v>166666.67000000001</v>
      </c>
      <c r="C16" s="22">
        <f t="shared" si="1"/>
        <v>200000.00400000002</v>
      </c>
      <c r="D16" s="22" t="s">
        <v>44</v>
      </c>
      <c r="E16" s="22" t="s">
        <v>52</v>
      </c>
      <c r="F16" s="18" t="s">
        <v>15</v>
      </c>
    </row>
    <row r="17" spans="1:6" ht="15.75" x14ac:dyDescent="0.25">
      <c r="A17" s="18" t="s">
        <v>27</v>
      </c>
      <c r="B17" s="22">
        <v>5250000</v>
      </c>
      <c r="C17" s="22">
        <f t="shared" si="1"/>
        <v>6300000</v>
      </c>
      <c r="D17" s="22" t="s">
        <v>27</v>
      </c>
      <c r="E17" s="22" t="s">
        <v>19</v>
      </c>
      <c r="F17" s="18" t="s">
        <v>66</v>
      </c>
    </row>
    <row r="18" spans="1:6" ht="15.75" x14ac:dyDescent="0.25">
      <c r="A18" s="18" t="s">
        <v>16</v>
      </c>
      <c r="B18" s="22">
        <v>1600000</v>
      </c>
      <c r="C18" s="22">
        <f t="shared" si="1"/>
        <v>1920000</v>
      </c>
      <c r="D18" s="22" t="s">
        <v>17</v>
      </c>
      <c r="E18" s="22" t="s">
        <v>20</v>
      </c>
      <c r="F18" s="18" t="s">
        <v>65</v>
      </c>
    </row>
    <row r="19" spans="1:6" ht="15.75" x14ac:dyDescent="0.25">
      <c r="A19" s="18" t="s">
        <v>16</v>
      </c>
      <c r="B19" s="22">
        <v>1300000</v>
      </c>
      <c r="C19" s="22">
        <f t="shared" si="1"/>
        <v>1560000</v>
      </c>
      <c r="D19" s="22" t="s">
        <v>17</v>
      </c>
      <c r="E19" s="22"/>
      <c r="F19" s="18" t="s">
        <v>65</v>
      </c>
    </row>
    <row r="20" spans="1:6" ht="31.5" x14ac:dyDescent="0.25">
      <c r="A20" s="46" t="s">
        <v>64</v>
      </c>
      <c r="B20" s="26">
        <v>8500000</v>
      </c>
      <c r="C20" s="26">
        <f t="shared" si="1"/>
        <v>10200000</v>
      </c>
      <c r="D20" s="47" t="s">
        <v>18</v>
      </c>
      <c r="E20" s="26" t="s">
        <v>21</v>
      </c>
      <c r="F20" s="46" t="s">
        <v>64</v>
      </c>
    </row>
    <row r="21" spans="1:6" s="5" customFormat="1" ht="31.5" x14ac:dyDescent="0.25">
      <c r="A21" s="46" t="s">
        <v>94</v>
      </c>
      <c r="B21" s="26">
        <f>C21/1.2</f>
        <v>833333.33333333337</v>
      </c>
      <c r="C21" s="26">
        <v>1000000</v>
      </c>
      <c r="D21" s="47" t="s">
        <v>96</v>
      </c>
      <c r="E21" s="26" t="s">
        <v>4</v>
      </c>
      <c r="F21" s="46" t="s">
        <v>97</v>
      </c>
    </row>
    <row r="22" spans="1:6" s="5" customFormat="1" ht="104.25" customHeight="1" x14ac:dyDescent="0.25">
      <c r="A22" s="46" t="s">
        <v>108</v>
      </c>
      <c r="B22" s="26">
        <f>C22/1.2</f>
        <v>291666.66666666669</v>
      </c>
      <c r="C22" s="26">
        <v>350000</v>
      </c>
      <c r="D22" s="47" t="s">
        <v>145</v>
      </c>
      <c r="E22" s="26" t="s">
        <v>4</v>
      </c>
      <c r="F22" s="46" t="s">
        <v>146</v>
      </c>
    </row>
    <row r="23" spans="1:6" s="56" customFormat="1" ht="21.75" customHeight="1" x14ac:dyDescent="0.25">
      <c r="A23" s="57" t="s">
        <v>67</v>
      </c>
      <c r="B23" s="55">
        <f>C23/1.2</f>
        <v>1666666.6666666667</v>
      </c>
      <c r="C23" s="55">
        <v>2000000</v>
      </c>
      <c r="D23" s="58"/>
      <c r="E23" s="58"/>
      <c r="F23" s="59" t="s">
        <v>68</v>
      </c>
    </row>
    <row r="24" spans="1:6" s="5" customFormat="1" ht="18.75" x14ac:dyDescent="0.25">
      <c r="A24" s="117" t="s">
        <v>69</v>
      </c>
      <c r="B24" s="117"/>
      <c r="C24" s="69">
        <f>SUM(C7:C23)</f>
        <v>52877550.004000001</v>
      </c>
      <c r="D24" s="25"/>
      <c r="E24" s="22"/>
      <c r="F24" s="18"/>
    </row>
    <row r="28" spans="1:6" x14ac:dyDescent="0.25">
      <c r="D28" s="50"/>
    </row>
  </sheetData>
  <mergeCells count="3">
    <mergeCell ref="A3:F3"/>
    <mergeCell ref="A24:B24"/>
    <mergeCell ref="A4:E4"/>
  </mergeCells>
  <pageMargins left="0" right="0" top="0.19685039370078741" bottom="0.15748031496062992" header="0.31496062992125984" footer="0.31496062992125984"/>
  <pageSetup paperSize="9" scale="70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zoomScale="98" zoomScaleNormal="98" zoomScalePageLayoutView="150" workbookViewId="0">
      <selection activeCell="A2" sqref="A2:G16"/>
    </sheetView>
  </sheetViews>
  <sheetFormatPr baseColWidth="10" defaultRowHeight="15" x14ac:dyDescent="0.25"/>
  <cols>
    <col min="1" max="1" width="68.140625" style="1" customWidth="1"/>
    <col min="2" max="2" width="20.28515625" customWidth="1"/>
    <col min="3" max="3" width="22.28515625" customWidth="1"/>
    <col min="4" max="4" width="15.42578125" bestFit="1" customWidth="1"/>
    <col min="5" max="5" width="21.42578125" customWidth="1"/>
    <col min="6" max="6" width="16.28515625" customWidth="1"/>
    <col min="7" max="7" width="10.5703125" customWidth="1"/>
  </cols>
  <sheetData>
    <row r="1" spans="1:7" x14ac:dyDescent="0.25">
      <c r="G1" s="30"/>
    </row>
    <row r="2" spans="1:7" ht="15.75" thickBot="1" x14ac:dyDescent="0.3"/>
    <row r="3" spans="1:7" ht="17.25" thickTop="1" thickBot="1" x14ac:dyDescent="0.3">
      <c r="A3" s="121" t="s">
        <v>131</v>
      </c>
      <c r="B3" s="122"/>
      <c r="C3" s="122"/>
      <c r="D3" s="122"/>
      <c r="E3" s="122"/>
      <c r="F3" s="122"/>
      <c r="G3" s="123"/>
    </row>
    <row r="4" spans="1:7" ht="15.75" thickTop="1" x14ac:dyDescent="0.25">
      <c r="A4" s="40" t="s">
        <v>127</v>
      </c>
      <c r="B4" s="124"/>
      <c r="C4" s="124"/>
      <c r="D4" s="124"/>
      <c r="E4" s="124"/>
      <c r="F4" s="124"/>
      <c r="G4" s="124"/>
    </row>
    <row r="5" spans="1:7" ht="15.75" thickBot="1" x14ac:dyDescent="0.3"/>
    <row r="6" spans="1:7" s="6" customFormat="1" ht="63" customHeight="1" thickTop="1" thickBot="1" x14ac:dyDescent="0.3">
      <c r="A6" s="29" t="s">
        <v>46</v>
      </c>
      <c r="B6" s="29" t="s">
        <v>3</v>
      </c>
      <c r="C6" s="29" t="s">
        <v>1</v>
      </c>
      <c r="D6" s="29" t="s">
        <v>6</v>
      </c>
      <c r="E6" s="29" t="s">
        <v>2</v>
      </c>
      <c r="F6" s="29" t="s">
        <v>0</v>
      </c>
      <c r="G6" s="29" t="s">
        <v>7</v>
      </c>
    </row>
    <row r="7" spans="1:7" s="8" customFormat="1" ht="28.5" customHeight="1" thickTop="1" thickBot="1" x14ac:dyDescent="0.3">
      <c r="A7" s="31" t="s">
        <v>98</v>
      </c>
      <c r="B7" s="32">
        <v>800000</v>
      </c>
      <c r="C7" s="125" t="s">
        <v>49</v>
      </c>
      <c r="D7" s="78" t="s">
        <v>99</v>
      </c>
      <c r="E7" s="34" t="s">
        <v>125</v>
      </c>
      <c r="F7" s="89" t="s">
        <v>124</v>
      </c>
      <c r="G7" s="34" t="s">
        <v>28</v>
      </c>
    </row>
    <row r="8" spans="1:7" s="8" customFormat="1" ht="25.5" customHeight="1" thickTop="1" thickBot="1" x14ac:dyDescent="0.3">
      <c r="A8" s="35" t="s">
        <v>100</v>
      </c>
      <c r="B8" s="32">
        <v>730000</v>
      </c>
      <c r="C8" s="126"/>
      <c r="D8" s="33" t="s">
        <v>101</v>
      </c>
      <c r="E8" s="34" t="s">
        <v>56</v>
      </c>
      <c r="F8" s="34" t="s">
        <v>29</v>
      </c>
      <c r="G8" s="34" t="s">
        <v>28</v>
      </c>
    </row>
    <row r="9" spans="1:7" s="8" customFormat="1" ht="28.5" customHeight="1" thickTop="1" thickBot="1" x14ac:dyDescent="0.3">
      <c r="A9" s="37" t="s">
        <v>102</v>
      </c>
      <c r="B9" s="42">
        <v>500000</v>
      </c>
      <c r="C9" s="126"/>
      <c r="D9" s="33" t="s">
        <v>103</v>
      </c>
      <c r="E9" s="34" t="s">
        <v>56</v>
      </c>
      <c r="F9" s="34" t="s">
        <v>29</v>
      </c>
      <c r="G9" s="34" t="s">
        <v>28</v>
      </c>
    </row>
    <row r="10" spans="1:7" s="8" customFormat="1" ht="35.25" customHeight="1" thickTop="1" thickBot="1" x14ac:dyDescent="0.3">
      <c r="A10" s="37" t="s">
        <v>133</v>
      </c>
      <c r="B10" s="36">
        <v>4000000</v>
      </c>
      <c r="C10" s="126"/>
      <c r="D10" s="78" t="s">
        <v>99</v>
      </c>
      <c r="E10" s="34" t="s">
        <v>125</v>
      </c>
      <c r="F10" s="34" t="s">
        <v>29</v>
      </c>
      <c r="G10" s="34" t="s">
        <v>28</v>
      </c>
    </row>
    <row r="11" spans="1:7" s="8" customFormat="1" ht="30" customHeight="1" thickTop="1" thickBot="1" x14ac:dyDescent="0.3">
      <c r="A11" s="38" t="s">
        <v>104</v>
      </c>
      <c r="B11" s="36">
        <v>11700000</v>
      </c>
      <c r="C11" s="126"/>
      <c r="D11" s="78" t="s">
        <v>99</v>
      </c>
      <c r="E11" s="34" t="s">
        <v>56</v>
      </c>
      <c r="F11" s="34" t="s">
        <v>29</v>
      </c>
      <c r="G11" s="34" t="s">
        <v>28</v>
      </c>
    </row>
    <row r="12" spans="1:7" s="8" customFormat="1" ht="30" customHeight="1" thickTop="1" thickBot="1" x14ac:dyDescent="0.3">
      <c r="A12" s="38" t="s">
        <v>135</v>
      </c>
      <c r="B12" s="36">
        <v>2750000</v>
      </c>
      <c r="C12" s="126"/>
      <c r="D12" s="33" t="s">
        <v>158</v>
      </c>
      <c r="E12" s="34" t="s">
        <v>56</v>
      </c>
      <c r="F12" s="89" t="s">
        <v>124</v>
      </c>
      <c r="G12" s="34" t="s">
        <v>28</v>
      </c>
    </row>
    <row r="13" spans="1:7" s="8" customFormat="1" ht="39.75" customHeight="1" thickTop="1" thickBot="1" x14ac:dyDescent="0.3">
      <c r="A13" s="35" t="s">
        <v>134</v>
      </c>
      <c r="B13" s="36">
        <v>5500000</v>
      </c>
      <c r="C13" s="126"/>
      <c r="D13" s="34" t="s">
        <v>106</v>
      </c>
      <c r="E13" s="34" t="s">
        <v>56</v>
      </c>
      <c r="F13" s="34" t="s">
        <v>140</v>
      </c>
      <c r="G13" s="34" t="s">
        <v>28</v>
      </c>
    </row>
    <row r="14" spans="1:7" ht="29.25" customHeight="1" thickTop="1" thickBot="1" x14ac:dyDescent="0.3">
      <c r="A14" s="35" t="s">
        <v>105</v>
      </c>
      <c r="B14" s="39">
        <v>2000000</v>
      </c>
      <c r="C14" s="127"/>
      <c r="D14" s="33" t="s">
        <v>106</v>
      </c>
      <c r="E14" s="34" t="s">
        <v>56</v>
      </c>
      <c r="F14" s="34" t="s">
        <v>107</v>
      </c>
      <c r="G14" s="34" t="s">
        <v>28</v>
      </c>
    </row>
    <row r="15" spans="1:7" ht="18.75" customHeight="1" thickTop="1" thickBot="1" x14ac:dyDescent="0.3">
      <c r="A15" s="77" t="s">
        <v>50</v>
      </c>
      <c r="B15" s="82">
        <f>SUM(B7:B14)</f>
        <v>27980000</v>
      </c>
    </row>
    <row r="16" spans="1:7" ht="17.25" thickTop="1" x14ac:dyDescent="0.25">
      <c r="B16" s="45">
        <v>0</v>
      </c>
      <c r="D16" s="43"/>
    </row>
    <row r="17" spans="2:2" ht="16.5" x14ac:dyDescent="0.25">
      <c r="B17" s="44"/>
    </row>
    <row r="18" spans="2:2" x14ac:dyDescent="0.25">
      <c r="B18" s="43"/>
    </row>
    <row r="19" spans="2:2" ht="16.5" x14ac:dyDescent="0.25">
      <c r="B19" s="44"/>
    </row>
    <row r="20" spans="2:2" ht="16.5" x14ac:dyDescent="0.25">
      <c r="B20" s="44"/>
    </row>
    <row r="21" spans="2:2" x14ac:dyDescent="0.25">
      <c r="B21" s="41"/>
    </row>
    <row r="22" spans="2:2" x14ac:dyDescent="0.25">
      <c r="B22" s="41"/>
    </row>
  </sheetData>
  <mergeCells count="3">
    <mergeCell ref="A3:G3"/>
    <mergeCell ref="B4:G4"/>
    <mergeCell ref="C7:C14"/>
  </mergeCells>
  <pageMargins left="0.11811023622047245" right="0" top="0.15748031496062992" bottom="0.15748031496062992" header="0.31496062992125984" footer="0.31496062992125984"/>
  <pageSetup paperSize="9" scale="75" orientation="landscape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"/>
  <sheetViews>
    <sheetView topLeftCell="A8" zoomScale="80" zoomScaleNormal="80" zoomScalePageLayoutView="200" workbookViewId="0">
      <selection activeCell="A2" sqref="A2:D18"/>
    </sheetView>
  </sheetViews>
  <sheetFormatPr baseColWidth="10" defaultRowHeight="15" x14ac:dyDescent="0.25"/>
  <cols>
    <col min="1" max="1" width="79.140625" style="5" customWidth="1"/>
    <col min="2" max="2" width="16.140625" style="6" customWidth="1"/>
    <col min="3" max="3" width="17.28515625" style="5" customWidth="1"/>
    <col min="4" max="4" width="52.7109375" style="5" customWidth="1"/>
    <col min="5" max="5" width="27.5703125" style="5" customWidth="1"/>
    <col min="6" max="16384" width="11.42578125" style="5"/>
  </cols>
  <sheetData>
    <row r="2" spans="1:5" ht="15.75" thickBot="1" x14ac:dyDescent="0.3"/>
    <row r="3" spans="1:5" ht="23.25" customHeight="1" thickTop="1" thickBot="1" x14ac:dyDescent="0.3">
      <c r="A3" s="11" t="s">
        <v>132</v>
      </c>
      <c r="B3" s="12"/>
      <c r="C3" s="12"/>
      <c r="D3" s="12"/>
    </row>
    <row r="4" spans="1:5" ht="23.25" customHeight="1" thickTop="1" x14ac:dyDescent="0.25">
      <c r="A4" s="128" t="s">
        <v>127</v>
      </c>
      <c r="B4" s="129"/>
      <c r="C4" s="129"/>
      <c r="D4" s="130"/>
    </row>
    <row r="5" spans="1:5" ht="15.75" thickBot="1" x14ac:dyDescent="0.3"/>
    <row r="6" spans="1:5" ht="61.5" customHeight="1" thickTop="1" thickBot="1" x14ac:dyDescent="0.3">
      <c r="A6" s="16" t="s">
        <v>45</v>
      </c>
      <c r="B6" s="16" t="s">
        <v>3</v>
      </c>
      <c r="C6" s="16" t="s">
        <v>2</v>
      </c>
      <c r="D6" s="10" t="s">
        <v>38</v>
      </c>
    </row>
    <row r="7" spans="1:5" s="2" customFormat="1" ht="78.75" customHeight="1" thickTop="1" thickBot="1" x14ac:dyDescent="0.3">
      <c r="A7" s="14" t="s">
        <v>149</v>
      </c>
      <c r="B7" s="48">
        <v>500000</v>
      </c>
      <c r="C7" s="107" t="s">
        <v>157</v>
      </c>
      <c r="D7" s="28"/>
    </row>
    <row r="8" spans="1:5" s="2" customFormat="1" ht="78.75" customHeight="1" thickTop="1" thickBot="1" x14ac:dyDescent="0.3">
      <c r="A8" s="90" t="s">
        <v>57</v>
      </c>
      <c r="B8" s="48">
        <v>500000</v>
      </c>
      <c r="C8" s="15" t="s">
        <v>95</v>
      </c>
      <c r="D8" s="49" t="s">
        <v>93</v>
      </c>
    </row>
    <row r="9" spans="1:5" s="2" customFormat="1" ht="78.75" customHeight="1" thickTop="1" thickBot="1" x14ac:dyDescent="0.3">
      <c r="A9" s="14" t="s">
        <v>31</v>
      </c>
      <c r="B9" s="48">
        <v>200000</v>
      </c>
      <c r="C9" s="15" t="s">
        <v>95</v>
      </c>
      <c r="D9" s="28" t="s">
        <v>47</v>
      </c>
    </row>
    <row r="10" spans="1:5" s="2" customFormat="1" ht="78.75" customHeight="1" thickTop="1" thickBot="1" x14ac:dyDescent="0.3">
      <c r="A10" s="14" t="s">
        <v>136</v>
      </c>
      <c r="B10" s="48">
        <v>400000</v>
      </c>
      <c r="C10" s="15" t="s">
        <v>137</v>
      </c>
      <c r="D10" s="28" t="s">
        <v>138</v>
      </c>
    </row>
    <row r="11" spans="1:5" ht="42.75" customHeight="1" thickTop="1" thickBot="1" x14ac:dyDescent="0.3">
      <c r="A11" s="14" t="s">
        <v>121</v>
      </c>
      <c r="B11" s="48">
        <v>500000</v>
      </c>
      <c r="C11" s="15" t="s">
        <v>95</v>
      </c>
      <c r="D11" s="13" t="s">
        <v>35</v>
      </c>
      <c r="E11" s="43"/>
    </row>
    <row r="12" spans="1:5" ht="44.25" customHeight="1" thickTop="1" thickBot="1" x14ac:dyDescent="0.3">
      <c r="A12" s="14" t="s">
        <v>55</v>
      </c>
      <c r="B12" s="15">
        <v>20000</v>
      </c>
      <c r="C12" s="15" t="s">
        <v>95</v>
      </c>
      <c r="D12" s="13" t="s">
        <v>154</v>
      </c>
    </row>
    <row r="13" spans="1:5" ht="64.5" thickTop="1" thickBot="1" x14ac:dyDescent="0.3">
      <c r="A13" s="14" t="s">
        <v>54</v>
      </c>
      <c r="B13" s="15">
        <v>480000</v>
      </c>
      <c r="C13" s="15" t="s">
        <v>95</v>
      </c>
      <c r="D13" s="13" t="s">
        <v>34</v>
      </c>
    </row>
    <row r="14" spans="1:5" ht="48.75" customHeight="1" thickTop="1" thickBot="1" x14ac:dyDescent="0.3">
      <c r="A14" s="14" t="s">
        <v>51</v>
      </c>
      <c r="B14" s="15">
        <v>200000</v>
      </c>
      <c r="C14" s="15" t="s">
        <v>95</v>
      </c>
      <c r="D14" s="13" t="s">
        <v>36</v>
      </c>
    </row>
    <row r="15" spans="1:5" ht="48.75" customHeight="1" thickTop="1" thickBot="1" x14ac:dyDescent="0.3">
      <c r="A15" s="14" t="s">
        <v>139</v>
      </c>
      <c r="B15" s="15">
        <v>500000</v>
      </c>
      <c r="C15" s="15" t="s">
        <v>95</v>
      </c>
      <c r="D15" s="13" t="s">
        <v>155</v>
      </c>
    </row>
    <row r="16" spans="1:5" ht="48.75" customHeight="1" thickTop="1" thickBot="1" x14ac:dyDescent="0.3">
      <c r="A16" s="14" t="s">
        <v>156</v>
      </c>
      <c r="B16" s="48">
        <v>500000</v>
      </c>
      <c r="C16" s="48" t="s">
        <v>95</v>
      </c>
      <c r="D16" s="14" t="s">
        <v>123</v>
      </c>
    </row>
    <row r="17" spans="1:4" ht="52.5" customHeight="1" thickTop="1" thickBot="1" x14ac:dyDescent="0.3">
      <c r="A17" s="14" t="s">
        <v>150</v>
      </c>
      <c r="B17" s="15">
        <v>400000</v>
      </c>
      <c r="C17" s="48" t="s">
        <v>95</v>
      </c>
      <c r="D17" s="14" t="s">
        <v>122</v>
      </c>
    </row>
    <row r="18" spans="1:4" ht="17.25" thickTop="1" thickBot="1" x14ac:dyDescent="0.3">
      <c r="A18" s="27" t="s">
        <v>48</v>
      </c>
      <c r="B18" s="79">
        <f>SUM(B7:B17)</f>
        <v>4200000</v>
      </c>
    </row>
    <row r="19" spans="1:4" ht="15.75" thickTop="1" x14ac:dyDescent="0.25">
      <c r="B19" s="9"/>
    </row>
    <row r="21" spans="1:4" x14ac:dyDescent="0.25">
      <c r="C21" s="43"/>
    </row>
  </sheetData>
  <mergeCells count="1">
    <mergeCell ref="A4:D4"/>
  </mergeCells>
  <pageMargins left="0.31496062992125984" right="0.31496062992125984" top="0.35433070866141736" bottom="0.35433070866141736" header="0.31496062992125984" footer="0.31496062992125984"/>
  <pageSetup paperSize="9" scale="75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opLeftCell="A5" workbookViewId="0">
      <selection sqref="A1:G19"/>
    </sheetView>
  </sheetViews>
  <sheetFormatPr baseColWidth="10" defaultRowHeight="15" x14ac:dyDescent="0.25"/>
  <cols>
    <col min="1" max="1" width="13.85546875" style="5" customWidth="1"/>
    <col min="2" max="2" width="21.85546875" style="5" customWidth="1"/>
    <col min="3" max="3" width="21" style="5" customWidth="1"/>
    <col min="4" max="4" width="16.7109375" style="5" customWidth="1"/>
    <col min="5" max="5" width="11.42578125" style="5"/>
    <col min="6" max="6" width="15.85546875" style="5" customWidth="1"/>
    <col min="7" max="7" width="15" style="5" customWidth="1"/>
    <col min="8" max="16384" width="11.42578125" style="5"/>
  </cols>
  <sheetData>
    <row r="1" spans="1:7" ht="21.75" customHeight="1" thickTop="1" thickBot="1" x14ac:dyDescent="0.35">
      <c r="A1" s="134" t="s">
        <v>160</v>
      </c>
      <c r="B1" s="135"/>
      <c r="C1" s="135"/>
      <c r="D1" s="135"/>
      <c r="E1" s="135"/>
      <c r="F1" s="135"/>
      <c r="G1" s="136"/>
    </row>
    <row r="2" spans="1:7" ht="16.5" customHeight="1" thickTop="1" thickBot="1" x14ac:dyDescent="0.3">
      <c r="A2" s="137" t="s">
        <v>70</v>
      </c>
      <c r="B2" s="137" t="s">
        <v>71</v>
      </c>
      <c r="C2" s="137" t="s">
        <v>72</v>
      </c>
      <c r="D2" s="138" t="s">
        <v>73</v>
      </c>
      <c r="E2" s="137" t="s">
        <v>74</v>
      </c>
      <c r="F2" s="137" t="s">
        <v>75</v>
      </c>
      <c r="G2" s="137" t="s">
        <v>115</v>
      </c>
    </row>
    <row r="3" spans="1:7" ht="33.75" customHeight="1" thickTop="1" thickBot="1" x14ac:dyDescent="0.3">
      <c r="A3" s="137"/>
      <c r="B3" s="137"/>
      <c r="C3" s="137"/>
      <c r="D3" s="139"/>
      <c r="E3" s="137"/>
      <c r="F3" s="137"/>
      <c r="G3" s="137"/>
    </row>
    <row r="4" spans="1:7" ht="76.5" thickTop="1" thickBot="1" x14ac:dyDescent="0.3">
      <c r="A4" s="60">
        <v>1</v>
      </c>
      <c r="B4" s="61" t="s">
        <v>22</v>
      </c>
      <c r="C4" s="62" t="s">
        <v>33</v>
      </c>
      <c r="D4" s="63" t="s">
        <v>76</v>
      </c>
      <c r="E4" s="60">
        <v>12</v>
      </c>
      <c r="F4" s="64">
        <f>21428.57*12</f>
        <v>257142.84</v>
      </c>
      <c r="G4" s="91"/>
    </row>
    <row r="5" spans="1:7" ht="61.5" thickTop="1" thickBot="1" x14ac:dyDescent="0.3">
      <c r="A5" s="70">
        <v>2</v>
      </c>
      <c r="B5" s="71" t="s">
        <v>77</v>
      </c>
      <c r="C5" s="72" t="s">
        <v>78</v>
      </c>
      <c r="D5" s="73">
        <v>7000</v>
      </c>
      <c r="E5" s="70">
        <v>12</v>
      </c>
      <c r="F5" s="74">
        <f>D5*E5</f>
        <v>84000</v>
      </c>
      <c r="G5" s="91"/>
    </row>
    <row r="6" spans="1:7" ht="38.25" customHeight="1" thickTop="1" thickBot="1" x14ac:dyDescent="0.3">
      <c r="A6" s="70">
        <v>3</v>
      </c>
      <c r="B6" s="61" t="s">
        <v>82</v>
      </c>
      <c r="C6" s="62" t="s">
        <v>25</v>
      </c>
      <c r="D6" s="65">
        <v>18000</v>
      </c>
      <c r="E6" s="60">
        <v>12</v>
      </c>
      <c r="F6" s="74">
        <f t="shared" ref="F6:F17" si="0">D6*E6</f>
        <v>216000</v>
      </c>
      <c r="G6" s="75"/>
    </row>
    <row r="7" spans="1:7" ht="31.5" thickTop="1" thickBot="1" x14ac:dyDescent="0.3">
      <c r="A7" s="70">
        <v>4</v>
      </c>
      <c r="B7" s="61" t="s">
        <v>83</v>
      </c>
      <c r="C7" s="62" t="s">
        <v>24</v>
      </c>
      <c r="D7" s="65">
        <v>12000</v>
      </c>
      <c r="E7" s="60">
        <v>12</v>
      </c>
      <c r="F7" s="74">
        <f t="shared" si="0"/>
        <v>144000</v>
      </c>
      <c r="G7" s="75"/>
    </row>
    <row r="8" spans="1:7" ht="36.75" customHeight="1" thickTop="1" thickBot="1" x14ac:dyDescent="0.3">
      <c r="A8" s="70">
        <v>5</v>
      </c>
      <c r="B8" s="61" t="s">
        <v>84</v>
      </c>
      <c r="C8" s="62" t="s">
        <v>85</v>
      </c>
      <c r="D8" s="65">
        <v>11000</v>
      </c>
      <c r="E8" s="60">
        <v>12</v>
      </c>
      <c r="F8" s="74">
        <f t="shared" si="0"/>
        <v>132000</v>
      </c>
      <c r="G8" s="75"/>
    </row>
    <row r="9" spans="1:7" ht="30.75" customHeight="1" thickTop="1" thickBot="1" x14ac:dyDescent="0.3">
      <c r="A9" s="70">
        <v>6</v>
      </c>
      <c r="B9" s="66" t="s">
        <v>86</v>
      </c>
      <c r="C9" s="67" t="s">
        <v>87</v>
      </c>
      <c r="D9" s="68">
        <v>21000</v>
      </c>
      <c r="E9" s="60">
        <v>12</v>
      </c>
      <c r="F9" s="74">
        <f t="shared" si="0"/>
        <v>252000</v>
      </c>
      <c r="G9" s="91"/>
    </row>
    <row r="10" spans="1:7" ht="33.75" customHeight="1" thickTop="1" thickBot="1" x14ac:dyDescent="0.3">
      <c r="A10" s="70">
        <v>7</v>
      </c>
      <c r="B10" s="66" t="s">
        <v>26</v>
      </c>
      <c r="C10" s="67" t="s">
        <v>81</v>
      </c>
      <c r="D10" s="68">
        <v>7000</v>
      </c>
      <c r="E10" s="60">
        <v>12</v>
      </c>
      <c r="F10" s="74">
        <f t="shared" si="0"/>
        <v>84000</v>
      </c>
      <c r="G10" s="91"/>
    </row>
    <row r="11" spans="1:7" ht="42" customHeight="1" thickTop="1" thickBot="1" x14ac:dyDescent="0.3">
      <c r="A11" s="70">
        <v>8</v>
      </c>
      <c r="B11" s="66" t="s">
        <v>88</v>
      </c>
      <c r="C11" s="67" t="s">
        <v>89</v>
      </c>
      <c r="D11" s="68">
        <v>23000</v>
      </c>
      <c r="E11" s="60">
        <v>12</v>
      </c>
      <c r="F11" s="74">
        <f t="shared" si="0"/>
        <v>276000</v>
      </c>
      <c r="G11" s="91"/>
    </row>
    <row r="12" spans="1:7" ht="33.75" customHeight="1" thickTop="1" thickBot="1" x14ac:dyDescent="0.3">
      <c r="A12" s="70">
        <v>9</v>
      </c>
      <c r="B12" s="66" t="s">
        <v>90</v>
      </c>
      <c r="C12" s="67" t="s">
        <v>91</v>
      </c>
      <c r="D12" s="68">
        <v>9000</v>
      </c>
      <c r="E12" s="60">
        <v>12</v>
      </c>
      <c r="F12" s="74">
        <f t="shared" si="0"/>
        <v>108000</v>
      </c>
      <c r="G12" s="91"/>
    </row>
    <row r="13" spans="1:7" ht="38.25" customHeight="1" thickTop="1" thickBot="1" x14ac:dyDescent="0.3">
      <c r="A13" s="70">
        <v>10</v>
      </c>
      <c r="B13" s="66" t="s">
        <v>92</v>
      </c>
      <c r="C13" s="67" t="s">
        <v>91</v>
      </c>
      <c r="D13" s="68">
        <v>12000</v>
      </c>
      <c r="E13" s="60">
        <v>12</v>
      </c>
      <c r="F13" s="74">
        <f t="shared" si="0"/>
        <v>144000</v>
      </c>
      <c r="G13" s="91"/>
    </row>
    <row r="14" spans="1:7" ht="30" customHeight="1" thickTop="1" thickBot="1" x14ac:dyDescent="0.3">
      <c r="A14" s="70">
        <v>11</v>
      </c>
      <c r="B14" s="66" t="s">
        <v>80</v>
      </c>
      <c r="C14" s="67" t="s">
        <v>23</v>
      </c>
      <c r="D14" s="68">
        <v>22000</v>
      </c>
      <c r="E14" s="60">
        <v>12</v>
      </c>
      <c r="F14" s="74">
        <f t="shared" si="0"/>
        <v>264000</v>
      </c>
      <c r="G14" s="91"/>
    </row>
    <row r="15" spans="1:7" ht="33.75" customHeight="1" thickTop="1" thickBot="1" x14ac:dyDescent="0.3">
      <c r="A15" s="70">
        <v>12</v>
      </c>
      <c r="B15" s="71" t="s">
        <v>79</v>
      </c>
      <c r="C15" s="67" t="s">
        <v>81</v>
      </c>
      <c r="D15" s="68">
        <v>15000</v>
      </c>
      <c r="E15" s="60">
        <v>12</v>
      </c>
      <c r="F15" s="74">
        <f t="shared" si="0"/>
        <v>180000</v>
      </c>
      <c r="G15" s="92"/>
    </row>
    <row r="16" spans="1:7" ht="31.5" customHeight="1" thickTop="1" thickBot="1" x14ac:dyDescent="0.3">
      <c r="A16" s="70">
        <v>13</v>
      </c>
      <c r="B16" s="66" t="s">
        <v>141</v>
      </c>
      <c r="C16" s="67" t="s">
        <v>142</v>
      </c>
      <c r="D16" s="68">
        <v>20000</v>
      </c>
      <c r="E16" s="60">
        <v>12</v>
      </c>
      <c r="F16" s="74">
        <f t="shared" si="0"/>
        <v>240000</v>
      </c>
      <c r="G16" s="93"/>
    </row>
    <row r="17" spans="1:7" ht="31.5" customHeight="1" thickTop="1" thickBot="1" x14ac:dyDescent="0.3">
      <c r="A17" s="70">
        <v>14</v>
      </c>
      <c r="B17" s="66" t="s">
        <v>143</v>
      </c>
      <c r="C17" s="67" t="s">
        <v>91</v>
      </c>
      <c r="D17" s="68">
        <v>10000</v>
      </c>
      <c r="E17" s="60">
        <v>12</v>
      </c>
      <c r="F17" s="74">
        <f t="shared" si="0"/>
        <v>120000</v>
      </c>
      <c r="G17" s="94"/>
    </row>
    <row r="18" spans="1:7" ht="28.5" customHeight="1" thickTop="1" thickBot="1" x14ac:dyDescent="0.35">
      <c r="A18" s="131" t="s">
        <v>144</v>
      </c>
      <c r="B18" s="132"/>
      <c r="C18" s="132"/>
      <c r="D18" s="132"/>
      <c r="E18" s="133"/>
      <c r="F18" s="95">
        <f>SUM(F4:F17)</f>
        <v>2501142.84</v>
      </c>
      <c r="G18" s="96"/>
    </row>
    <row r="19" spans="1:7" ht="15.75" thickTop="1" x14ac:dyDescent="0.25"/>
  </sheetData>
  <mergeCells count="9">
    <mergeCell ref="A18:E18"/>
    <mergeCell ref="A1:G1"/>
    <mergeCell ref="A2:A3"/>
    <mergeCell ref="B2:B3"/>
    <mergeCell ref="C2:C3"/>
    <mergeCell ref="D2:D3"/>
    <mergeCell ref="E2:E3"/>
    <mergeCell ref="F2:F3"/>
    <mergeCell ref="G2:G3"/>
  </mergeCells>
  <pageMargins left="0.31496062992125984" right="0.31496062992125984" top="0.35433070866141736" bottom="0.35433070866141736" header="0.31496062992125984" footer="0.31496062992125984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zoomScale="80" zoomScaleNormal="80" zoomScalePageLayoutView="200" workbookViewId="0">
      <selection activeCell="B36" sqref="B36"/>
    </sheetView>
  </sheetViews>
  <sheetFormatPr baseColWidth="10" defaultRowHeight="15" x14ac:dyDescent="0.25"/>
  <cols>
    <col min="1" max="1" width="79.140625" customWidth="1"/>
    <col min="2" max="2" width="16.140625" style="6" customWidth="1"/>
    <col min="3" max="3" width="17.28515625" customWidth="1"/>
    <col min="4" max="4" width="27.5703125" customWidth="1"/>
  </cols>
  <sheetData>
    <row r="2" spans="1:4" ht="15.75" thickBot="1" x14ac:dyDescent="0.3"/>
    <row r="3" spans="1:4" ht="23.25" customHeight="1" thickTop="1" thickBot="1" x14ac:dyDescent="0.3">
      <c r="A3" s="11" t="s">
        <v>147</v>
      </c>
      <c r="B3" s="12"/>
      <c r="C3" s="80"/>
    </row>
    <row r="4" spans="1:4" ht="23.25" customHeight="1" thickTop="1" thickBot="1" x14ac:dyDescent="0.3">
      <c r="A4" s="140" t="s">
        <v>127</v>
      </c>
      <c r="B4" s="141"/>
      <c r="C4" s="142"/>
    </row>
    <row r="5" spans="1:4" ht="16.5" thickTop="1" thickBot="1" x14ac:dyDescent="0.3"/>
    <row r="6" spans="1:4" ht="61.5" customHeight="1" thickTop="1" thickBot="1" x14ac:dyDescent="0.3">
      <c r="A6" s="16" t="s">
        <v>45</v>
      </c>
      <c r="B6" s="16" t="s">
        <v>3</v>
      </c>
      <c r="C6" s="16" t="s">
        <v>2</v>
      </c>
    </row>
    <row r="7" spans="1:4" s="2" customFormat="1" ht="60.75" customHeight="1" thickTop="1" thickBot="1" x14ac:dyDescent="0.3">
      <c r="A7" s="81" t="s">
        <v>109</v>
      </c>
      <c r="B7" s="48">
        <v>200000</v>
      </c>
      <c r="C7" s="48" t="s">
        <v>95</v>
      </c>
    </row>
    <row r="8" spans="1:4" ht="42.75" customHeight="1" thickTop="1" thickBot="1" x14ac:dyDescent="0.3">
      <c r="A8" s="81" t="s">
        <v>110</v>
      </c>
      <c r="B8" s="15">
        <v>150000</v>
      </c>
      <c r="C8" s="15" t="s">
        <v>95</v>
      </c>
      <c r="D8" s="43"/>
    </row>
    <row r="9" spans="1:4" ht="17.25" thickTop="1" thickBot="1" x14ac:dyDescent="0.3">
      <c r="A9" s="27" t="s">
        <v>111</v>
      </c>
      <c r="B9" s="79">
        <f>SUM(B7:B8)</f>
        <v>350000</v>
      </c>
    </row>
    <row r="10" spans="1:4" ht="15.75" thickTop="1" x14ac:dyDescent="0.25">
      <c r="B10" s="9"/>
    </row>
    <row r="12" spans="1:4" x14ac:dyDescent="0.25">
      <c r="C12" s="43"/>
    </row>
  </sheetData>
  <mergeCells count="1">
    <mergeCell ref="A4:C4"/>
  </mergeCells>
  <pageMargins left="0.31496062992125984" right="0.31496062992125984" top="0.35433070866141736" bottom="0.35433070866141736" header="0.31496062992125984" footer="0.31496062992125984"/>
  <pageSetup paperSize="9" scale="75" orientation="landscape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RECAP</vt:lpstr>
      <vt:lpstr>Contrat-Convention </vt:lpstr>
      <vt:lpstr>Marchés</vt:lpstr>
      <vt:lpstr>Bons de commande </vt:lpstr>
      <vt:lpstr>free lance recon (2)</vt:lpstr>
      <vt:lpstr>carte internationale</vt:lpstr>
      <vt:lpstr>'Contrat-Convention '!Impression_des_titres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TALEB Nora</dc:creator>
  <cp:lastModifiedBy>LOUALI Inas</cp:lastModifiedBy>
  <cp:lastPrinted>2026-01-07T15:22:05Z</cp:lastPrinted>
  <dcterms:created xsi:type="dcterms:W3CDTF">2021-01-08T14:23:18Z</dcterms:created>
  <dcterms:modified xsi:type="dcterms:W3CDTF">2026-01-07T15:25:12Z</dcterms:modified>
</cp:coreProperties>
</file>