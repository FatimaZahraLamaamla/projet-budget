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cuments\Budget 2025\DIRECTIONS(1)\"/>
    </mc:Choice>
  </mc:AlternateContent>
  <bookViews>
    <workbookView xWindow="0" yWindow="0" windowWidth="28800" windowHeight="12432" activeTab="1"/>
  </bookViews>
  <sheets>
    <sheet name="Présentation par compte" sheetId="2" r:id="rId1"/>
    <sheet name="Budget normal" sheetId="1" r:id="rId2"/>
    <sheet name="Budget exceptionnel" sheetId="3" r:id="rId3"/>
  </sheets>
  <calcPr calcId="15251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3" i="2" l="1"/>
  <c r="G43" i="1"/>
  <c r="C13" i="2"/>
</calcChain>
</file>

<file path=xl/sharedStrings.xml><?xml version="1.0" encoding="utf-8"?>
<sst xmlns="http://schemas.openxmlformats.org/spreadsheetml/2006/main" count="396" uniqueCount="125">
  <si>
    <t xml:space="preserve">DIRECTION </t>
  </si>
  <si>
    <t>Objet de l'engagement</t>
  </si>
  <si>
    <t>Nature engagement (Exploitation/Investissement</t>
  </si>
  <si>
    <t>Description</t>
  </si>
  <si>
    <t>Justification du besoin</t>
  </si>
  <si>
    <t>Type du prestataire (Société/personne physique)</t>
  </si>
  <si>
    <t>Estimation du coût (TTC)</t>
  </si>
  <si>
    <t>Comptes budgétaires</t>
  </si>
  <si>
    <t>Intitulé</t>
  </si>
  <si>
    <t>DTSI</t>
  </si>
  <si>
    <t>Renouvellement du mur d'image LED du plateau JT pour les besoins de la chaine Alaoula de la SNRT.</t>
  </si>
  <si>
    <t>Investissement</t>
  </si>
  <si>
    <t>Matériel technique de production audio/vidéo</t>
  </si>
  <si>
    <t>Renouvellement du mur d'image LED actuel, désormais techniquement obsolète et arrivé en fin de cycle de vie, afin de répondre aux besoins de production des news de la chaîne Al Aoula de la SNRT.</t>
  </si>
  <si>
    <t>Société</t>
  </si>
  <si>
    <t>233-4</t>
  </si>
  <si>
    <t>Equipements techniques</t>
  </si>
  <si>
    <t>Mise à niveau des solutions d'habillage et de graphisme pour les besoins des chaines TV de la SNRT.</t>
  </si>
  <si>
    <t>Mettre à jour les solutions d'habillage et de graphisme actuels afin de répondre aux besoins des chaînes de télévision de la SNRT.</t>
  </si>
  <si>
    <t>Renouvellement des équipements pour le plateau JT pour les besoins de la chaine Alaoula de la SNRT.</t>
  </si>
  <si>
    <t>Mise à niveau et renouvellement des équipements audiovisuels de la chaîne Al Aoula afin de répondre aux besoins de production des actualités de la SNRT.</t>
  </si>
  <si>
    <t>Acquisition des pièces de rechanges pour les besoins des chaines TV/RADIO de la SNRT.</t>
  </si>
  <si>
    <t>Fonctionnement</t>
  </si>
  <si>
    <t>Pièces de rechange pour matériel technique de production vidéo/audio</t>
  </si>
  <si>
    <t>Répondre aux besoins de réparation et de maintenance préventive et curative des équipements audiovisuels (A/V) de la SNRT.</t>
  </si>
  <si>
    <t>Acquisition des équipements audio pour les besoins des chaines radios de la SNRT.</t>
  </si>
  <si>
    <t xml:space="preserve"> Matériel technique de production audio</t>
  </si>
  <si>
    <t>Répondre aux besoins  annuels des chaines RADIO de la SNRT.</t>
  </si>
  <si>
    <t>Acquisition de bandes LTO pour les besoins d'archivage des chaines  TV de la SNRT.</t>
  </si>
  <si>
    <t>Fourniture pour matériel technique de production audio/vidéo</t>
  </si>
  <si>
    <t>Répondre aux besoins d'archivage des chaines de télévision de la SNRT.</t>
  </si>
  <si>
    <t>612-3-4</t>
  </si>
  <si>
    <t>Autres Matières et fournitures consommables</t>
  </si>
  <si>
    <t>Acquisition des équipements pour la  mise à niveau de l'infrastructure réseau de la SNRT.</t>
  </si>
  <si>
    <t>Matériel informatique</t>
  </si>
  <si>
    <t>Refonte de l'infrastructure réseau pour le nouveau datacenter au siège de la SNRT (Partie 1/3).</t>
  </si>
  <si>
    <t>233-1</t>
  </si>
  <si>
    <t>Installations techniques</t>
  </si>
  <si>
    <t>Renouvellement et mise à niveau des systèmes et des solutions de l'infrastructure IT de la SNRT.</t>
  </si>
  <si>
    <t>Logiciel informatique</t>
  </si>
  <si>
    <t>Assurer la continuité et la sécurité des solutions en place, tout en intégrant les nouvelles technologies.</t>
  </si>
  <si>
    <t>221-1</t>
  </si>
  <si>
    <t>Immobilisations incorporelles (logiciels, licences, etc.)</t>
  </si>
  <si>
    <t>Renouvellement et mise à niveau des équipements Informatiques de la SNRT.</t>
  </si>
  <si>
    <t>Remplacement des PC Dell OptiPlex 5050 (151 unités) qui ne prennent pas en charge la mise à niveau vers Windows 11 (le support de Windows 10 prenant fin en octobre 2025) et acquisition de nouvelles imprimantes.</t>
  </si>
  <si>
    <t>235-3</t>
  </si>
  <si>
    <t>Matériel informatiques</t>
  </si>
  <si>
    <t>Renouvellement, mise à niveau et sécurisation de l'infrastructure IT/Réseau de la SNRT.</t>
  </si>
  <si>
    <t>Refonte des accès branch avec les nouvelles technologies et pratiques en matière de sécurité (SD-WAN, PAM, NAC, ZTNA).
Refonte de l'infrastructure réseau pour le nouveau datacenter au siège de la SNRT (Partie 1/3).</t>
  </si>
  <si>
    <t>Renouvellement et mise à niveau de la plateforme VoIP  pour la SNRT.</t>
  </si>
  <si>
    <t>Mettre à niveau la plateforme VOIP existante et fournir une solution de télééphonie d'entreprise moderne.</t>
  </si>
  <si>
    <t>Acquisition des consommables, accessoires, pièces de rechange et outillage informatiques pour les besoins de la SNRT.</t>
  </si>
  <si>
    <t>Consommables et pièces de rechanges</t>
  </si>
  <si>
    <t>Achats de pièces de rechange nécessaires pour maintenir le parc informatique en bon état, ainsi que l'acquisition du reste des outils identifiés comme besoins au cours de l'année 2024.</t>
  </si>
  <si>
    <t>Souscription à un abonnement annuel de licences de logiciels de montage et de graphisme pour les besoins des chaines TV de la SNRT.</t>
  </si>
  <si>
    <t>Matériel informatique, pièces de rechange et logiciels</t>
  </si>
  <si>
    <t>613-4-4</t>
  </si>
  <si>
    <t>Abonnements</t>
  </si>
  <si>
    <t>Contrat de service de support (SLA) du Système de Production News « News Room » de la SNRT.</t>
  </si>
  <si>
    <t>Entretien et maintenance des équipements  de diffusion techniques, y compris la fourniture des pièces de rechange</t>
  </si>
  <si>
    <t>613-2-5</t>
  </si>
  <si>
    <t>Entretien et maintenance matériel Informatiq &amp; logiciels</t>
  </si>
  <si>
    <t>Prestations fonctionnelles et techniques du progiciel de gestion intégré de la SNRT: JDEWARDS</t>
  </si>
  <si>
    <t>612-5-2</t>
  </si>
  <si>
    <t>Achat prestations de services locales - sociétés</t>
  </si>
  <si>
    <t>Location et infogérance de plateforme publiques d'hébergement "Cloud" et fourniture des services associés.</t>
  </si>
  <si>
    <t>Prestation de service relative au transcodage, à la distribution et au streaming de flux vidéo.</t>
  </si>
  <si>
    <t>Renouvellement et Souscription au contrat de support SLA pour le système d’automation radio des chaînes régionales SNRT.</t>
  </si>
  <si>
    <t>Renouvellement des systèmes d'automation radio vétustes des chaînes régionales de la SNRT</t>
  </si>
  <si>
    <t>Matériel technique de production vidéo</t>
  </si>
  <si>
    <t xml:space="preserve">Budget Prévisionnel en cas d'urgence </t>
  </si>
  <si>
    <t>Matériel technique de production audio</t>
  </si>
  <si>
    <t>Pièces de rechange</t>
  </si>
  <si>
    <t>Réparation, entretien, et maintenance</t>
  </si>
  <si>
    <t>Prestations techniques audiovisuelles</t>
  </si>
  <si>
    <t>Consommables, licences et logiciels</t>
  </si>
  <si>
    <t>612-4-3</t>
  </si>
  <si>
    <t>Achats Petit outillage &amp; petit équipement</t>
  </si>
  <si>
    <t>Contrat de coordination DTSI EUROVISION</t>
  </si>
  <si>
    <t>612-5-4</t>
  </si>
  <si>
    <t>Achat prestations services Etrangères</t>
  </si>
  <si>
    <t>Contrat N° xxxCT/SNRT/2025 "Abderrazzak Mouzahim"</t>
  </si>
  <si>
    <t>Personne Physique</t>
  </si>
  <si>
    <t>612-5-3</t>
  </si>
  <si>
    <t xml:space="preserve">Achat prestations de services locales - personnes physiques </t>
  </si>
  <si>
    <t>Contrat N° xxxCT/SNRT/2025 "Amal RIH"</t>
  </si>
  <si>
    <t>Contrat N° xxxCT/SNRT/2025 "Amzil Abdelhakim"</t>
  </si>
  <si>
    <t>Contrat N° xxxCT/SNRT/2025 "M'RABETT Ayoub"</t>
  </si>
  <si>
    <t>Contrat N° xxxCT/SNRT/2025 "Charcham Oussama"</t>
  </si>
  <si>
    <t>Contrat N° xxxCT/SNRT/2025 "Faridi Yahia"</t>
  </si>
  <si>
    <t>Contrat N° xxxCT/SNRT/2025 "Fliou Mohamed"</t>
  </si>
  <si>
    <t>Contrat N° xxxCT/SNRT/2025 "Meskine Ismail"</t>
  </si>
  <si>
    <t>Contrat N° xxxCT/SNRT/2025 "Skaf Yahya"</t>
  </si>
  <si>
    <t>Contrat N° xxxCT/SNRT/2025 "Amrenss Youssef"</t>
  </si>
  <si>
    <t>Contrat N° xxxCT/SNRT/2025 "Mazza Abderrahim"</t>
  </si>
  <si>
    <t>Contrat N° xxxCT/SNRT/2025 "KABBAJ Zouheir"</t>
  </si>
  <si>
    <t>Contrat N° xxxCT/SNRT/2025 "xxx"</t>
  </si>
  <si>
    <t>Contrat N° xxxCT/SNRT/2024 "Google Workspace"</t>
  </si>
  <si>
    <t>TOTAL GENERAL</t>
  </si>
  <si>
    <t>TOTAL BUDGET</t>
  </si>
  <si>
    <t>Acquisition de deux porteurs pré-câblés multi-caméras pour les besoins des moyens mobiles de la SNRT.</t>
  </si>
  <si>
    <t>Renouvellement de deux régies mobiles  pour répondre aux besoins de la production de la SNRT (HD4 et HD5).</t>
  </si>
  <si>
    <t>Acquisition de matériel audio/vidéo pour le renouvellement des dispositifs des unités mobiles de la SNRT.</t>
  </si>
  <si>
    <t>Mise à niveau et renouvellement des équipements audiovisuels des unités mobiles afin de répondre aux besoins de production des événements sportifs de la SNRT.</t>
  </si>
  <si>
    <t>Acquisition d'une unité mobile de DSNG 4K pour le renouvellement des moyens de contribution de signaux audio/vidéo par satellite pour la SNRT.</t>
  </si>
  <si>
    <t>Matériel technique de transmission</t>
  </si>
  <si>
    <t>Renouvellement d'une DSNG en fin de vie afin de répondre aux besoins de contribution des signaux audio/vidéo pour la SNRT (DSNG 5).</t>
  </si>
  <si>
    <t>Acquisition d'un mur d'image LED du plateau de la chaine Arryadia de la SNRT.</t>
  </si>
  <si>
    <t>Répondre aux besoins techniques du nouveau décor du plateau de la chaine Arryadia.</t>
  </si>
  <si>
    <t>Renouvellement des équipements Audio/Vidéo de la régie multidiffusion pour les besoins des chaines TV de la SNRT.</t>
  </si>
  <si>
    <t>Répondre aux exigences techniques du nouveau décor du plateau de la chaîne Arryadia.</t>
  </si>
  <si>
    <t>Renouvellement des équipements pour les plateaux de production pour les besoins de la chaine Arryadia de la SNRT.</t>
  </si>
  <si>
    <t>Mise à niveau et renouvellement des équipements audiovisuels de la chaîne Arryadia en vue d'augmenter le nombre de canaux de diffusion et de répondre aux besoins de production des événements sportifs réalisés par la SNRT.</t>
  </si>
  <si>
    <t>Acquisition de mélangeurs audio et de systèmes intercom pour répondre aux besoins des unités mobiles de la SNRT.</t>
  </si>
  <si>
    <t>Renouvellement des équipements d'intercommunication et des mélangeurs audio des unités mobiles afin de répondre aux besoins de production de la SNRT.</t>
  </si>
  <si>
    <t>Acquisition des équipements de machinerie et d'éclairage pour répondre aux besoins de production de la SNRT.</t>
  </si>
  <si>
    <t>Mise à niveau des équipements de machinerie et d'éclairage afin de répondre aux besoins de production de la SNRT.</t>
  </si>
  <si>
    <t>Acquisition d'équipements de codage, de décodage, d'accessoires et de câbles pour les besoins de la contribution des signaux audio/vidéo pour la SNRT.</t>
  </si>
  <si>
    <t>Acquisition d'équipements de codage et de décodage en IP afin de répondre aux besoins technologiques actuels de contribution des signaux audio/vidéo pour la SNRT.</t>
  </si>
  <si>
    <t>Acquisition des équipements audio/vidéo pour les besoins des chaines TV de la SNRT.</t>
  </si>
  <si>
    <t>Répondre aux besoins annuels des chaînes de télévision de la SNRT.</t>
  </si>
  <si>
    <t>Acquisition des équipements informatiques broadcast, pour les besoins des chaines radios régionales de la SNRT.</t>
  </si>
  <si>
    <t>Renouvellement des équipements informatiques vétustes relatifs aux systèmes d’automation des chaînes radio régionales de la SNRT.</t>
  </si>
  <si>
    <t>Normal</t>
  </si>
  <si>
    <t>Exceptionnel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</si>
</sst>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 _€_-;\-* #,##0.00\ _€_-;_-* &quot;-&quot;??\ _€_-;_-@_-"/>
    <numFmt numFmtId="164" formatCode="_-* #,##0.0000000000000000\ _€_-;\-* #,##0.0000000000000000\ _€_-;_-* &quot;-&quot;??\ _€_-;_-@_-"/>
  </numFmts>
  <fonts count="9" x14ac:knownFonts="1">
    <font>
      <sz val="11"/>
      <color theme="1"/>
      <name val="Calibri"/>
      <family val="2"/>
      <scheme val="minor"/>
    </font>
    <font>
      <sz val="11"/>
      <color theme="1"/>
      <name val="Calibri"/>
      <family val="2"/>
      <scheme val="minor"/>
    </font>
    <font>
      <sz val="12"/>
      <color theme="1"/>
      <name val="Book Antiqua"/>
      <family val="1"/>
    </font>
    <font>
      <sz val="12"/>
      <name val="Book Antiqua"/>
      <family val="1"/>
    </font>
    <font>
      <b/>
      <sz val="12"/>
      <color theme="0"/>
      <name val="Times New Roman"/>
      <family val="1"/>
    </font>
    <font>
      <b/>
      <sz val="12"/>
      <color theme="1"/>
      <name val="Times New Roman"/>
      <family val="1"/>
    </font>
    <font>
      <sz val="12"/>
      <color theme="1"/>
      <name val="Times New Roman"/>
      <family val="1"/>
    </font>
    <font>
      <b/>
      <sz val="12"/>
      <color theme="0"/>
      <name val="Book Antiqua"/>
      <family val="1"/>
    </font>
    <font>
      <b/>
      <sz val="12"/>
      <name val="Book Antiqua"/>
      <family val="1"/>
    </font>
  </fonts>
  <fills count="4">
    <fill>
      <patternFill patternType="none"/>
    </fill>
    <fill>
      <patternFill patternType="gray125"/>
    </fill>
    <fill>
      <patternFill patternType="solid">
        <fgColor theme="4" tint="-0.499984740745262"/>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9">
    <xf numFmtId="0" fontId="0" fillId="0" borderId="0" xfId="0"/>
    <xf numFmtId="0" fontId="2" fillId="0" borderId="1" xfId="0" applyFont="1" applyFill="1" applyBorder="1" applyAlignment="1">
      <alignment horizontal="center" vertical="center" wrapText="1"/>
    </xf>
    <xf numFmtId="49" fontId="3" fillId="0" borderId="1" xfId="0" applyNumberFormat="1" applyFont="1" applyFill="1" applyBorder="1" applyAlignment="1">
      <alignment vertical="center" wrapText="1" readingOrder="1"/>
    </xf>
    <xf numFmtId="49" fontId="3" fillId="0" borderId="1" xfId="0" applyNumberFormat="1" applyFont="1" applyFill="1" applyBorder="1" applyAlignment="1">
      <alignment horizontal="center" vertical="center" wrapText="1" readingOrder="1"/>
    </xf>
    <xf numFmtId="43" fontId="3" fillId="0" borderId="1" xfId="1" applyNumberFormat="1" applyFont="1" applyFill="1" applyBorder="1" applyAlignment="1">
      <alignment horizontal="center" vertical="center"/>
    </xf>
    <xf numFmtId="43" fontId="3" fillId="0" borderId="1" xfId="1" applyFont="1" applyFill="1" applyBorder="1" applyAlignment="1">
      <alignment horizontal="center" vertical="center"/>
    </xf>
    <xf numFmtId="0" fontId="2" fillId="0" borderId="1" xfId="0" applyFont="1" applyFill="1" applyBorder="1" applyAlignment="1">
      <alignment horizontal="left" vertical="center" wrapText="1"/>
    </xf>
    <xf numFmtId="0" fontId="2" fillId="0" borderId="1" xfId="0" applyFont="1" applyBorder="1"/>
    <xf numFmtId="0" fontId="4" fillId="2" borderId="1" xfId="0" applyFont="1" applyFill="1" applyBorder="1"/>
    <xf numFmtId="43" fontId="4" fillId="2" borderId="1" xfId="1" applyFont="1" applyFill="1" applyBorder="1"/>
    <xf numFmtId="0" fontId="5" fillId="0" borderId="1" xfId="0" applyFont="1" applyBorder="1"/>
    <xf numFmtId="43" fontId="6" fillId="0" borderId="1" xfId="1" applyFont="1" applyBorder="1"/>
    <xf numFmtId="43" fontId="4" fillId="2" borderId="1" xfId="0" applyNumberFormat="1" applyFont="1" applyFill="1" applyBorder="1"/>
    <xf numFmtId="0" fontId="7" fillId="2" borderId="1" xfId="0" applyFont="1" applyFill="1" applyBorder="1" applyAlignment="1">
      <alignment horizontal="center" vertical="center" wrapText="1"/>
    </xf>
    <xf numFmtId="164" fontId="7" fillId="2" borderId="1" xfId="1" applyNumberFormat="1" applyFont="1" applyFill="1" applyBorder="1" applyAlignment="1">
      <alignment horizontal="center" vertical="center" wrapText="1"/>
    </xf>
    <xf numFmtId="49" fontId="8" fillId="3" borderId="1" xfId="0" applyNumberFormat="1" applyFont="1" applyFill="1" applyBorder="1" applyAlignment="1">
      <alignment vertical="center" wrapText="1" readingOrder="1"/>
    </xf>
    <xf numFmtId="43" fontId="8" fillId="3" borderId="1" xfId="0" applyNumberFormat="1" applyFont="1" applyFill="1" applyBorder="1"/>
    <xf numFmtId="0" fontId="4" fillId="2" borderId="1" xfId="0" applyFont="1" applyFill="1" applyBorder="1" applyAlignment="1">
      <alignment horizontal="center"/>
    </xf>
    <xf numFmtId="43" fontId="2" fillId="0" borderId="1" xfId="1" applyFont="1" applyFill="1" applyBorder="1" applyAlignment="1">
      <alignment horizontal="center" vertical="center" wrapText="1"/>
    </xf>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B25" sqref="B25"/>
    </sheetView>
  </sheetViews>
  <sheetFormatPr baseColWidth="10" defaultRowHeight="14.4" x14ac:dyDescent="0.3"/>
  <cols>
    <col min="2" max="2" width="78.5546875" bestFit="1" customWidth="1"/>
    <col min="3" max="3" width="17.6640625" bestFit="1" customWidth="1"/>
    <col min="4" max="4" width="17.109375" bestFit="1" customWidth="1"/>
  </cols>
  <sheetData>
    <row r="1" spans="1:4" ht="15.6" x14ac:dyDescent="0.3">
      <c r="A1" s="8" t="s">
        <v>7</v>
      </c>
      <c r="B1" s="8" t="s">
        <v>8</v>
      </c>
      <c r="C1" s="9" t="s">
        <v>123</v>
      </c>
      <c r="D1" s="9" t="s">
        <v>124</v>
      </c>
    </row>
    <row r="2" spans="1:4" ht="15.6" x14ac:dyDescent="0.3">
      <c r="A2" s="10" t="s">
        <v>41</v>
      </c>
      <c r="B2" s="10" t="s">
        <v>42</v>
      </c>
      <c r="C2" s="11">
        <v>3599999.9999999995</v>
      </c>
      <c r="D2" s="11"/>
    </row>
    <row r="3" spans="1:4" ht="15.6" x14ac:dyDescent="0.3">
      <c r="A3" s="10" t="s">
        <v>36</v>
      </c>
      <c r="B3" s="10" t="s">
        <v>37</v>
      </c>
      <c r="C3" s="11">
        <v>16440000</v>
      </c>
      <c r="D3" s="11"/>
    </row>
    <row r="4" spans="1:4" ht="15.6" x14ac:dyDescent="0.3">
      <c r="A4" s="10" t="s">
        <v>15</v>
      </c>
      <c r="B4" s="10" t="s">
        <v>16</v>
      </c>
      <c r="C4" s="11">
        <v>20280000</v>
      </c>
      <c r="D4" s="11">
        <v>86400000</v>
      </c>
    </row>
    <row r="5" spans="1:4" ht="15.6" x14ac:dyDescent="0.3">
      <c r="A5" s="10" t="s">
        <v>45</v>
      </c>
      <c r="B5" s="10" t="s">
        <v>46</v>
      </c>
      <c r="C5" s="11">
        <v>3000000</v>
      </c>
      <c r="D5" s="11">
        <v>5760000</v>
      </c>
    </row>
    <row r="6" spans="1:4" ht="15.6" x14ac:dyDescent="0.3">
      <c r="A6" s="10" t="s">
        <v>31</v>
      </c>
      <c r="B6" s="10" t="s">
        <v>32</v>
      </c>
      <c r="C6" s="11">
        <v>2220000</v>
      </c>
      <c r="D6" s="11"/>
    </row>
    <row r="7" spans="1:4" ht="15.6" x14ac:dyDescent="0.3">
      <c r="A7" s="10" t="s">
        <v>76</v>
      </c>
      <c r="B7" s="10" t="s">
        <v>77</v>
      </c>
      <c r="C7" s="11">
        <v>120000</v>
      </c>
      <c r="D7" s="11"/>
    </row>
    <row r="8" spans="1:4" ht="15.6" x14ac:dyDescent="0.3">
      <c r="A8" s="10" t="s">
        <v>63</v>
      </c>
      <c r="B8" s="10" t="s">
        <v>64</v>
      </c>
      <c r="C8" s="11">
        <v>15061819.82</v>
      </c>
      <c r="D8" s="11"/>
    </row>
    <row r="9" spans="1:4" ht="15.6" x14ac:dyDescent="0.3">
      <c r="A9" s="10" t="s">
        <v>83</v>
      </c>
      <c r="B9" s="10" t="s">
        <v>84</v>
      </c>
      <c r="C9" s="11">
        <v>1509600</v>
      </c>
      <c r="D9" s="11"/>
    </row>
    <row r="10" spans="1:4" ht="15.6" x14ac:dyDescent="0.3">
      <c r="A10" s="10" t="s">
        <v>79</v>
      </c>
      <c r="B10" s="10" t="s">
        <v>80</v>
      </c>
      <c r="C10" s="11">
        <v>439840</v>
      </c>
      <c r="D10" s="11"/>
    </row>
    <row r="11" spans="1:4" ht="15.6" x14ac:dyDescent="0.3">
      <c r="A11" s="10" t="s">
        <v>60</v>
      </c>
      <c r="B11" s="10" t="s">
        <v>61</v>
      </c>
      <c r="C11" s="11">
        <v>1513920</v>
      </c>
      <c r="D11" s="11"/>
    </row>
    <row r="12" spans="1:4" ht="15.6" x14ac:dyDescent="0.3">
      <c r="A12" s="10" t="s">
        <v>56</v>
      </c>
      <c r="B12" s="10" t="s">
        <v>57</v>
      </c>
      <c r="C12" s="11">
        <v>494627.99999999994</v>
      </c>
      <c r="D12" s="11"/>
    </row>
    <row r="13" spans="1:4" ht="15.6" x14ac:dyDescent="0.3">
      <c r="A13" s="17" t="s">
        <v>98</v>
      </c>
      <c r="B13" s="17"/>
      <c r="C13" s="12">
        <f>+SUM(C2:C12)</f>
        <v>64679807.82</v>
      </c>
      <c r="D13" s="12">
        <f>+SUM(D2:D12)</f>
        <v>92160000</v>
      </c>
    </row>
  </sheetData>
  <mergeCells count="1">
    <mergeCell ref="A13:B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tabSelected="1" workbookViewId="0">
      <selection activeCell="C3" sqref="C3"/>
    </sheetView>
  </sheetViews>
  <sheetFormatPr baseColWidth="10" defaultColWidth="42" defaultRowHeight="14.4" x14ac:dyDescent="0.3"/>
  <cols>
    <col min="9" max="9" width="48.44140625" bestFit="1" customWidth="1"/>
  </cols>
  <sheetData>
    <row r="1" spans="1:9" ht="31.2" x14ac:dyDescent="0.3">
      <c r="A1" s="13" t="s">
        <v>0</v>
      </c>
      <c r="B1" s="13" t="s">
        <v>1</v>
      </c>
      <c r="C1" s="13" t="s">
        <v>2</v>
      </c>
      <c r="D1" s="13" t="s">
        <v>3</v>
      </c>
      <c r="E1" s="13" t="s">
        <v>4</v>
      </c>
      <c r="F1" s="13" t="s">
        <v>5</v>
      </c>
      <c r="G1" s="14" t="s">
        <v>6</v>
      </c>
      <c r="H1" s="13" t="s">
        <v>7</v>
      </c>
      <c r="I1" s="13" t="s">
        <v>8</v>
      </c>
    </row>
    <row r="2" spans="1:9" ht="93.6" x14ac:dyDescent="0.3">
      <c r="A2" s="2" t="s">
        <v>9</v>
      </c>
      <c r="B2" s="2" t="s">
        <v>10</v>
      </c>
      <c r="C2" s="2" t="s">
        <v>11</v>
      </c>
      <c r="D2" s="3" t="s">
        <v>12</v>
      </c>
      <c r="E2" s="2" t="s">
        <v>13</v>
      </c>
      <c r="F2" s="2" t="s">
        <v>14</v>
      </c>
      <c r="G2" s="4">
        <v>3360000</v>
      </c>
      <c r="H2" s="1" t="s">
        <v>15</v>
      </c>
      <c r="I2" s="1" t="s">
        <v>16</v>
      </c>
    </row>
    <row r="3" spans="1:9" ht="62.4" x14ac:dyDescent="0.3">
      <c r="A3" s="2" t="s">
        <v>9</v>
      </c>
      <c r="B3" s="2" t="s">
        <v>17</v>
      </c>
      <c r="C3" s="2" t="s">
        <v>11</v>
      </c>
      <c r="D3" s="3" t="s">
        <v>12</v>
      </c>
      <c r="E3" s="2" t="s">
        <v>18</v>
      </c>
      <c r="F3" s="2" t="s">
        <v>14</v>
      </c>
      <c r="G3" s="4">
        <v>2400000</v>
      </c>
      <c r="H3" s="1" t="s">
        <v>15</v>
      </c>
      <c r="I3" s="1" t="s">
        <v>16</v>
      </c>
    </row>
    <row r="4" spans="1:9" ht="62.4" x14ac:dyDescent="0.3">
      <c r="A4" s="2" t="s">
        <v>9</v>
      </c>
      <c r="B4" s="2" t="s">
        <v>19</v>
      </c>
      <c r="C4" s="2" t="s">
        <v>11</v>
      </c>
      <c r="D4" s="3" t="s">
        <v>12</v>
      </c>
      <c r="E4" s="2" t="s">
        <v>20</v>
      </c>
      <c r="F4" s="2" t="s">
        <v>14</v>
      </c>
      <c r="G4" s="4">
        <v>9600000</v>
      </c>
      <c r="H4" s="1" t="s">
        <v>15</v>
      </c>
      <c r="I4" s="1" t="s">
        <v>16</v>
      </c>
    </row>
    <row r="5" spans="1:9" ht="62.4" x14ac:dyDescent="0.3">
      <c r="A5" s="2" t="s">
        <v>9</v>
      </c>
      <c r="B5" s="2" t="s">
        <v>21</v>
      </c>
      <c r="C5" s="2" t="s">
        <v>22</v>
      </c>
      <c r="D5" s="3" t="s">
        <v>23</v>
      </c>
      <c r="E5" s="2" t="s">
        <v>24</v>
      </c>
      <c r="F5" s="2" t="s">
        <v>14</v>
      </c>
      <c r="G5" s="4">
        <v>2040000</v>
      </c>
      <c r="H5" s="1" t="s">
        <v>15</v>
      </c>
      <c r="I5" s="1" t="s">
        <v>16</v>
      </c>
    </row>
    <row r="6" spans="1:9" ht="46.8" x14ac:dyDescent="0.3">
      <c r="A6" s="2" t="s">
        <v>9</v>
      </c>
      <c r="B6" s="2" t="s">
        <v>25</v>
      </c>
      <c r="C6" s="2" t="s">
        <v>11</v>
      </c>
      <c r="D6" s="3" t="s">
        <v>26</v>
      </c>
      <c r="E6" s="2" t="s">
        <v>27</v>
      </c>
      <c r="F6" s="2" t="s">
        <v>14</v>
      </c>
      <c r="G6" s="4">
        <v>2400000</v>
      </c>
      <c r="H6" s="1" t="s">
        <v>15</v>
      </c>
      <c r="I6" s="1" t="s">
        <v>16</v>
      </c>
    </row>
    <row r="7" spans="1:9" ht="46.8" x14ac:dyDescent="0.3">
      <c r="A7" s="2" t="s">
        <v>9</v>
      </c>
      <c r="B7" s="2" t="s">
        <v>28</v>
      </c>
      <c r="C7" s="2" t="s">
        <v>22</v>
      </c>
      <c r="D7" s="3" t="s">
        <v>29</v>
      </c>
      <c r="E7" s="2" t="s">
        <v>30</v>
      </c>
      <c r="F7" s="2" t="s">
        <v>14</v>
      </c>
      <c r="G7" s="4">
        <v>300000</v>
      </c>
      <c r="H7" s="1" t="s">
        <v>31</v>
      </c>
      <c r="I7" s="1" t="s">
        <v>32</v>
      </c>
    </row>
    <row r="8" spans="1:9" ht="46.8" x14ac:dyDescent="0.3">
      <c r="A8" s="2" t="s">
        <v>9</v>
      </c>
      <c r="B8" s="2" t="s">
        <v>33</v>
      </c>
      <c r="C8" s="2" t="s">
        <v>11</v>
      </c>
      <c r="D8" s="3" t="s">
        <v>34</v>
      </c>
      <c r="E8" s="2" t="s">
        <v>35</v>
      </c>
      <c r="F8" s="2" t="s">
        <v>14</v>
      </c>
      <c r="G8" s="4">
        <v>5040000</v>
      </c>
      <c r="H8" s="1" t="s">
        <v>36</v>
      </c>
      <c r="I8" s="1" t="s">
        <v>37</v>
      </c>
    </row>
    <row r="9" spans="1:9" ht="46.8" x14ac:dyDescent="0.3">
      <c r="A9" s="2" t="s">
        <v>9</v>
      </c>
      <c r="B9" s="2" t="s">
        <v>38</v>
      </c>
      <c r="C9" s="2" t="s">
        <v>11</v>
      </c>
      <c r="D9" s="3" t="s">
        <v>39</v>
      </c>
      <c r="E9" s="2" t="s">
        <v>40</v>
      </c>
      <c r="F9" s="2" t="s">
        <v>14</v>
      </c>
      <c r="G9" s="4">
        <v>3599999.9999999995</v>
      </c>
      <c r="H9" s="1" t="s">
        <v>41</v>
      </c>
      <c r="I9" s="1" t="s">
        <v>42</v>
      </c>
    </row>
    <row r="10" spans="1:9" ht="93.6" x14ac:dyDescent="0.3">
      <c r="A10" s="2" t="s">
        <v>9</v>
      </c>
      <c r="B10" s="2" t="s">
        <v>43</v>
      </c>
      <c r="C10" s="2" t="s">
        <v>11</v>
      </c>
      <c r="D10" s="3" t="s">
        <v>34</v>
      </c>
      <c r="E10" s="2" t="s">
        <v>44</v>
      </c>
      <c r="F10" s="2" t="s">
        <v>14</v>
      </c>
      <c r="G10" s="4">
        <v>3000000</v>
      </c>
      <c r="H10" s="1" t="s">
        <v>45</v>
      </c>
      <c r="I10" s="1" t="s">
        <v>46</v>
      </c>
    </row>
    <row r="11" spans="1:9" ht="109.2" x14ac:dyDescent="0.3">
      <c r="A11" s="2" t="s">
        <v>9</v>
      </c>
      <c r="B11" s="2" t="s">
        <v>47</v>
      </c>
      <c r="C11" s="2" t="s">
        <v>11</v>
      </c>
      <c r="D11" s="3" t="s">
        <v>34</v>
      </c>
      <c r="E11" s="2" t="s">
        <v>48</v>
      </c>
      <c r="F11" s="2" t="s">
        <v>14</v>
      </c>
      <c r="G11" s="4">
        <v>10200000</v>
      </c>
      <c r="H11" s="1" t="s">
        <v>36</v>
      </c>
      <c r="I11" s="1" t="s">
        <v>37</v>
      </c>
    </row>
    <row r="12" spans="1:9" ht="46.8" x14ac:dyDescent="0.3">
      <c r="A12" s="2" t="s">
        <v>9</v>
      </c>
      <c r="B12" s="2" t="s">
        <v>49</v>
      </c>
      <c r="C12" s="2" t="s">
        <v>11</v>
      </c>
      <c r="D12" s="3" t="s">
        <v>34</v>
      </c>
      <c r="E12" s="2" t="s">
        <v>50</v>
      </c>
      <c r="F12" s="2" t="s">
        <v>14</v>
      </c>
      <c r="G12" s="4">
        <v>1200000</v>
      </c>
      <c r="H12" s="1" t="s">
        <v>36</v>
      </c>
      <c r="I12" s="1" t="s">
        <v>37</v>
      </c>
    </row>
    <row r="13" spans="1:9" ht="93.6" x14ac:dyDescent="0.3">
      <c r="A13" s="2" t="s">
        <v>9</v>
      </c>
      <c r="B13" s="2" t="s">
        <v>51</v>
      </c>
      <c r="C13" s="2" t="s">
        <v>22</v>
      </c>
      <c r="D13" s="3" t="s">
        <v>52</v>
      </c>
      <c r="E13" s="2" t="s">
        <v>53</v>
      </c>
      <c r="F13" s="2" t="s">
        <v>14</v>
      </c>
      <c r="G13" s="4">
        <v>1799999.9999999998</v>
      </c>
      <c r="H13" s="1" t="s">
        <v>31</v>
      </c>
      <c r="I13" s="1" t="s">
        <v>32</v>
      </c>
    </row>
    <row r="14" spans="1:9" ht="62.4" x14ac:dyDescent="0.3">
      <c r="A14" s="2" t="s">
        <v>9</v>
      </c>
      <c r="B14" s="2" t="s">
        <v>54</v>
      </c>
      <c r="C14" s="2" t="s">
        <v>22</v>
      </c>
      <c r="D14" s="3"/>
      <c r="E14" s="2" t="s">
        <v>55</v>
      </c>
      <c r="F14" s="2" t="s">
        <v>14</v>
      </c>
      <c r="G14" s="4">
        <v>494627.99999999994</v>
      </c>
      <c r="H14" s="1" t="s">
        <v>56</v>
      </c>
      <c r="I14" s="1" t="s">
        <v>57</v>
      </c>
    </row>
    <row r="15" spans="1:9" ht="62.4" x14ac:dyDescent="0.3">
      <c r="A15" s="2" t="s">
        <v>9</v>
      </c>
      <c r="B15" s="2" t="s">
        <v>58</v>
      </c>
      <c r="C15" s="2" t="s">
        <v>22</v>
      </c>
      <c r="D15" s="3"/>
      <c r="E15" s="2" t="s">
        <v>59</v>
      </c>
      <c r="F15" s="2" t="s">
        <v>14</v>
      </c>
      <c r="G15" s="5">
        <v>1393920</v>
      </c>
      <c r="H15" s="1" t="s">
        <v>60</v>
      </c>
      <c r="I15" s="1" t="s">
        <v>61</v>
      </c>
    </row>
    <row r="16" spans="1:9" ht="46.8" x14ac:dyDescent="0.3">
      <c r="A16" s="2" t="s">
        <v>9</v>
      </c>
      <c r="B16" s="2" t="s">
        <v>62</v>
      </c>
      <c r="C16" s="2" t="s">
        <v>22</v>
      </c>
      <c r="D16" s="3"/>
      <c r="E16" s="2"/>
      <c r="F16" s="2" t="s">
        <v>14</v>
      </c>
      <c r="G16" s="4">
        <v>1362240</v>
      </c>
      <c r="H16" s="1" t="s">
        <v>63</v>
      </c>
      <c r="I16" s="1" t="s">
        <v>64</v>
      </c>
    </row>
    <row r="17" spans="1:9" ht="46.8" x14ac:dyDescent="0.3">
      <c r="A17" s="2" t="s">
        <v>9</v>
      </c>
      <c r="B17" s="2" t="s">
        <v>65</v>
      </c>
      <c r="C17" s="2" t="s">
        <v>22</v>
      </c>
      <c r="D17" s="3"/>
      <c r="E17" s="2"/>
      <c r="F17" s="2" t="s">
        <v>14</v>
      </c>
      <c r="G17" s="4">
        <v>375420.00000000006</v>
      </c>
      <c r="H17" s="1" t="s">
        <v>63</v>
      </c>
      <c r="I17" s="1" t="s">
        <v>64</v>
      </c>
    </row>
    <row r="18" spans="1:9" ht="46.8" x14ac:dyDescent="0.3">
      <c r="A18" s="6" t="s">
        <v>9</v>
      </c>
      <c r="B18" s="2" t="s">
        <v>66</v>
      </c>
      <c r="C18" s="2" t="s">
        <v>22</v>
      </c>
      <c r="D18" s="3"/>
      <c r="E18" s="2"/>
      <c r="F18" s="2" t="s">
        <v>14</v>
      </c>
      <c r="G18" s="5">
        <v>7204159.8200000003</v>
      </c>
      <c r="H18" s="1" t="s">
        <v>63</v>
      </c>
      <c r="I18" s="1" t="s">
        <v>64</v>
      </c>
    </row>
    <row r="19" spans="1:9" ht="62.4" x14ac:dyDescent="0.3">
      <c r="A19" s="2" t="s">
        <v>9</v>
      </c>
      <c r="B19" s="2" t="s">
        <v>67</v>
      </c>
      <c r="C19" s="2" t="s">
        <v>22</v>
      </c>
      <c r="D19" s="2" t="s">
        <v>39</v>
      </c>
      <c r="E19" s="2" t="s">
        <v>68</v>
      </c>
      <c r="F19" s="2" t="s">
        <v>14</v>
      </c>
      <c r="G19" s="5">
        <v>6000000</v>
      </c>
      <c r="H19" s="1" t="s">
        <v>63</v>
      </c>
      <c r="I19" s="1" t="s">
        <v>64</v>
      </c>
    </row>
    <row r="20" spans="1:9" ht="15.6" x14ac:dyDescent="0.3">
      <c r="A20" s="2" t="s">
        <v>9</v>
      </c>
      <c r="B20" s="2" t="s">
        <v>69</v>
      </c>
      <c r="C20" s="2" t="s">
        <v>11</v>
      </c>
      <c r="D20" s="3"/>
      <c r="E20" s="2" t="s">
        <v>70</v>
      </c>
      <c r="F20" s="2"/>
      <c r="G20" s="4">
        <v>360000</v>
      </c>
      <c r="H20" s="1" t="s">
        <v>15</v>
      </c>
      <c r="I20" s="1" t="s">
        <v>16</v>
      </c>
    </row>
    <row r="21" spans="1:9" ht="15.6" x14ac:dyDescent="0.3">
      <c r="A21" s="2" t="s">
        <v>9</v>
      </c>
      <c r="B21" s="2" t="s">
        <v>71</v>
      </c>
      <c r="C21" s="2" t="s">
        <v>11</v>
      </c>
      <c r="D21" s="3"/>
      <c r="E21" s="2" t="s">
        <v>70</v>
      </c>
      <c r="F21" s="2"/>
      <c r="G21" s="4">
        <v>120000</v>
      </c>
      <c r="H21" s="1" t="s">
        <v>15</v>
      </c>
      <c r="I21" s="1" t="s">
        <v>16</v>
      </c>
    </row>
    <row r="22" spans="1:9" ht="15.6" x14ac:dyDescent="0.3">
      <c r="A22" s="2" t="s">
        <v>9</v>
      </c>
      <c r="B22" s="2" t="s">
        <v>72</v>
      </c>
      <c r="C22" s="2" t="s">
        <v>22</v>
      </c>
      <c r="D22" s="3"/>
      <c r="E22" s="2" t="s">
        <v>70</v>
      </c>
      <c r="F22" s="2"/>
      <c r="G22" s="4">
        <v>120000</v>
      </c>
      <c r="H22" s="1" t="s">
        <v>31</v>
      </c>
      <c r="I22" s="7" t="s">
        <v>32</v>
      </c>
    </row>
    <row r="23" spans="1:9" ht="31.2" x14ac:dyDescent="0.3">
      <c r="A23" s="2" t="s">
        <v>9</v>
      </c>
      <c r="B23" s="2" t="s">
        <v>73</v>
      </c>
      <c r="C23" s="2" t="s">
        <v>22</v>
      </c>
      <c r="D23" s="3"/>
      <c r="E23" s="2" t="s">
        <v>70</v>
      </c>
      <c r="F23" s="2"/>
      <c r="G23" s="4">
        <v>120000</v>
      </c>
      <c r="H23" s="1" t="s">
        <v>60</v>
      </c>
      <c r="I23" s="1" t="s">
        <v>61</v>
      </c>
    </row>
    <row r="24" spans="1:9" ht="15.6" x14ac:dyDescent="0.3">
      <c r="A24" s="2" t="s">
        <v>9</v>
      </c>
      <c r="B24" s="2" t="s">
        <v>74</v>
      </c>
      <c r="C24" s="2" t="s">
        <v>22</v>
      </c>
      <c r="D24" s="3"/>
      <c r="E24" s="2" t="s">
        <v>70</v>
      </c>
      <c r="F24" s="2"/>
      <c r="G24" s="4">
        <v>120000</v>
      </c>
      <c r="H24" s="1" t="s">
        <v>63</v>
      </c>
      <c r="I24" s="1" t="s">
        <v>64</v>
      </c>
    </row>
    <row r="25" spans="1:9" ht="15.6" x14ac:dyDescent="0.3">
      <c r="A25" s="2" t="s">
        <v>9</v>
      </c>
      <c r="B25" s="2" t="s">
        <v>75</v>
      </c>
      <c r="C25" s="2" t="s">
        <v>22</v>
      </c>
      <c r="D25" s="3"/>
      <c r="E25" s="2" t="s">
        <v>70</v>
      </c>
      <c r="F25" s="2"/>
      <c r="G25" s="4">
        <v>120000</v>
      </c>
      <c r="H25" s="1" t="s">
        <v>76</v>
      </c>
      <c r="I25" s="7" t="s">
        <v>77</v>
      </c>
    </row>
    <row r="26" spans="1:9" ht="31.2" x14ac:dyDescent="0.3">
      <c r="A26" s="2" t="s">
        <v>9</v>
      </c>
      <c r="B26" s="2" t="s">
        <v>78</v>
      </c>
      <c r="C26" s="2" t="s">
        <v>22</v>
      </c>
      <c r="D26" s="3"/>
      <c r="E26" s="2"/>
      <c r="F26" s="2" t="s">
        <v>14</v>
      </c>
      <c r="G26" s="4">
        <v>100000</v>
      </c>
      <c r="H26" s="1" t="s">
        <v>79</v>
      </c>
      <c r="I26" s="1" t="s">
        <v>80</v>
      </c>
    </row>
    <row r="27" spans="1:9" ht="31.2" x14ac:dyDescent="0.3">
      <c r="A27" s="2" t="s">
        <v>9</v>
      </c>
      <c r="B27" s="2" t="s">
        <v>81</v>
      </c>
      <c r="C27" s="2" t="s">
        <v>22</v>
      </c>
      <c r="D27" s="3"/>
      <c r="E27" s="2"/>
      <c r="F27" s="2" t="s">
        <v>82</v>
      </c>
      <c r="G27" s="4">
        <v>148800</v>
      </c>
      <c r="H27" s="1" t="s">
        <v>83</v>
      </c>
      <c r="I27" s="1" t="s">
        <v>84</v>
      </c>
    </row>
    <row r="28" spans="1:9" ht="31.2" x14ac:dyDescent="0.3">
      <c r="A28" s="2" t="s">
        <v>9</v>
      </c>
      <c r="B28" s="2" t="s">
        <v>85</v>
      </c>
      <c r="C28" s="2" t="s">
        <v>22</v>
      </c>
      <c r="D28" s="3"/>
      <c r="E28" s="2"/>
      <c r="F28" s="2" t="s">
        <v>82</v>
      </c>
      <c r="G28" s="4">
        <v>148800</v>
      </c>
      <c r="H28" s="1" t="s">
        <v>83</v>
      </c>
      <c r="I28" s="1" t="s">
        <v>84</v>
      </c>
    </row>
    <row r="29" spans="1:9" ht="31.2" x14ac:dyDescent="0.3">
      <c r="A29" s="2" t="s">
        <v>9</v>
      </c>
      <c r="B29" s="2" t="s">
        <v>86</v>
      </c>
      <c r="C29" s="2" t="s">
        <v>22</v>
      </c>
      <c r="D29" s="3"/>
      <c r="E29" s="2"/>
      <c r="F29" s="2" t="s">
        <v>82</v>
      </c>
      <c r="G29" s="4">
        <v>96000</v>
      </c>
      <c r="H29" s="1" t="s">
        <v>83</v>
      </c>
      <c r="I29" s="1" t="s">
        <v>84</v>
      </c>
    </row>
    <row r="30" spans="1:9" ht="31.2" x14ac:dyDescent="0.3">
      <c r="A30" s="2" t="s">
        <v>9</v>
      </c>
      <c r="B30" s="2" t="s">
        <v>87</v>
      </c>
      <c r="C30" s="2" t="s">
        <v>22</v>
      </c>
      <c r="D30" s="3"/>
      <c r="E30" s="2"/>
      <c r="F30" s="2" t="s">
        <v>82</v>
      </c>
      <c r="G30" s="4">
        <v>96000</v>
      </c>
      <c r="H30" s="1" t="s">
        <v>83</v>
      </c>
      <c r="I30" s="1" t="s">
        <v>84</v>
      </c>
    </row>
    <row r="31" spans="1:9" ht="31.2" x14ac:dyDescent="0.3">
      <c r="A31" s="2" t="s">
        <v>9</v>
      </c>
      <c r="B31" s="2" t="s">
        <v>88</v>
      </c>
      <c r="C31" s="2" t="s">
        <v>22</v>
      </c>
      <c r="D31" s="3"/>
      <c r="E31" s="2"/>
      <c r="F31" s="2" t="s">
        <v>82</v>
      </c>
      <c r="G31" s="4">
        <v>96000</v>
      </c>
      <c r="H31" s="1" t="s">
        <v>83</v>
      </c>
      <c r="I31" s="1" t="s">
        <v>84</v>
      </c>
    </row>
    <row r="32" spans="1:9" ht="31.2" x14ac:dyDescent="0.3">
      <c r="A32" s="2" t="s">
        <v>9</v>
      </c>
      <c r="B32" s="2" t="s">
        <v>89</v>
      </c>
      <c r="C32" s="2" t="s">
        <v>22</v>
      </c>
      <c r="D32" s="3"/>
      <c r="E32" s="2"/>
      <c r="F32" s="2" t="s">
        <v>82</v>
      </c>
      <c r="G32" s="4">
        <v>96000</v>
      </c>
      <c r="H32" s="1" t="s">
        <v>83</v>
      </c>
      <c r="I32" s="1" t="s">
        <v>84</v>
      </c>
    </row>
    <row r="33" spans="1:9" ht="31.2" x14ac:dyDescent="0.3">
      <c r="A33" s="2" t="s">
        <v>9</v>
      </c>
      <c r="B33" s="2" t="s">
        <v>90</v>
      </c>
      <c r="C33" s="2" t="s">
        <v>22</v>
      </c>
      <c r="D33" s="3"/>
      <c r="E33" s="2"/>
      <c r="F33" s="2" t="s">
        <v>82</v>
      </c>
      <c r="G33" s="4">
        <v>96000</v>
      </c>
      <c r="H33" s="1" t="s">
        <v>83</v>
      </c>
      <c r="I33" s="1" t="s">
        <v>84</v>
      </c>
    </row>
    <row r="34" spans="1:9" ht="31.2" x14ac:dyDescent="0.3">
      <c r="A34" s="2" t="s">
        <v>9</v>
      </c>
      <c r="B34" s="2" t="s">
        <v>91</v>
      </c>
      <c r="C34" s="2" t="s">
        <v>22</v>
      </c>
      <c r="D34" s="3"/>
      <c r="E34" s="2"/>
      <c r="F34" s="2" t="s">
        <v>82</v>
      </c>
      <c r="G34" s="4">
        <v>96000</v>
      </c>
      <c r="H34" s="1" t="s">
        <v>83</v>
      </c>
      <c r="I34" s="1" t="s">
        <v>84</v>
      </c>
    </row>
    <row r="35" spans="1:9" ht="31.2" x14ac:dyDescent="0.3">
      <c r="A35" s="2" t="s">
        <v>9</v>
      </c>
      <c r="B35" s="2" t="s">
        <v>92</v>
      </c>
      <c r="C35" s="2" t="s">
        <v>22</v>
      </c>
      <c r="D35" s="3"/>
      <c r="E35" s="2"/>
      <c r="F35" s="2" t="s">
        <v>82</v>
      </c>
      <c r="G35" s="4">
        <v>96000</v>
      </c>
      <c r="H35" s="1" t="s">
        <v>83</v>
      </c>
      <c r="I35" s="1" t="s">
        <v>84</v>
      </c>
    </row>
    <row r="36" spans="1:9" ht="31.2" x14ac:dyDescent="0.3">
      <c r="A36" s="2" t="s">
        <v>9</v>
      </c>
      <c r="B36" s="2" t="s">
        <v>93</v>
      </c>
      <c r="C36" s="2" t="s">
        <v>22</v>
      </c>
      <c r="D36" s="3"/>
      <c r="E36" s="2"/>
      <c r="F36" s="2" t="s">
        <v>82</v>
      </c>
      <c r="G36" s="4">
        <v>96000</v>
      </c>
      <c r="H36" s="1" t="s">
        <v>83</v>
      </c>
      <c r="I36" s="1" t="s">
        <v>84</v>
      </c>
    </row>
    <row r="37" spans="1:9" ht="31.2" x14ac:dyDescent="0.3">
      <c r="A37" s="2" t="s">
        <v>9</v>
      </c>
      <c r="B37" s="2" t="s">
        <v>94</v>
      </c>
      <c r="C37" s="2" t="s">
        <v>22</v>
      </c>
      <c r="D37" s="3"/>
      <c r="E37" s="2"/>
      <c r="F37" s="2" t="s">
        <v>82</v>
      </c>
      <c r="G37" s="4">
        <v>108000</v>
      </c>
      <c r="H37" s="1" t="s">
        <v>83</v>
      </c>
      <c r="I37" s="1" t="s">
        <v>84</v>
      </c>
    </row>
    <row r="38" spans="1:9" ht="31.2" x14ac:dyDescent="0.3">
      <c r="A38" s="2" t="s">
        <v>9</v>
      </c>
      <c r="B38" s="2" t="s">
        <v>95</v>
      </c>
      <c r="C38" s="2" t="s">
        <v>22</v>
      </c>
      <c r="D38" s="3"/>
      <c r="E38" s="2"/>
      <c r="F38" s="2" t="s">
        <v>82</v>
      </c>
      <c r="G38" s="4">
        <v>96000</v>
      </c>
      <c r="H38" s="1" t="s">
        <v>83</v>
      </c>
      <c r="I38" s="1" t="s">
        <v>84</v>
      </c>
    </row>
    <row r="39" spans="1:9" ht="31.2" x14ac:dyDescent="0.3">
      <c r="A39" s="2" t="s">
        <v>9</v>
      </c>
      <c r="B39" s="2" t="s">
        <v>94</v>
      </c>
      <c r="C39" s="2" t="s">
        <v>22</v>
      </c>
      <c r="D39" s="3"/>
      <c r="E39" s="2"/>
      <c r="F39" s="2" t="s">
        <v>82</v>
      </c>
      <c r="G39" s="4">
        <v>108000</v>
      </c>
      <c r="H39" s="1" t="s">
        <v>83</v>
      </c>
      <c r="I39" s="1" t="s">
        <v>84</v>
      </c>
    </row>
    <row r="40" spans="1:9" ht="31.2" x14ac:dyDescent="0.3">
      <c r="A40" s="2" t="s">
        <v>9</v>
      </c>
      <c r="B40" s="2" t="s">
        <v>96</v>
      </c>
      <c r="C40" s="2" t="s">
        <v>22</v>
      </c>
      <c r="D40" s="3"/>
      <c r="E40" s="2"/>
      <c r="F40" s="2" t="s">
        <v>82</v>
      </c>
      <c r="G40" s="4">
        <v>66000</v>
      </c>
      <c r="H40" s="1" t="s">
        <v>83</v>
      </c>
      <c r="I40" s="1" t="s">
        <v>84</v>
      </c>
    </row>
    <row r="41" spans="1:9" ht="31.2" x14ac:dyDescent="0.3">
      <c r="A41" s="2" t="s">
        <v>9</v>
      </c>
      <c r="B41" s="2" t="s">
        <v>96</v>
      </c>
      <c r="C41" s="2" t="s">
        <v>22</v>
      </c>
      <c r="D41" s="3"/>
      <c r="E41" s="2"/>
      <c r="F41" s="2" t="s">
        <v>82</v>
      </c>
      <c r="G41" s="4">
        <v>66000</v>
      </c>
      <c r="H41" s="1" t="s">
        <v>83</v>
      </c>
      <c r="I41" s="1" t="s">
        <v>84</v>
      </c>
    </row>
    <row r="42" spans="1:9" ht="31.2" x14ac:dyDescent="0.3">
      <c r="A42" s="2" t="s">
        <v>9</v>
      </c>
      <c r="B42" s="2" t="s">
        <v>97</v>
      </c>
      <c r="C42" s="2" t="s">
        <v>22</v>
      </c>
      <c r="D42" s="3"/>
      <c r="E42" s="2"/>
      <c r="F42" s="2" t="s">
        <v>82</v>
      </c>
      <c r="G42" s="4">
        <v>339840</v>
      </c>
      <c r="H42" s="1" t="s">
        <v>79</v>
      </c>
      <c r="I42" s="1" t="s">
        <v>80</v>
      </c>
    </row>
    <row r="43" spans="1:9" ht="15.6" x14ac:dyDescent="0.3">
      <c r="F43" s="15" t="s">
        <v>99</v>
      </c>
      <c r="G43" s="16">
        <f>+SUM(G2:G42)</f>
        <v>64679807.82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topLeftCell="C8" workbookViewId="0">
      <selection activeCell="F22" sqref="F22"/>
    </sheetView>
  </sheetViews>
  <sheetFormatPr baseColWidth="10" defaultRowHeight="14.4" x14ac:dyDescent="0.3"/>
  <cols>
    <col min="2" max="2" width="49.5546875" customWidth="1"/>
    <col min="3" max="3" width="15.77734375" customWidth="1"/>
    <col min="4" max="4" width="30.44140625" customWidth="1"/>
    <col min="5" max="5" width="53.44140625" customWidth="1"/>
    <col min="6" max="6" width="17.109375" bestFit="1" customWidth="1"/>
    <col min="7" max="7" width="15.88671875" customWidth="1"/>
    <col min="8" max="8" width="27.77734375" customWidth="1"/>
  </cols>
  <sheetData>
    <row r="1" spans="1:8" ht="93.6" x14ac:dyDescent="0.3">
      <c r="A1" s="1" t="s">
        <v>0</v>
      </c>
      <c r="B1" s="1" t="s">
        <v>1</v>
      </c>
      <c r="C1" s="1" t="s">
        <v>2</v>
      </c>
      <c r="D1" s="1" t="s">
        <v>3</v>
      </c>
      <c r="E1" s="1" t="s">
        <v>4</v>
      </c>
      <c r="F1" s="18" t="s">
        <v>6</v>
      </c>
      <c r="G1" s="1" t="s">
        <v>7</v>
      </c>
      <c r="H1" s="1" t="s">
        <v>8</v>
      </c>
    </row>
    <row r="2" spans="1:8" ht="46.8" x14ac:dyDescent="0.3">
      <c r="A2" s="2" t="s">
        <v>9</v>
      </c>
      <c r="B2" s="2" t="s">
        <v>100</v>
      </c>
      <c r="C2" s="2" t="s">
        <v>11</v>
      </c>
      <c r="D2" s="3" t="s">
        <v>12</v>
      </c>
      <c r="E2" s="2" t="s">
        <v>101</v>
      </c>
      <c r="F2" s="5">
        <v>24000000</v>
      </c>
      <c r="G2" s="1" t="s">
        <v>15</v>
      </c>
      <c r="H2" s="1" t="s">
        <v>16</v>
      </c>
    </row>
    <row r="3" spans="1:8" ht="62.4" x14ac:dyDescent="0.3">
      <c r="A3" s="2" t="s">
        <v>9</v>
      </c>
      <c r="B3" s="2" t="s">
        <v>102</v>
      </c>
      <c r="C3" s="2" t="s">
        <v>11</v>
      </c>
      <c r="D3" s="3" t="s">
        <v>12</v>
      </c>
      <c r="E3" s="2" t="s">
        <v>103</v>
      </c>
      <c r="F3" s="5">
        <v>25200000</v>
      </c>
      <c r="G3" s="1" t="s">
        <v>15</v>
      </c>
      <c r="H3" s="1" t="s">
        <v>16</v>
      </c>
    </row>
    <row r="4" spans="1:8" ht="62.4" x14ac:dyDescent="0.3">
      <c r="A4" s="2" t="s">
        <v>9</v>
      </c>
      <c r="B4" s="2" t="s">
        <v>104</v>
      </c>
      <c r="C4" s="2" t="s">
        <v>11</v>
      </c>
      <c r="D4" s="3" t="s">
        <v>105</v>
      </c>
      <c r="E4" s="2" t="s">
        <v>106</v>
      </c>
      <c r="F4" s="5">
        <v>8400000</v>
      </c>
      <c r="G4" s="1" t="s">
        <v>15</v>
      </c>
      <c r="H4" s="1" t="s">
        <v>16</v>
      </c>
    </row>
    <row r="5" spans="1:8" ht="31.2" x14ac:dyDescent="0.3">
      <c r="A5" s="2" t="s">
        <v>9</v>
      </c>
      <c r="B5" s="2" t="s">
        <v>107</v>
      </c>
      <c r="C5" s="2" t="s">
        <v>11</v>
      </c>
      <c r="D5" s="3" t="s">
        <v>12</v>
      </c>
      <c r="E5" s="2" t="s">
        <v>108</v>
      </c>
      <c r="F5" s="5">
        <v>6000000</v>
      </c>
      <c r="G5" s="1" t="s">
        <v>15</v>
      </c>
      <c r="H5" s="1" t="s">
        <v>16</v>
      </c>
    </row>
    <row r="6" spans="1:8" ht="46.8" x14ac:dyDescent="0.3">
      <c r="A6" s="2" t="s">
        <v>9</v>
      </c>
      <c r="B6" s="2" t="s">
        <v>109</v>
      </c>
      <c r="C6" s="2" t="s">
        <v>11</v>
      </c>
      <c r="D6" s="3" t="s">
        <v>12</v>
      </c>
      <c r="E6" s="2" t="s">
        <v>110</v>
      </c>
      <c r="F6" s="5">
        <v>3599999.9999999995</v>
      </c>
      <c r="G6" s="1" t="s">
        <v>15</v>
      </c>
      <c r="H6" s="1" t="s">
        <v>16</v>
      </c>
    </row>
    <row r="7" spans="1:8" ht="78" x14ac:dyDescent="0.3">
      <c r="A7" s="2" t="s">
        <v>9</v>
      </c>
      <c r="B7" s="2" t="s">
        <v>111</v>
      </c>
      <c r="C7" s="2" t="s">
        <v>11</v>
      </c>
      <c r="D7" s="3" t="s">
        <v>12</v>
      </c>
      <c r="E7" s="2" t="s">
        <v>112</v>
      </c>
      <c r="F7" s="5">
        <v>3599999.9999999995</v>
      </c>
      <c r="G7" s="1" t="s">
        <v>15</v>
      </c>
      <c r="H7" s="1" t="s">
        <v>16</v>
      </c>
    </row>
    <row r="8" spans="1:8" ht="62.4" x14ac:dyDescent="0.3">
      <c r="A8" s="2" t="s">
        <v>9</v>
      </c>
      <c r="B8" s="2" t="s">
        <v>113</v>
      </c>
      <c r="C8" s="2" t="s">
        <v>11</v>
      </c>
      <c r="D8" s="3" t="s">
        <v>26</v>
      </c>
      <c r="E8" s="2" t="s">
        <v>114</v>
      </c>
      <c r="F8" s="4">
        <v>6000000</v>
      </c>
      <c r="G8" s="1" t="s">
        <v>15</v>
      </c>
      <c r="H8" s="1" t="s">
        <v>16</v>
      </c>
    </row>
    <row r="9" spans="1:8" ht="46.8" x14ac:dyDescent="0.3">
      <c r="A9" s="2" t="s">
        <v>9</v>
      </c>
      <c r="B9" s="2" t="s">
        <v>115</v>
      </c>
      <c r="C9" s="2" t="s">
        <v>11</v>
      </c>
      <c r="D9" s="3" t="s">
        <v>12</v>
      </c>
      <c r="E9" s="2" t="s">
        <v>116</v>
      </c>
      <c r="F9" s="4">
        <v>1200000</v>
      </c>
      <c r="G9" s="1" t="s">
        <v>15</v>
      </c>
      <c r="H9" s="1" t="s">
        <v>16</v>
      </c>
    </row>
    <row r="10" spans="1:8" ht="62.4" x14ac:dyDescent="0.3">
      <c r="A10" s="2" t="s">
        <v>9</v>
      </c>
      <c r="B10" s="2" t="s">
        <v>117</v>
      </c>
      <c r="C10" s="2" t="s">
        <v>11</v>
      </c>
      <c r="D10" s="3" t="s">
        <v>105</v>
      </c>
      <c r="E10" s="2" t="s">
        <v>118</v>
      </c>
      <c r="F10" s="4">
        <v>2400000</v>
      </c>
      <c r="G10" s="1" t="s">
        <v>15</v>
      </c>
      <c r="H10" s="1" t="s">
        <v>16</v>
      </c>
    </row>
    <row r="11" spans="1:8" ht="31.2" x14ac:dyDescent="0.3">
      <c r="A11" s="2" t="s">
        <v>9</v>
      </c>
      <c r="B11" s="2" t="s">
        <v>119</v>
      </c>
      <c r="C11" s="2" t="s">
        <v>11</v>
      </c>
      <c r="D11" s="3" t="s">
        <v>12</v>
      </c>
      <c r="E11" s="2" t="s">
        <v>120</v>
      </c>
      <c r="F11" s="4">
        <v>6000000</v>
      </c>
      <c r="G11" s="1" t="s">
        <v>15</v>
      </c>
      <c r="H11" s="1" t="s">
        <v>16</v>
      </c>
    </row>
    <row r="12" spans="1:8" ht="46.8" x14ac:dyDescent="0.3">
      <c r="A12" s="6" t="s">
        <v>9</v>
      </c>
      <c r="B12" s="2" t="s">
        <v>121</v>
      </c>
      <c r="C12" s="2" t="s">
        <v>11</v>
      </c>
      <c r="D12" s="3" t="s">
        <v>34</v>
      </c>
      <c r="E12" s="2" t="s">
        <v>122</v>
      </c>
      <c r="F12" s="5">
        <v>5760000</v>
      </c>
      <c r="G12" s="1" t="s">
        <v>45</v>
      </c>
      <c r="H12" s="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Présentation par compte</vt:lpstr>
      <vt:lpstr>Budget normal</vt:lpstr>
      <vt:lpstr>Budget exceptionnel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ZOUINE Marwa</dc:creator>
  <cp:lastModifiedBy>user</cp:lastModifiedBy>
  <dcterms:created xsi:type="dcterms:W3CDTF">2024-12-24T11:22:17Z</dcterms:created>
  <dcterms:modified xsi:type="dcterms:W3CDTF">2025-01-06T23:43:23Z</dcterms:modified>
</cp:coreProperties>
</file>