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showHorizontalScroll="0" showVerticalScroll="0" showSheetTabs="0" xWindow="0" yWindow="0" windowWidth="19200" windowHeight="11475"/>
  </bookViews>
  <sheets>
    <sheet name="AO 2026" sheetId="2" r:id="rId1"/>
    <sheet name="Feuil1" sheetId="3" r:id="rId2"/>
  </sheets>
  <definedNames>
    <definedName name="_xlnm._FilterDatabase" localSheetId="0" hidden="1">'AO 2026'!$A$3:$AV$91</definedName>
    <definedName name="_xlnm.Print_Titles" localSheetId="0">'AO 2026'!$3:$3</definedName>
    <definedName name="_xlnm.Print_Area" localSheetId="0">'AO 2026'!$A$3:$J$81</definedName>
  </definedNames>
  <calcPr calcId="152511"/>
</workbook>
</file>

<file path=xl/calcChain.xml><?xml version="1.0" encoding="utf-8"?>
<calcChain xmlns="http://schemas.openxmlformats.org/spreadsheetml/2006/main">
  <c r="C29" i="3" l="1"/>
  <c r="C28" i="3"/>
</calcChain>
</file>

<file path=xl/sharedStrings.xml><?xml version="1.0" encoding="utf-8"?>
<sst xmlns="http://schemas.openxmlformats.org/spreadsheetml/2006/main" count="387" uniqueCount="204">
  <si>
    <t>Objet</t>
  </si>
  <si>
    <t>Direction</t>
  </si>
  <si>
    <t>Assistance et maintenance de la Solution BI</t>
  </si>
  <si>
    <t>Fourniture, installation et mise en service
 des onduleurs 2x150 KVA type modulaires et d’un système de climatisation au centre SNRT de ZAER (RABAT).</t>
  </si>
  <si>
    <t>La fourniture d’une solution DLP « Data Loss Prevention » pour les besoins de la Société Nationale de Radiodiffusion et de Télévision.</t>
  </si>
  <si>
    <t xml:space="preserve">Désherbage des sites de la SNRT : 
Lot 1 : Témara et Zaer
Lot 2 : Casablanca (Ain Chock et Roche noire).     
</t>
  </si>
  <si>
    <t>Lot n°1: La fourniture et la mise en service de serveurs haute performance destinés aux applications d'intelligence artificielle et d'apprentissage automatique pour les besoins de la Société Nationale de Radiodiffusion et de Télévision.
Lot n°2: La fourniture et la mise en service d'infrastructures informatiques haute performance pour les applications d'intelligence artificielle pour les besoins de la la Société Nationale de Radiodiffusion et de Télévision.</t>
  </si>
  <si>
    <t>STATUT</t>
  </si>
  <si>
    <t>Fourniture de combiners/upconverters.</t>
  </si>
  <si>
    <t>La location en longue durée de véhicules neufs sans option d’achat ainsi que les prestations qui lui sont accessoires et complémentaires pour la SNRT.(En vue de conclusion d’un marché reconductible)</t>
  </si>
  <si>
    <t>Acquisition et travaux d'installation d’un ascenseur dans le bâtiment de la Radio-SNRT à Rabat.</t>
  </si>
  <si>
    <t>Date de Réception</t>
  </si>
  <si>
    <t>Estimation</t>
  </si>
  <si>
    <t>Date Statut</t>
  </si>
  <si>
    <t>DIRECTION DU PARTIMOINE ET MOYENS GENERAUX</t>
  </si>
  <si>
    <t>Maintenance et entretien (pièce et main d’œuvre) de :
• Onduleurs au niveau des sites de la SNRT Rabat, Casablanca et stations   régionales Radio.
• Poste de transformation HTA/BT situé au niveau de la station TV d’Ain Chok à Casablanca de la SNRT.</t>
  </si>
  <si>
    <t>DIRECTION DE LA TELEDIFFUSION - SITES</t>
  </si>
  <si>
    <t>Fourniture installation et mise en service d’un nouveau groupe électrogène  de puissance 200 KW/PRP  pour le centre SNRT de PALOMAS (P.EL HOCEIMA), ainsi que le transfert de quelques groupes électrogènes entre des centres SNRT y compris leurs mise à niveau.</t>
  </si>
  <si>
    <t>Travaux d’aménagement et d’agencement de la Régie Publicitaire et des solutions digitales à Casablanca</t>
  </si>
  <si>
    <t>2 126 034,00 DHS TTC</t>
  </si>
  <si>
    <t>DIRECTION CENTRALE DE LA REGIE 
PUBLICITAIRE ET DES SOLUTIONS DIGITALES</t>
  </si>
  <si>
    <t>Création de capsules digitales pour SNRT News</t>
  </si>
  <si>
    <t>DIRECTION CENTRALE TECHNIQUE</t>
  </si>
  <si>
    <t xml:space="preserve">Extension et mise à jour de la solution de vidéosurveillance de la SNRT :
LOT N°1 : Rabat et Casablanca
LOT N°2 : Station TV Laayoune
</t>
  </si>
  <si>
    <t>Lot1 : 2 376 240,00 Dhs TTC
Lot2 : 989 160,00 Dhs TTC</t>
  </si>
  <si>
    <t>Lot1 : 1 906 704,00 Dhs TTC
Lot2 : 677 484,00 Dhs TTC</t>
  </si>
  <si>
    <t>DIRECTION DE LA TELEDIFFUSION - EXPLOITATION ET MAINTENANCE</t>
  </si>
  <si>
    <t xml:space="preserve">Entretien et maintenance des équipements électriques, électroniques des climatiseurs aux centres de diffusion, y compris la fourniture des pièces de rechange </t>
  </si>
  <si>
    <t xml:space="preserve">Acquisition de matériel technique et informatique pour l'extension de l'outil digital de gestion des ressources techniques et humaines de l'exploitation et de la maintenance. </t>
  </si>
  <si>
    <t>N° décision</t>
  </si>
  <si>
    <t>Lancé</t>
  </si>
  <si>
    <t>Prestation de blanchisserie du linge et services associés au profit des journalistes présentateurs des JT de ALAOULA –Rabat.</t>
  </si>
  <si>
    <t xml:space="preserve">Direction Info TV </t>
  </si>
  <si>
    <t xml:space="preserve">Lot n°1 : La fourniture de consommables d'impression pour les besoins de la société nationale de radiodiffusion et de télévision.
Lot n°2 : La fourniture et la mise en service d'accessoires, pièces de rechange et outillage informatique pour les besoins de la société nationale de radiodiffusion et de télévision.
</t>
  </si>
  <si>
    <t>Lot1 : 1 269 444,00 Dhs TTC
Lot2 : 407 304,00 Dhs TTC</t>
  </si>
  <si>
    <t>Direction Centrale Marketing et Programmation TV</t>
  </si>
  <si>
    <t xml:space="preserve">Location de supports d’affichage urbain 4X3 pour la SNRT </t>
  </si>
  <si>
    <t>La fourniture, l’installation et la mise en service des émetteurs DVB-T/T2 fonctionnant dans la bande [474-690] MHz, avec triplexeurs RF, un système d’antennes UHF et accessoires.</t>
  </si>
  <si>
    <t>Fourniture des modules et pièces de rechanges hydrauliques et électriques pour les émetteurs de diffusion TNT et FM</t>
  </si>
  <si>
    <t>Elaboration des études techniques et  suivi des travaux   d'achèvement d'installation d'un pylône auto-stable de 30+10m de hauteur au site SNRT TANAKOUBE (P.CHEFCHAOUEN)</t>
  </si>
  <si>
    <t>ACQUISITION ET TRAVAUX D'INSTALLATION DE DEUX ASCENSEURS DANS LES BATIMENTS DE LA SNRT A RABAT.</t>
  </si>
  <si>
    <t>Annulé</t>
  </si>
  <si>
    <t>Lot n°1: La fourniture et la mise en service d'équipements informatiques pour les besoins de SNRT news de la SNRT
Lot n°2: La fourniture de consommables d'impression pour les besoins de SNRT News de la SNRT</t>
  </si>
  <si>
    <t>Lot1 : 126 000,00 Dhs TTC
Lot2 : 163 400,00 Dhs TTC</t>
  </si>
  <si>
    <t>Lot 1 : 1 896 696,00 Dhs TTC
Lot 2 : 283 380,00 Dhs TTC</t>
  </si>
  <si>
    <t>La fourniture et la mise en service d'une solution de transport des communications intercom via des codecs audio IP BROADCAST pour les besoins des unités mobiles de de la Société Nationale de Radiodiffusion et de Télévision.</t>
  </si>
  <si>
    <t>Acquisition et travaux d'installation de trois ascenseurs SNRT-RABAT- CASABLANCA</t>
  </si>
  <si>
    <t>La fourniture et la mise en service des équipements  d'éclairage pour les besoins de la production de la Société Nationale de Radiodiffusion et de Télévision</t>
  </si>
  <si>
    <t>La fourniture et la mise en service d'équipements audio vidéo au profit de la Direction de la Régie Publicitaire et Solutions Digitales  de la Société Nationale de Radiodiffusion et de Télévision</t>
  </si>
  <si>
    <t>La fourniture de supports d'enregistrement et de lecture pour les besoins des chaines TV de la Société Nationale de Radiodiffusion et de Télévision</t>
  </si>
  <si>
    <t xml:space="preserve">Lot N°1 : Élaboration des études techniques et suivi des travaux d’aménagement de l’ancien site de diffusion TV/FM de la SNRT à Jbel Hammat Moulay Hachem (P. Midelt).
Lot N°2 : Élaboration des études techniques et suivi des travaux de construction du site de diffusion TV/FM de la SNRT à Msissi (P. Tinghir).
</t>
  </si>
  <si>
    <t>Fourniture de commutateurs de flux Transport Stream</t>
  </si>
  <si>
    <t>La fourniture et la mise en service de serveurs 
pour renouvellement de serveurs d’enregistrement et de replay pour les besoins de la production TV des manifestations sportives.</t>
  </si>
  <si>
    <t>La fourniture et la mise en service d'infrastructures informatiques haute performance pour les applications d'intelligence artificielle pour les besoins de  la Société Nationale de Radiodiffusion et de Télévision</t>
  </si>
  <si>
    <t>L'élaboration du Shéma Directeur des Systèmes d'information (SDSI) de  la Société Nationale de Radiodiffusion et de Télévision</t>
  </si>
  <si>
    <t>Acquisition de matériel technique et informatique 
pour l’extension de l'outil digital de gestion de ressources techniques et humaines de l'Exploitation et de la Maintenance</t>
  </si>
  <si>
    <t>Elaboration de la cartographie des risques de la Société Nationale de Radiodiffusion et de Télévision, et déploiement du dispositif de suivi et de mise à jour y afférent.</t>
  </si>
  <si>
    <t>Direction audit et contrôle de gestiuon</t>
  </si>
  <si>
    <t>La fourniture et la mise en service de serveurs haute performance destinés aux applications d'intelligence artificielle et d'apprentissage automatique pour les besoins de la Société Nationale de Radiodiffusion et de Télévision.</t>
  </si>
  <si>
    <t>Souscription à des abonnements annuels de licences de logiciels de création de contenu et outils basés sur l’intelligence artificielle au profit de la Direction de la Régie Publicitaire et Solutions  Digitales de la Société Nationales de Radiodiffusion et de Télévision.</t>
  </si>
  <si>
    <t>ACQUISITION ET TRAVAUX D'INSTALLATION D’UN ASCENSEUR DANS LE BATIMENT DE LA SNRT NEWS A CASABLANCA.</t>
  </si>
  <si>
    <t xml:space="preserve">Achat d’habillement pour le personnel de la SNRT (Journalistes, Caméramans, Techniciens et Chauffeurs).
</t>
  </si>
  <si>
    <t>Prestation de maintenance corrective, maintenance 
évolutive et assistance / support du logiciel de gestion des campagnes publicitaires des supports TV et Radio de la SNRT</t>
  </si>
  <si>
    <t xml:space="preserve">753 940, 00 </t>
  </si>
  <si>
    <t>La maintenance du système de messagerie Lotus Notes/ Domino.</t>
  </si>
  <si>
    <t>La fourniture et la mise en service de lecteurs LTO 
destinés aux besoins d'archivage de la Société Nationale de Radiodiffusion et de Télévision.</t>
  </si>
  <si>
    <t>Fourniture, installation, paramétrage et mise en service de batteries pour onduleurs existants de marque Eaton déployés au siège SNRT à RABAT</t>
  </si>
  <si>
    <t>Entretien et remise en état du système de verrouillage et de protection de la cabine d'antenne du centre AM de Sbaa Aioune</t>
  </si>
  <si>
    <t>Lot n°1:Fourniture des modules et pièces de rechange des émetteurs FM de marque RVR
Lot n°2: Fourniture des modules et pièces de rechange des émetteurs FM 10Kw et 5Kw de marque RFE</t>
  </si>
  <si>
    <t>Lot 1 : 2 254 080,00 Dhs TTC
Lot 2 : 2 945 880,00 Dhs TTC</t>
  </si>
  <si>
    <t xml:space="preserve">Lot n°1:Fourniture des modules et pièces de rechange des émetteurs TNT de puissance 250 Watts de marque EUROTEK
Lot n°2:Fourniture des modules et pièces de rechange des émetteurs TNT de  de marque ITELSIS
Lot n°3 : Fourniture des modules et pièces de rechange des émetteurs TNT  de marque EGATEL de puissance 10kw
</t>
  </si>
  <si>
    <t>Lot 1 : 1 841 022,00 Dhs TTC
Lot 2 : 1 855 800,00 Dhs TTC
Lot 3: 1 503 144,00 Dhs TTC</t>
  </si>
  <si>
    <t xml:space="preserve">Lot N°01 : Fourniture et installation du matériel de bureau : Photocopieurs, Fax, Toners, Drums
Lot N°02 : Achat du consommable pour photocopieur et fax : Toners, Drums et Fours.
</t>
  </si>
  <si>
    <t>Lot N°01 : Fourniture et installation du matériel de bureau : Photocopieurs, Fax, Toners, Drums
Lot N°02 : Achat du consommable pour photocopieur et fax : Toners, Drums et Fours.</t>
  </si>
  <si>
    <t>Lot 1 :782 160,00 Dhs TTC
Lot 2 : 201 000,00 Dhs TTC</t>
  </si>
  <si>
    <t>Lot 1 : 72 000,00 Dhs TTC
Lot 2 :72 000,00 Dhs TTC</t>
  </si>
  <si>
    <t>Complément MO</t>
  </si>
  <si>
    <t>TRAITEMENT DA</t>
  </si>
  <si>
    <t>Electrification du centre SNRT d’AKKA IGHEN (P. TATA) par la construction d’un réseau aérien 2ème catégorie (ligne 22Kv), d’un poste de transformation MT/BT haut de poteau de puissance 100KVA équipé de de l’ensemble des équipements MT/BT nécessaires, appareillage de distribution BT, Anti-surtension et mise à la terre.</t>
  </si>
  <si>
    <t>Fourniture de récepteurs satellites professionnels multistream avec mode de décryptage BISS-CA et ready pour décryptage DVB-CSAv3.</t>
  </si>
  <si>
    <t>La numérisation des anciennes archives télévisuelles stockées sur des supports analogiques de type cassette U-MATIC pour les besoins des archives TV de la SNRT.</t>
  </si>
  <si>
    <t>Travaux de peinture des façades et des locaux de la SNRT à Rabat.</t>
  </si>
  <si>
    <t>La fourniture et la mise de véhicules fourgon aménagés en rayonnage pour les besoins de la production de la SNRT</t>
  </si>
  <si>
    <t>Renouvellement des licences de la solution de gestion financière pour les besoins de la SNRT</t>
  </si>
  <si>
    <t xml:space="preserve">SIGNATURE MO
</t>
  </si>
  <si>
    <t>La fourniture et la mise en service d'équipements informatiques pour les besoins de SNRT news de la société nationale de radiodiffusion et de télévision.</t>
  </si>
  <si>
    <t>La fourniture et la mise en service d'encodeurs et décodeurs SRT pour les besoins des unités mobiles de la Société Nationale de Radiodiffusion et de Télévision.</t>
  </si>
  <si>
    <t xml:space="preserve">Lancé
</t>
  </si>
  <si>
    <t>Achat de maquillage des animateurs pour la Chaîne TV LAAYOUNE.</t>
  </si>
  <si>
    <t>DIRECTION TV LAAYOUNE</t>
  </si>
  <si>
    <t>Elaboration des études techniques et suivi des travaux d’installation d’un pylône auto-stable de 55m de hauteur au site SNRT TAOURIRT (P. TAOURIRT)</t>
  </si>
  <si>
    <t>N° PROJET</t>
  </si>
  <si>
    <t>459 000,00Dhs TTC</t>
  </si>
  <si>
    <t>8 JOURS</t>
  </si>
  <si>
    <t>Travaux de démolition et de reconstruction d’un mur de clôture de la station régionale Radio à OUJDA.</t>
  </si>
  <si>
    <t xml:space="preserve">
Lancé</t>
  </si>
  <si>
    <t xml:space="preserve">
8 JOURS</t>
  </si>
  <si>
    <t>Acquisition de mobilier de bureau</t>
  </si>
  <si>
    <t>DONNE A MME NAJIA</t>
  </si>
  <si>
    <t>MME NAJIA 02 07</t>
  </si>
  <si>
    <t>La fourniture et la mise en service de logiciels et de licences de solutions IT pour les besoins de la Société Nationale de Radiodiffusion et de Télévision.</t>
  </si>
  <si>
    <t xml:space="preserve"> 
Maintenance et l’entretien des appareils de climatisation (pièce et main d’œuvre) : Rabat et Casablanca.</t>
  </si>
  <si>
    <t>DA</t>
  </si>
  <si>
    <t>La fourniture, l'installation et la mise en service de :
- Une station de diffusion radio FM composée de six émetteurs de puissance 1KW chacun fonctionnant en mode (5+1) avec son multiplexeur RF, son système d'antennes FM et ses accessoires,
- Quatre stations de diffusion radio FM, chacune est composée de quatre émetteurs de puissannce 1 KW chacun, fonctionnant en mode (4+0) avec deux multiplexeurs RF et leurs accessoires,
- Trois stations de diffusion  radio FM, chacune est composée de six émetteurs de puissance 500 W chacun, fonctionnant en mode (5+1) avec leurs multiplexeurs RF, leurs systèmes d'antennes FM et leurs accessoires,</t>
  </si>
  <si>
    <t>Lot 1: La fourniture et la mise en service d'une unité mobile clé en main de contribution des signaux audio/video en 4K par satellite (DSNG) pour les besoins de la SNRT.
Lot 2: La fourniture et la mise en service de modulateurs pour les besoins des moynes de contribution de signaux audio/video par satellite pour la SNRT.</t>
  </si>
  <si>
    <t>La fourniture et la mise en service d'équipement audio vidéo au profit de la Direction de la Régie publicitaire et solutions Digitales de la SNRT</t>
  </si>
  <si>
    <t xml:space="preserve">La fourniture et la mise en service d'un système de travelling robotisé pour les besoins de la production de la SNRT </t>
  </si>
  <si>
    <t>Lot 1 :5 442 864,00 Dhs TTC
Lot 2 : 605 376,00 Dhs TTC</t>
  </si>
  <si>
    <t xml:space="preserve">8 JOURS </t>
  </si>
  <si>
    <t xml:space="preserve">
 9 264 180,00 </t>
  </si>
  <si>
    <t>8 jours</t>
  </si>
  <si>
    <t>intitulé PPM</t>
  </si>
  <si>
    <t>Acquisition des serveurs et des équipements Informatiques pour les besoins de la SNRT</t>
  </si>
  <si>
    <t>Acquisition de lecteurs LTO destinés aux besoins d’archivage de la SNRT</t>
  </si>
  <si>
    <t>Acquisition de véhicules utilitaires aménagés pour abriter les équipements d'éclairage et de machinerie pour répondre aux besoins de production de la SNRT</t>
  </si>
  <si>
    <t>Souscription à un abonnement annuel de licences logiciels pour les besoins de la SNRT</t>
  </si>
  <si>
    <t>Numérisation des anciennes archives télévisuelles stockées sur des supports analogiques de type U-MATIC, pour les besoins des archives TV de la SNRT</t>
  </si>
  <si>
    <t>Renouvellement et mise à niveau des systèmes et solutions logicielles de l'infrastructure IT de la SNRT</t>
  </si>
  <si>
    <t>Acquisition des supports d’enregistrement et de lecture pour les besoins des chaines TV de la SNRT</t>
  </si>
  <si>
    <t>Acquisition de licences et de logiciels pour  les besoins de SNRT NEWS</t>
  </si>
  <si>
    <t>Fourniture et mise en service d'un systéme d'intercom boradcast pour les besoins de la SNRT</t>
  </si>
  <si>
    <t>Acquisition d’équipements informatiques et audiovisuels pour la mise à niveau du matériel de SNRT NEWS</t>
  </si>
  <si>
    <t>Acquisition des équipements de machinerie et d'éclairage pour répondre aux besoins de production de la SNRT</t>
  </si>
  <si>
    <t>Acquisition d’équipements informatiques  pour les besoins de SNRT NEWS</t>
  </si>
  <si>
    <t>Acquisition des consommables, accessoires, pièces de rechange et outillage informatiques pour les besoins de la SNRT</t>
  </si>
  <si>
    <t xml:space="preserve"> la location de longue durée à la SNRT de véhicules neufs sans option d'achat  ainsi que les prestations qui lui sont accessoires et complémentaire</t>
  </si>
  <si>
    <t>Travaux de démolition et de reconstruction d'un mur de cloture de la station Régionale Radio à Oujda</t>
  </si>
  <si>
    <t>Prestations de désherbage</t>
  </si>
  <si>
    <t xml:space="preserve">Acquisition de Matériel de Bureau (photocopieurs, Fax, Destructeur Tonners et drums ) </t>
  </si>
  <si>
    <t>Fourniture, installation et mise en service des onduleurs 2x150 KVA type modulaires et d’un système de climatisation au centre SNRT de ZAER (RABAT).</t>
  </si>
  <si>
    <t>Fourniture de combiners/upconverters</t>
  </si>
  <si>
    <t>Fourniture des modules et pièces de rechanges hydrauliques et électriques  pour les émetteurs de diffusion TNT et FM</t>
  </si>
  <si>
    <t>Entretien et maintenance des équipements électriques, électroniques des climatiseurs aux centres de diffusion, y compris la fourniture des pièces de rechange.</t>
  </si>
  <si>
    <t>Prestation de blanchisserie du linge et services assiciés au profit des journalistes présentateurs du journal Télévisés (JT) ,</t>
  </si>
  <si>
    <t>Fourniture des équipements de transmission pour les réseaux FH, satellite, contribution, tête réseau et NMS des stations terriennes.</t>
  </si>
  <si>
    <t>Travaux d'aménagement des locaux techniques à Rabat  Electricité-Lustreries-Climatisation</t>
  </si>
  <si>
    <t>Complementaire</t>
  </si>
  <si>
    <t xml:space="preserve">Achat d'habillement au profit des journalistes présentateurs des évenements sportifs, </t>
  </si>
  <si>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</si>
  <si>
    <t>Travaux d'aménagement et d'agencement de la régie publicitaire et des solutions digitales</t>
  </si>
  <si>
    <t xml:space="preserve">Peinture extérieure pour les façades des bâtiments de la SNRT à Rabat. </t>
  </si>
  <si>
    <t>Fourniture des modules et pièces de rechanges des émetteurs TNT de  des centres de la SNRT</t>
  </si>
  <si>
    <t xml:space="preserve">Maintenance de la messagerie de la DRPSD  </t>
  </si>
  <si>
    <t>Fourniture des modules et pièces de rechanges des émetteurs FM  des centres de la SNRT</t>
  </si>
  <si>
    <t xml:space="preserve">Fourniture, installation et mise en service des émetteurs DVB-T/T2 avec combiners pour quelques sites de diffusion </t>
  </si>
  <si>
    <t>a revoir</t>
  </si>
  <si>
    <t>Elaboration des études technique et le suivi des travaux  pour la construction et achèvement d'installation des pylônes auto-stable aux sites SNRT TANAKOUBE ( P.CHEFCHAOUEN) et TAOURIRT</t>
  </si>
  <si>
    <t>Elaboration des études technique et le suivi des travaux  pour la construction des nouveau sites de diffusion  à RICH et MSISSI</t>
  </si>
  <si>
    <t>Electricafication/augmentation MT/BT 2éme reseau de quelques sites de diffusion SNRT.</t>
  </si>
  <si>
    <t>Elaboration d'une cartographie des risques couvrant les processus de la SNRT</t>
  </si>
  <si>
    <t>Location de supports d'affichage urbain 4x3 pour la promotion des produits et services de la SNRT</t>
  </si>
  <si>
    <t xml:space="preserve">Maintenance des installations de climatisation: 
 Rabat Casablanca </t>
  </si>
  <si>
    <t>Maintenance des onduleurs.</t>
  </si>
  <si>
    <t>Acquisition et travaux d'installation de deux ascenseurs aux bâtiments  de la Radio SNRT-Rabat et de Radio-TV coranique Assadissa</t>
  </si>
  <si>
    <t>Entretien et remise en état  du système de verouillage et de protection des cabines d'antennes de  centres AM</t>
  </si>
  <si>
    <t xml:space="preserve">Acquisition  de mobilier de bureau </t>
  </si>
  <si>
    <t xml:space="preserve">Fourniture, installation et mise en service des émetteurs FM avec combiners et systèmes d'antennes FM pour quelques sites de diffusion </t>
  </si>
  <si>
    <t>Prestation de maintenance corrective, maintenance évolutive, d'assistance utilisateur, d'assistance technique et des mises à jour de Media Pilot, Logiciel de gestion de la commercialisation de l'espace publicitaire des supports TV Radio de la SNRT</t>
  </si>
  <si>
    <t>Travaux d’aménagement des locaux techniques de la SNRT à Rabat : 
* lot 1 : Aménagement et agencement.</t>
  </si>
  <si>
    <t>Travaux d'aménagement des locaux techniques à Rabat Aménagement et Agencement</t>
  </si>
  <si>
    <t xml:space="preserve">
Lot2 : 489 516,00 Dhs TTC </t>
  </si>
  <si>
    <r>
      <t>Lot1 : 2 481 024,</t>
    </r>
    <r>
      <rPr>
        <b/>
        <i/>
        <sz val="11"/>
        <color theme="1"/>
        <rFont val="Calibri"/>
        <family val="2"/>
        <scheme val="minor"/>
      </rPr>
      <t>00 Dhs TTC</t>
    </r>
  </si>
  <si>
    <t>Travaux d’aménagement des locaux techniques de la SNRT à Rabat :  lot 2 : Electricité – Lustreries – Climatisation.</t>
  </si>
  <si>
    <t xml:space="preserve">
Lot 2 : Achat de Papier Fort A4 destiné à la SNRT.</t>
  </si>
  <si>
    <t>Lot 1 : Achat de Fourniture de Bureau destiné à la SNRT.</t>
  </si>
  <si>
    <t xml:space="preserve">Achat Papier Fort A4
</t>
  </si>
  <si>
    <t xml:space="preserve">Achat Fournitures de Bureau </t>
  </si>
  <si>
    <t xml:space="preserve">Lot 1:  347.478,62 DHS TTC.
</t>
  </si>
  <si>
    <t>Lot 2: 300.000,00 DHS TTC.</t>
  </si>
  <si>
    <t>Acquisition de matériel audio/vidéo pour le renouvellement des dispositifs des unités mobiles de la SNRT.</t>
  </si>
  <si>
    <t>Renouvellement des équipements Audio/Vidéo pour répondre aux besoins des chaines TV de la SNRT.</t>
  </si>
  <si>
    <t>lancé</t>
  </si>
  <si>
    <t>Renouvellement des licences de la solution de 
gestion financière pour les besoins de la SNRT</t>
  </si>
  <si>
    <t>Souscription à un abonnement annuel de licences
 logiciels pour les besoins de la SNRT</t>
  </si>
  <si>
    <t xml:space="preserve">DPMG </t>
  </si>
  <si>
    <r>
      <t xml:space="preserve"> </t>
    </r>
    <r>
      <rPr>
        <b/>
        <sz val="10"/>
        <color theme="1"/>
        <rFont val="Calibri"/>
        <family val="2"/>
        <scheme val="minor"/>
      </rPr>
      <t>L’inventaire physique et fiabilisation du fichier comptable des immobilisations de la SNRT au 31/12/2026.</t>
    </r>
  </si>
  <si>
    <t>Décision en cours de signature</t>
  </si>
  <si>
    <t>La fourniture et la mise en service de caméras box en ULTRA HAUTE DEFINITION (4K) pour les besoins des unités mobiles de la SNRT</t>
  </si>
  <si>
    <t>DIRECTION DE LA TELEDIFFUSION-exp</t>
  </si>
  <si>
    <t>Fourniture des modules et pièces de rechanges des émetteurs FM 10 Kw et 5Kw de marque RFE</t>
  </si>
  <si>
    <t>RSSI</t>
  </si>
  <si>
    <t>Souscription à un service de Cyber Threat Intelligence (CTI) pour les besoins de la SNRT, et assistance aux utilisateurs de la solution</t>
  </si>
  <si>
    <t>MO</t>
  </si>
  <si>
    <t xml:space="preserve">
LOT N° 1 : Réalisation des prestations d’audit de sécurité des systèmes d’information de la SNRT relevant de la « Classe A ».
LOT N° 2 : Réalisation des prestations d’audit de sécurité des systèmes d’information de la SNRT relevant des « Classe B », « Classe C » et « Classe D ».
</t>
  </si>
  <si>
    <t>336 316,83
380 736,00</t>
  </si>
  <si>
    <t xml:space="preserve">Lot n° 1: fourniture des feeders, antennes, distributeurs de puissance RF, connecteurs, adaptateurs et accessoires de raccordement
Lot n° 2: Fourniture de duplexeurs, filters, combiners et patch panels
</t>
  </si>
  <si>
    <t>3 500 000
1 600 000</t>
  </si>
  <si>
    <t xml:space="preserve">  Aménagement et sécurisation des salles serveurs des Stations régionales Radio de la SNRT :
       Lot n°1 : Aménagement 
       Lot n°2 : Systèmes de sécurité</t>
  </si>
  <si>
    <t>810 420,00
577 200,00</t>
  </si>
  <si>
    <t>La fourniture, l’installation et la mise en service de deux émetteurs DVB-T/T2 double drive, refroidi à liquide, fonctionnant dans la bande [474-690] MHz et de puissance 5KW rms chacun avec leurs accessoires.</t>
  </si>
  <si>
    <t>La fourniture et la mise en service d'équipements de traitement de siganux Audio/Vidéo pour les besoins des chaînes TV de la SNRT</t>
  </si>
  <si>
    <t>Fourniture, installation et mise en service de deux onduleurs de puissance 200 KVA chacun, de type modulaire, y compris des systèmes de climatisation associés aux sites SNRT d’OUKAIMDEN (P.EL HAOUZ) et de BOUKhOUALI (P.TAOURIRT).</t>
  </si>
  <si>
    <t>Renouvellement des équipements Audio/Vidéo et des chassis de traitement de signaux pour répondre aux besoins des installations techniques de la SNRT.</t>
  </si>
  <si>
    <t>Comp</t>
  </si>
  <si>
    <t xml:space="preserve">Fourniture des distributeurs de puissance UHF et  FM, combiners, feeders et antennes
Fourniture des duplexeurs, filtres, patchs panel , commutateurs RF et adaptateurs
</t>
  </si>
  <si>
    <t>Acqisition d'une unité mobile de DSNG 4K pour le renouvellement des moyens de contribution de signaux audio/vidéo par satellite pour la SNRT</t>
  </si>
  <si>
    <t>comp</t>
  </si>
  <si>
    <t>Acquisition de véhicules utilitaires aménagés pour abriter les équipements d'éclairage et de machinerie pour répondre aux besoins de production de la SNRT.</t>
  </si>
  <si>
    <t xml:space="preserve">Réalisation de prestations d’audit de sécurité des systèmes d’information de la SNRT, relevant des classes « A », « B », « C » et « D ».Audit organisationnel et physique
Audit d’architecture
Audit de configuration
Audit de code source
Test d’intrusion
Audit des systèmes industriels
</t>
  </si>
  <si>
    <t>Fourniture, installation et mise en service de nouveaux onduleurs dans quelques sites de diffusion.</t>
  </si>
  <si>
    <t>Souscription au service de "Cyber Threat Intelligence (CTI)" pour les besoins des équipes CyberSOC et CyberCERT, dans le cadre de la mise en place du centre opérationnel de cybersécurité interne (CyberSOC &amp; CyberCERT) de la SNRT</t>
  </si>
  <si>
    <t xml:space="preserve"> Inventaire physique et fiabilisation du fichier comptable des immobilisations de la SNRT,</t>
  </si>
  <si>
    <t>compl</t>
  </si>
  <si>
    <t>Aménagement des locaux Techniques (salles machines) des stations régionales radio de la SNRT.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</si>
</sst>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 _€"/>
  </numFmts>
  <fonts count="12" x14ac:knownFonts="1">
    <font>
      <sz val="11"/>
      <color theme="1"/>
      <name val="Calibri"/>
      <family val="2"/>
      <scheme val="minor"/>
    </font>
    <font>
      <b/>
      <sz val="12"/>
      <color theme="0"/>
      <name val="Calibri"/>
      <family val="2"/>
      <scheme val="minor"/>
    </font>
    <font>
      <b/>
      <sz val="11"/>
      <color theme="1"/>
      <name val="Calibri"/>
      <family val="2"/>
      <scheme val="minor"/>
    </font>
    <font>
      <b/>
      <sz val="16"/>
      <color theme="1"/>
      <name val="Calibri"/>
      <family val="2"/>
      <scheme val="minor"/>
    </font>
    <font>
      <b/>
      <sz val="16"/>
      <color rgb="FFFF0000"/>
      <name val="Calibri"/>
      <family val="2"/>
      <scheme val="minor"/>
    </font>
    <font>
      <sz val="12"/>
      <color theme="1"/>
      <name val="Calibri"/>
      <family val="2"/>
      <scheme val="minor"/>
    </font>
    <font>
      <b/>
      <sz val="12"/>
      <color theme="1"/>
      <name val="Calibri"/>
      <family val="2"/>
      <scheme val="minor"/>
    </font>
    <font>
      <b/>
      <sz val="16"/>
      <name val="Calibri"/>
      <family val="2"/>
      <scheme val="minor"/>
    </font>
    <font>
      <b/>
      <sz val="14"/>
      <color theme="1"/>
      <name val="Calibri"/>
      <family val="2"/>
      <scheme val="minor"/>
    </font>
    <font>
      <b/>
      <i/>
      <sz val="11"/>
      <color theme="1"/>
      <name val="Calibri"/>
      <family val="2"/>
      <scheme val="minor"/>
    </font>
    <font>
      <b/>
      <sz val="10"/>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9">
    <xf numFmtId="0" fontId="0" fillId="0" borderId="0" xfId="0"/>
    <xf numFmtId="0" fontId="0" fillId="0" borderId="1" xfId="0" applyBorder="1"/>
    <xf numFmtId="0" fontId="0" fillId="2" borderId="0" xfId="0" applyFill="1"/>
    <xf numFmtId="0" fontId="0" fillId="0" borderId="0" xfId="0" applyAlignment="1">
      <alignment horizontal="center" vertical="center"/>
    </xf>
    <xf numFmtId="14" fontId="0" fillId="0" borderId="1" xfId="0" applyNumberFormat="1" applyBorder="1" applyAlignment="1">
      <alignment horizontal="center" vertical="center"/>
    </xf>
    <xf numFmtId="2" fontId="2" fillId="0" borderId="1" xfId="0" applyNumberFormat="1" applyFont="1" applyBorder="1" applyAlignment="1">
      <alignment horizontal="left" vertical="center" wrapText="1"/>
    </xf>
    <xf numFmtId="14" fontId="0" fillId="2" borderId="1" xfId="0" applyNumberFormat="1" applyFill="1" applyBorder="1" applyAlignment="1">
      <alignment horizontal="center" vertical="center"/>
    </xf>
    <xf numFmtId="2" fontId="2" fillId="2" borderId="1" xfId="0" applyNumberFormat="1" applyFont="1" applyFill="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center" vertical="center"/>
    </xf>
    <xf numFmtId="1" fontId="3" fillId="0" borderId="0" xfId="0" applyNumberFormat="1" applyFont="1" applyAlignment="1">
      <alignment horizontal="center" vertical="center"/>
    </xf>
    <xf numFmtId="1" fontId="4" fillId="2" borderId="1" xfId="0" applyNumberFormat="1" applyFont="1" applyFill="1" applyBorder="1" applyAlignment="1">
      <alignment horizontal="center" vertical="center"/>
    </xf>
    <xf numFmtId="1" fontId="3" fillId="2" borderId="1" xfId="0" applyNumberFormat="1" applyFont="1" applyFill="1" applyBorder="1" applyAlignment="1">
      <alignment horizontal="center" vertical="center"/>
    </xf>
    <xf numFmtId="1" fontId="3" fillId="2" borderId="1" xfId="0" applyNumberFormat="1"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1" fontId="3" fillId="0" borderId="1" xfId="0" applyNumberFormat="1" applyFont="1" applyBorder="1" applyAlignment="1">
      <alignment horizontal="center" vertical="center"/>
    </xf>
    <xf numFmtId="1" fontId="6" fillId="2" borderId="1" xfId="0" applyNumberFormat="1" applyFont="1" applyFill="1" applyBorder="1" applyAlignment="1">
      <alignment horizontal="center" vertical="center"/>
    </xf>
    <xf numFmtId="1" fontId="7" fillId="2" borderId="1" xfId="0" applyNumberFormat="1" applyFont="1" applyFill="1" applyBorder="1" applyAlignment="1">
      <alignment horizontal="center" vertical="center"/>
    </xf>
    <xf numFmtId="0" fontId="0" fillId="0" borderId="0" xfId="0" applyBorder="1" applyAlignment="1">
      <alignment horizontal="center" vertical="center"/>
    </xf>
    <xf numFmtId="1" fontId="4" fillId="0" borderId="1" xfId="0" applyNumberFormat="1" applyFont="1" applyBorder="1" applyAlignment="1">
      <alignment horizontal="center" vertical="center"/>
    </xf>
    <xf numFmtId="0" fontId="1" fillId="3" borderId="1" xfId="0" applyFont="1" applyFill="1" applyBorder="1" applyAlignment="1">
      <alignment horizontal="center" vertical="top" wrapText="1"/>
    </xf>
    <xf numFmtId="0" fontId="2" fillId="0" borderId="2" xfId="0" applyFont="1" applyBorder="1" applyAlignment="1">
      <alignment horizontal="center" vertical="center"/>
    </xf>
    <xf numFmtId="0" fontId="0" fillId="0" borderId="2" xfId="0" applyBorder="1" applyAlignment="1">
      <alignment horizontal="center" vertical="center"/>
    </xf>
    <xf numFmtId="0" fontId="0" fillId="0" borderId="0" xfId="0" applyFill="1"/>
    <xf numFmtId="0" fontId="1" fillId="0" borderId="1" xfId="0" applyFont="1" applyFill="1" applyBorder="1" applyAlignment="1">
      <alignment horizontal="center" vertical="top" wrapText="1"/>
    </xf>
    <xf numFmtId="0" fontId="0" fillId="0" borderId="0" xfId="0" applyFill="1" applyBorder="1"/>
    <xf numFmtId="0" fontId="0" fillId="0" borderId="0" xfId="0" applyBorder="1"/>
    <xf numFmtId="0" fontId="1" fillId="0" borderId="2" xfId="0" applyFont="1" applyFill="1" applyBorder="1" applyAlignment="1">
      <alignment horizontal="center" vertical="top" wrapText="1"/>
    </xf>
    <xf numFmtId="0" fontId="1" fillId="0" borderId="0" xfId="0" applyFont="1" applyFill="1" applyBorder="1" applyAlignment="1">
      <alignment horizontal="center" vertical="top" wrapText="1"/>
    </xf>
    <xf numFmtId="0" fontId="0" fillId="0" borderId="2" xfId="0" applyFill="1" applyBorder="1" applyAlignment="1">
      <alignment horizontal="center" vertical="center"/>
    </xf>
    <xf numFmtId="14" fontId="0" fillId="0" borderId="1" xfId="0" applyNumberFormat="1" applyFill="1" applyBorder="1" applyAlignment="1">
      <alignment horizontal="center" vertical="center"/>
    </xf>
    <xf numFmtId="1" fontId="4" fillId="0" borderId="1" xfId="0" applyNumberFormat="1" applyFont="1" applyFill="1" applyBorder="1" applyAlignment="1">
      <alignment horizontal="center" vertical="center"/>
    </xf>
    <xf numFmtId="0" fontId="1"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Fill="1" applyBorder="1" applyAlignment="1">
      <alignment horizontal="center" vertical="center"/>
    </xf>
    <xf numFmtId="164" fontId="0" fillId="0" borderId="1" xfId="0" applyNumberFormat="1" applyBorder="1" applyAlignment="1">
      <alignment horizontal="center" vertical="center"/>
    </xf>
    <xf numFmtId="164"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xf>
    <xf numFmtId="164" fontId="2" fillId="2" borderId="1" xfId="0" applyNumberFormat="1" applyFont="1" applyFill="1" applyBorder="1" applyAlignment="1">
      <alignment horizontal="center" vertical="center" wrapText="1"/>
    </xf>
    <xf numFmtId="164" fontId="2" fillId="0" borderId="1" xfId="0" applyNumberFormat="1" applyFont="1" applyFill="1" applyBorder="1" applyAlignment="1">
      <alignment horizontal="center" vertical="center"/>
    </xf>
    <xf numFmtId="164" fontId="0" fillId="0" borderId="1" xfId="0" applyNumberFormat="1" applyBorder="1" applyAlignment="1">
      <alignment horizontal="center" vertical="center" wrapText="1"/>
    </xf>
    <xf numFmtId="164" fontId="0" fillId="0" borderId="0" xfId="0" applyNumberFormat="1" applyAlignment="1">
      <alignment horizontal="center" vertical="center"/>
    </xf>
    <xf numFmtId="0" fontId="0" fillId="2" borderId="1" xfId="0" applyFill="1" applyBorder="1" applyAlignment="1">
      <alignment horizontal="center" vertical="center"/>
    </xf>
    <xf numFmtId="2" fontId="0" fillId="0" borderId="1" xfId="0" applyNumberFormat="1" applyBorder="1" applyAlignment="1">
      <alignment horizontal="center" vertical="center" wrapText="1"/>
    </xf>
    <xf numFmtId="0" fontId="2" fillId="0" borderId="1" xfId="0" applyFont="1" applyBorder="1" applyAlignment="1">
      <alignment vertical="center" wrapText="1"/>
    </xf>
    <xf numFmtId="0" fontId="2" fillId="0" borderId="1" xfId="0" applyFont="1" applyFill="1" applyBorder="1" applyAlignment="1">
      <alignment vertical="center" wrapText="1"/>
    </xf>
    <xf numFmtId="0" fontId="0" fillId="0" borderId="0" xfId="0" applyAlignment="1">
      <alignment vertical="center" wrapText="1"/>
    </xf>
    <xf numFmtId="0" fontId="1" fillId="3" borderId="1" xfId="0" applyFont="1" applyFill="1" applyBorder="1" applyAlignment="1">
      <alignment vertical="top" wrapText="1"/>
    </xf>
    <xf numFmtId="0" fontId="0" fillId="0" borderId="1" xfId="0" applyBorder="1" applyAlignment="1">
      <alignment vertical="top" wrapText="1"/>
    </xf>
    <xf numFmtId="0" fontId="0" fillId="0" borderId="1" xfId="0" applyFill="1" applyBorder="1" applyAlignment="1">
      <alignment vertical="top" wrapText="1"/>
    </xf>
    <xf numFmtId="0" fontId="0" fillId="2" borderId="1" xfId="0" applyFill="1" applyBorder="1" applyAlignment="1">
      <alignment vertical="top" wrapText="1"/>
    </xf>
    <xf numFmtId="0" fontId="0" fillId="0" borderId="1" xfId="0" applyBorder="1" applyAlignment="1">
      <alignment vertical="top"/>
    </xf>
    <xf numFmtId="0" fontId="0" fillId="0" borderId="1" xfId="0" applyFill="1" applyBorder="1" applyAlignment="1">
      <alignment vertical="top"/>
    </xf>
    <xf numFmtId="0" fontId="5" fillId="0" borderId="1" xfId="0" applyFont="1" applyFill="1" applyBorder="1" applyAlignment="1">
      <alignment vertical="top" wrapText="1"/>
    </xf>
    <xf numFmtId="0" fontId="0" fillId="0" borderId="1" xfId="0" applyNumberFormat="1" applyBorder="1" applyAlignment="1">
      <alignment vertical="top" wrapText="1"/>
    </xf>
    <xf numFmtId="0" fontId="0" fillId="0" borderId="1" xfId="0" applyNumberFormat="1" applyFill="1" applyBorder="1" applyAlignment="1">
      <alignment vertical="top" wrapText="1"/>
    </xf>
    <xf numFmtId="4" fontId="8" fillId="0" borderId="0" xfId="0" applyNumberFormat="1" applyFont="1" applyAlignment="1">
      <alignment vertical="top"/>
    </xf>
    <xf numFmtId="0" fontId="2" fillId="0" borderId="0" xfId="0" applyFont="1" applyAlignment="1">
      <alignment vertical="top"/>
    </xf>
    <xf numFmtId="0" fontId="0" fillId="0" borderId="0" xfId="0" applyAlignment="1">
      <alignment vertical="top"/>
    </xf>
    <xf numFmtId="14" fontId="8" fillId="0" borderId="0" xfId="0" applyNumberFormat="1" applyFont="1" applyAlignment="1">
      <alignment vertical="top"/>
    </xf>
    <xf numFmtId="0" fontId="2" fillId="0" borderId="1" xfId="0" applyFont="1" applyFill="1" applyBorder="1" applyAlignment="1">
      <alignment horizontal="left" vertical="center" wrapText="1"/>
    </xf>
    <xf numFmtId="164" fontId="2" fillId="0" borderId="1" xfId="0" applyNumberFormat="1" applyFont="1" applyFill="1" applyBorder="1" applyAlignment="1">
      <alignment horizontal="center" vertical="center" wrapText="1"/>
    </xf>
    <xf numFmtId="1" fontId="3" fillId="0" borderId="1" xfId="0" applyNumberFormat="1" applyFont="1" applyFill="1" applyBorder="1" applyAlignment="1">
      <alignment horizontal="center" vertical="center"/>
    </xf>
    <xf numFmtId="0" fontId="0" fillId="0" borderId="1" xfId="0" applyFill="1" applyBorder="1" applyAlignment="1">
      <alignment horizontal="center" vertical="center" wrapText="1"/>
    </xf>
    <xf numFmtId="1" fontId="3" fillId="0" borderId="0" xfId="0" applyNumberFormat="1" applyFont="1" applyBorder="1" applyAlignment="1">
      <alignment horizontal="center" vertical="center"/>
    </xf>
    <xf numFmtId="14" fontId="0" fillId="0" borderId="0" xfId="0" applyNumberFormat="1" applyAlignment="1">
      <alignment horizontal="center" vertical="center"/>
    </xf>
    <xf numFmtId="0" fontId="0" fillId="0" borderId="0" xfId="0" applyAlignment="1">
      <alignment vertical="top" wrapText="1"/>
    </xf>
    <xf numFmtId="1" fontId="4" fillId="0" borderId="0" xfId="0" applyNumberFormat="1" applyFont="1" applyAlignment="1">
      <alignment horizontal="center" vertical="center"/>
    </xf>
    <xf numFmtId="164" fontId="0" fillId="0" borderId="1" xfId="0" applyNumberFormat="1" applyFill="1" applyBorder="1" applyAlignment="1">
      <alignment horizontal="center" vertical="center"/>
    </xf>
    <xf numFmtId="0" fontId="0" fillId="0" borderId="2" xfId="0" applyFill="1" applyBorder="1" applyAlignment="1">
      <alignment vertical="top" wrapText="1"/>
    </xf>
    <xf numFmtId="14" fontId="0" fillId="0" borderId="1" xfId="0" applyNumberFormat="1" applyFill="1" applyBorder="1" applyAlignment="1">
      <alignment horizontal="left" vertical="top" wrapText="1"/>
    </xf>
    <xf numFmtId="0" fontId="2" fillId="0" borderId="1" xfId="0" applyFont="1" applyFill="1" applyBorder="1" applyAlignment="1">
      <alignment vertical="top" wrapText="1"/>
    </xf>
    <xf numFmtId="14" fontId="0" fillId="0" borderId="1" xfId="0" applyNumberFormat="1" applyFill="1" applyBorder="1" applyAlignment="1">
      <alignment vertical="top" wrapText="1"/>
    </xf>
    <xf numFmtId="14" fontId="0" fillId="0" borderId="1" xfId="0" applyNumberFormat="1" applyFill="1" applyBorder="1" applyAlignment="1">
      <alignment horizontal="left" vertical="center"/>
    </xf>
    <xf numFmtId="0" fontId="11" fillId="0" borderId="1" xfId="0" applyFont="1" applyBorder="1" applyAlignment="1">
      <alignment horizontal="left" vertical="center" wrapText="1"/>
    </xf>
    <xf numFmtId="4" fontId="2" fillId="0" borderId="1" xfId="0" applyNumberFormat="1" applyFont="1" applyFill="1" applyBorder="1" applyAlignment="1">
      <alignment horizontal="center" vertical="center" wrapText="1"/>
    </xf>
    <xf numFmtId="0" fontId="0" fillId="0" borderId="1" xfId="0" applyFill="1" applyBorder="1" applyAlignment="1">
      <alignment horizontal="center" vertical="top" wrapText="1"/>
    </xf>
    <xf numFmtId="0" fontId="0" fillId="0" borderId="1" xfId="0" applyBorder="1" applyAlignment="1">
      <alignment horizontal="left" wrapText="1"/>
    </xf>
    <xf numFmtId="0" fontId="2" fillId="0" borderId="2" xfId="0" applyFont="1" applyFill="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V97"/>
  <sheetViews>
    <sheetView tabSelected="1" topLeftCell="D1" zoomScale="80" zoomScaleNormal="80" zoomScaleSheetLayoutView="100" workbookViewId="0">
      <selection activeCell="D90" sqref="D90"/>
    </sheetView>
  </sheetViews>
  <sheetFormatPr baseColWidth="10" defaultColWidth="9.140625" defaultRowHeight="21" x14ac:dyDescent="0.25"/>
  <cols>
    <col min="1" max="1" width="9" style="3" customWidth="1"/>
    <col min="2" max="2" width="20.5703125" style="3" customWidth="1"/>
    <col min="3" max="3" width="28.7109375" style="46" customWidth="1"/>
    <col min="4" max="4" width="51.5703125" style="58" customWidth="1"/>
    <col min="5" max="5" width="27.7109375" style="58" customWidth="1"/>
    <col min="6" max="6" width="39.85546875" style="58" customWidth="1"/>
    <col min="7" max="7" width="26.140625" style="41" customWidth="1"/>
    <col min="8" max="8" width="9.7109375" style="10" customWidth="1"/>
    <col min="9" max="9" width="13.7109375" style="3" customWidth="1"/>
    <col min="10" max="10" width="22.7109375" style="3" customWidth="1"/>
    <col min="11" max="11" width="24.42578125" style="25" customWidth="1"/>
    <col min="12" max="38" width="9.140625" style="25"/>
    <col min="39" max="48" width="9.140625" style="23"/>
  </cols>
  <sheetData>
    <row r="3" spans="1:48" s="20" customFormat="1" ht="48.75" customHeight="1" x14ac:dyDescent="0.25">
      <c r="A3" s="20" t="s">
        <v>91</v>
      </c>
      <c r="B3" s="20" t="s">
        <v>11</v>
      </c>
      <c r="C3" s="32" t="s">
        <v>1</v>
      </c>
      <c r="D3" s="47" t="s">
        <v>0</v>
      </c>
      <c r="E3" s="47"/>
      <c r="F3" s="47" t="s">
        <v>111</v>
      </c>
      <c r="G3" s="32" t="s">
        <v>12</v>
      </c>
      <c r="H3" s="20" t="s">
        <v>29</v>
      </c>
      <c r="I3" s="20" t="s">
        <v>13</v>
      </c>
      <c r="J3" s="32" t="s">
        <v>7</v>
      </c>
      <c r="K3" s="28"/>
      <c r="L3" s="28"/>
      <c r="M3" s="28"/>
      <c r="N3" s="28"/>
      <c r="O3" s="28"/>
      <c r="P3" s="28"/>
      <c r="Q3" s="28"/>
      <c r="R3" s="28"/>
      <c r="S3" s="28"/>
      <c r="T3" s="28"/>
      <c r="U3" s="28"/>
      <c r="V3" s="28"/>
      <c r="W3" s="28"/>
      <c r="X3" s="28"/>
      <c r="Y3" s="28"/>
      <c r="Z3" s="28"/>
      <c r="AA3" s="28"/>
      <c r="AB3" s="28"/>
      <c r="AC3" s="27"/>
      <c r="AD3" s="24"/>
      <c r="AE3" s="24"/>
      <c r="AF3" s="24"/>
      <c r="AG3" s="24"/>
      <c r="AH3" s="24"/>
      <c r="AI3" s="24"/>
      <c r="AJ3" s="24"/>
      <c r="AK3" s="24"/>
      <c r="AL3" s="24"/>
      <c r="AM3" s="24"/>
      <c r="AN3" s="24"/>
      <c r="AO3" s="24"/>
      <c r="AP3" s="24"/>
      <c r="AQ3" s="24"/>
      <c r="AR3" s="24"/>
      <c r="AS3" s="24"/>
      <c r="AT3" s="24"/>
      <c r="AU3" s="24"/>
      <c r="AV3" s="24"/>
    </row>
    <row r="4" spans="1:48" s="2" customFormat="1" ht="92.25" customHeight="1" x14ac:dyDescent="0.25">
      <c r="A4" s="21">
        <v>1</v>
      </c>
      <c r="B4" s="4">
        <v>46036</v>
      </c>
      <c r="C4" s="5" t="s">
        <v>14</v>
      </c>
      <c r="D4" s="48" t="s">
        <v>9</v>
      </c>
      <c r="E4" s="48"/>
      <c r="F4" s="48" t="s">
        <v>125</v>
      </c>
      <c r="G4" s="36">
        <v>6811236</v>
      </c>
      <c r="H4" s="12">
        <v>5</v>
      </c>
      <c r="I4" s="4">
        <v>46083</v>
      </c>
      <c r="J4" s="9" t="s">
        <v>30</v>
      </c>
      <c r="K4"/>
      <c r="L4"/>
      <c r="M4"/>
      <c r="N4"/>
      <c r="O4"/>
      <c r="P4"/>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row>
    <row r="5" spans="1:48" s="2" customFormat="1" ht="92.25" customHeight="1" x14ac:dyDescent="0.25">
      <c r="A5" s="21">
        <v>2</v>
      </c>
      <c r="B5" s="4">
        <v>46041</v>
      </c>
      <c r="C5" s="5" t="s">
        <v>14</v>
      </c>
      <c r="D5" s="49" t="s">
        <v>15</v>
      </c>
      <c r="E5" s="49"/>
      <c r="F5" s="49" t="s">
        <v>152</v>
      </c>
      <c r="G5" s="37">
        <v>730000</v>
      </c>
      <c r="H5" s="14">
        <v>42</v>
      </c>
      <c r="I5" s="4">
        <v>46189</v>
      </c>
      <c r="J5" s="9" t="s">
        <v>76</v>
      </c>
      <c r="K5"/>
      <c r="L5"/>
      <c r="M5"/>
      <c r="N5"/>
      <c r="O5"/>
      <c r="P5"/>
      <c r="Q5"/>
      <c r="R5"/>
      <c r="S5"/>
      <c r="T5"/>
      <c r="U5"/>
      <c r="V5"/>
      <c r="W5"/>
      <c r="X5"/>
      <c r="Y5"/>
      <c r="Z5"/>
      <c r="AA5"/>
      <c r="AB5"/>
      <c r="AC5"/>
      <c r="AD5"/>
      <c r="AE5"/>
      <c r="AF5"/>
      <c r="AG5"/>
      <c r="AH5"/>
      <c r="AI5"/>
      <c r="AJ5"/>
      <c r="AK5"/>
      <c r="AL5"/>
      <c r="AM5"/>
      <c r="AN5"/>
      <c r="AO5"/>
      <c r="AP5"/>
      <c r="AQ5"/>
      <c r="AR5"/>
      <c r="AS5"/>
      <c r="AT5"/>
      <c r="AU5"/>
      <c r="AV5"/>
    </row>
    <row r="6" spans="1:48" s="2" customFormat="1" ht="60" x14ac:dyDescent="0.25">
      <c r="A6" s="21">
        <v>3</v>
      </c>
      <c r="B6" s="4">
        <v>46041</v>
      </c>
      <c r="C6" s="5" t="s">
        <v>14</v>
      </c>
      <c r="D6" s="49" t="s">
        <v>101</v>
      </c>
      <c r="E6" s="49"/>
      <c r="F6" s="49" t="s">
        <v>151</v>
      </c>
      <c r="G6" s="36">
        <v>589800</v>
      </c>
      <c r="H6" s="14">
        <v>61</v>
      </c>
      <c r="I6" s="4">
        <v>46213</v>
      </c>
      <c r="J6" s="9" t="s">
        <v>102</v>
      </c>
      <c r="K6"/>
      <c r="L6"/>
      <c r="M6"/>
      <c r="N6"/>
      <c r="O6"/>
      <c r="P6"/>
      <c r="Q6"/>
      <c r="R6"/>
      <c r="S6"/>
      <c r="T6"/>
      <c r="U6"/>
      <c r="V6"/>
      <c r="W6"/>
      <c r="X6"/>
      <c r="Y6"/>
      <c r="Z6"/>
      <c r="AA6"/>
      <c r="AB6"/>
      <c r="AC6"/>
      <c r="AD6"/>
      <c r="AE6"/>
      <c r="AF6"/>
      <c r="AG6"/>
      <c r="AH6"/>
      <c r="AI6"/>
      <c r="AJ6"/>
      <c r="AK6"/>
      <c r="AL6"/>
      <c r="AM6"/>
      <c r="AN6"/>
      <c r="AO6"/>
      <c r="AP6"/>
      <c r="AQ6"/>
      <c r="AR6"/>
      <c r="AS6"/>
      <c r="AT6"/>
      <c r="AU6"/>
      <c r="AV6"/>
    </row>
    <row r="7" spans="1:48" s="2" customFormat="1" ht="57.75" customHeight="1" x14ac:dyDescent="0.25">
      <c r="A7" s="21">
        <v>4</v>
      </c>
      <c r="B7" s="4">
        <v>46044</v>
      </c>
      <c r="C7" s="5" t="s">
        <v>14</v>
      </c>
      <c r="D7" s="48" t="s">
        <v>73</v>
      </c>
      <c r="E7" s="48"/>
      <c r="F7" s="48" t="s">
        <v>128</v>
      </c>
      <c r="G7" s="36">
        <v>857160</v>
      </c>
      <c r="H7" s="13">
        <v>4</v>
      </c>
      <c r="I7" s="4">
        <v>46122</v>
      </c>
      <c r="J7" s="9" t="s">
        <v>30</v>
      </c>
      <c r="K7"/>
      <c r="L7"/>
      <c r="M7"/>
      <c r="N7"/>
      <c r="O7"/>
      <c r="P7"/>
      <c r="Q7"/>
      <c r="R7"/>
      <c r="S7"/>
      <c r="T7"/>
      <c r="U7"/>
      <c r="V7"/>
      <c r="W7"/>
      <c r="X7"/>
      <c r="Y7"/>
      <c r="Z7"/>
      <c r="AA7"/>
      <c r="AB7"/>
      <c r="AC7"/>
      <c r="AD7"/>
      <c r="AE7"/>
      <c r="AF7"/>
      <c r="AG7"/>
      <c r="AH7"/>
      <c r="AI7"/>
      <c r="AJ7"/>
      <c r="AK7"/>
      <c r="AL7"/>
      <c r="AM7"/>
      <c r="AN7"/>
      <c r="AO7"/>
      <c r="AP7"/>
      <c r="AQ7"/>
      <c r="AR7"/>
      <c r="AS7"/>
      <c r="AT7"/>
      <c r="AU7"/>
      <c r="AV7"/>
    </row>
    <row r="8" spans="1:48" ht="72" customHeight="1" x14ac:dyDescent="0.25">
      <c r="A8" s="21">
        <v>5</v>
      </c>
      <c r="B8" s="4">
        <v>46057</v>
      </c>
      <c r="C8" s="5" t="s">
        <v>14</v>
      </c>
      <c r="D8" s="48" t="s">
        <v>158</v>
      </c>
      <c r="E8" s="48"/>
      <c r="F8" s="48" t="s">
        <v>159</v>
      </c>
      <c r="G8" s="36" t="s">
        <v>161</v>
      </c>
      <c r="H8" s="11">
        <v>13</v>
      </c>
      <c r="I8" s="6">
        <v>46195</v>
      </c>
      <c r="J8" s="42" t="s">
        <v>77</v>
      </c>
      <c r="K8"/>
      <c r="L8"/>
      <c r="M8"/>
      <c r="N8"/>
      <c r="O8"/>
      <c r="P8"/>
      <c r="Q8"/>
      <c r="R8"/>
      <c r="S8"/>
      <c r="T8"/>
      <c r="U8"/>
      <c r="V8"/>
      <c r="W8"/>
      <c r="X8"/>
      <c r="Y8"/>
      <c r="Z8"/>
      <c r="AA8"/>
      <c r="AB8"/>
      <c r="AC8"/>
      <c r="AD8"/>
      <c r="AE8"/>
      <c r="AF8"/>
      <c r="AG8"/>
      <c r="AH8"/>
      <c r="AI8"/>
      <c r="AJ8"/>
      <c r="AK8"/>
      <c r="AL8"/>
      <c r="AM8"/>
      <c r="AN8"/>
      <c r="AO8"/>
      <c r="AP8"/>
      <c r="AQ8"/>
      <c r="AR8"/>
      <c r="AS8"/>
      <c r="AT8"/>
      <c r="AU8"/>
      <c r="AV8"/>
    </row>
    <row r="9" spans="1:48" ht="45" x14ac:dyDescent="0.25">
      <c r="A9" s="21">
        <v>5</v>
      </c>
      <c r="B9" s="6">
        <v>46057</v>
      </c>
      <c r="C9" s="7" t="s">
        <v>14</v>
      </c>
      <c r="D9" s="49" t="s">
        <v>162</v>
      </c>
      <c r="E9" s="49"/>
      <c r="F9" s="49" t="s">
        <v>135</v>
      </c>
      <c r="G9" s="38" t="s">
        <v>160</v>
      </c>
      <c r="H9" s="11">
        <v>13</v>
      </c>
      <c r="I9" s="6">
        <v>46195</v>
      </c>
      <c r="J9" s="42" t="s">
        <v>77</v>
      </c>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row>
    <row r="10" spans="1:48" ht="76.5" customHeight="1" x14ac:dyDescent="0.25">
      <c r="A10" s="21">
        <v>6</v>
      </c>
      <c r="B10" s="6">
        <v>46057</v>
      </c>
      <c r="C10" s="7" t="s">
        <v>14</v>
      </c>
      <c r="D10" s="50" t="s">
        <v>94</v>
      </c>
      <c r="E10" s="50"/>
      <c r="F10" s="50" t="s">
        <v>126</v>
      </c>
      <c r="G10" s="38">
        <v>815820</v>
      </c>
      <c r="H10" s="12">
        <v>3</v>
      </c>
      <c r="I10" s="6">
        <v>46073</v>
      </c>
      <c r="J10" s="42" t="s">
        <v>30</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row>
    <row r="11" spans="1:48" ht="100.5" customHeight="1" x14ac:dyDescent="0.25">
      <c r="A11" s="21">
        <v>7</v>
      </c>
      <c r="B11" s="4">
        <v>46062</v>
      </c>
      <c r="C11" s="8" t="s">
        <v>16</v>
      </c>
      <c r="D11" s="51" t="s">
        <v>8</v>
      </c>
      <c r="E11" s="51"/>
      <c r="F11" s="51" t="s">
        <v>130</v>
      </c>
      <c r="G11" s="37">
        <v>979200</v>
      </c>
      <c r="H11" s="12">
        <v>14</v>
      </c>
      <c r="I11" s="4">
        <v>46107</v>
      </c>
      <c r="J11" s="9" t="s">
        <v>30</v>
      </c>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row>
    <row r="12" spans="1:48" ht="60" x14ac:dyDescent="0.25">
      <c r="A12" s="21">
        <v>8</v>
      </c>
      <c r="B12" s="4">
        <v>46062</v>
      </c>
      <c r="C12" s="8" t="s">
        <v>16</v>
      </c>
      <c r="D12" s="48" t="s">
        <v>3</v>
      </c>
      <c r="E12" s="48"/>
      <c r="F12" s="48" t="s">
        <v>129</v>
      </c>
      <c r="G12" s="36">
        <v>3201000</v>
      </c>
      <c r="H12" s="12">
        <v>7</v>
      </c>
      <c r="I12" s="4">
        <v>46090</v>
      </c>
      <c r="J12" s="9" t="s">
        <v>30</v>
      </c>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row>
    <row r="13" spans="1:48" ht="78.75" customHeight="1" x14ac:dyDescent="0.25">
      <c r="A13" s="21">
        <v>9</v>
      </c>
      <c r="B13" s="4">
        <v>46062</v>
      </c>
      <c r="C13" s="8" t="s">
        <v>16</v>
      </c>
      <c r="D13" s="48" t="s">
        <v>17</v>
      </c>
      <c r="E13" s="48"/>
      <c r="F13" s="48" t="s">
        <v>17</v>
      </c>
      <c r="G13" s="36">
        <v>1200000</v>
      </c>
      <c r="H13" s="12">
        <v>8</v>
      </c>
      <c r="I13" s="4">
        <v>46091</v>
      </c>
      <c r="J13" s="9" t="s">
        <v>30</v>
      </c>
      <c r="K13"/>
      <c r="L13"/>
      <c r="M13"/>
      <c r="N13"/>
      <c r="O13"/>
      <c r="P13"/>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row>
    <row r="14" spans="1:48" ht="45" x14ac:dyDescent="0.25">
      <c r="A14" s="21">
        <v>10</v>
      </c>
      <c r="B14" s="6">
        <v>46063</v>
      </c>
      <c r="C14" s="7" t="s">
        <v>14</v>
      </c>
      <c r="D14" s="49" t="s">
        <v>18</v>
      </c>
      <c r="E14" s="49"/>
      <c r="F14" s="49" t="s">
        <v>139</v>
      </c>
      <c r="G14" s="38" t="s">
        <v>19</v>
      </c>
      <c r="H14" s="11">
        <v>41</v>
      </c>
      <c r="I14" s="6">
        <v>46211</v>
      </c>
      <c r="J14" s="42" t="s">
        <v>93</v>
      </c>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row>
    <row r="15" spans="1:48" ht="84" customHeight="1" x14ac:dyDescent="0.25">
      <c r="A15" s="21">
        <v>11</v>
      </c>
      <c r="B15" s="4">
        <v>46065</v>
      </c>
      <c r="C15" s="8" t="s">
        <v>20</v>
      </c>
      <c r="D15" s="52" t="s">
        <v>21</v>
      </c>
      <c r="E15" s="52"/>
      <c r="F15" s="52" t="s">
        <v>41</v>
      </c>
      <c r="G15" s="37">
        <v>200000</v>
      </c>
      <c r="H15" s="13"/>
      <c r="I15" s="4">
        <v>46077</v>
      </c>
      <c r="J15" s="9" t="s">
        <v>41</v>
      </c>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row>
    <row r="16" spans="1:48" ht="128.25" customHeight="1" x14ac:dyDescent="0.25">
      <c r="A16" s="21">
        <v>12</v>
      </c>
      <c r="B16" s="4">
        <v>46065</v>
      </c>
      <c r="C16" s="8" t="s">
        <v>20</v>
      </c>
      <c r="D16" s="52" t="s">
        <v>2</v>
      </c>
      <c r="E16" s="52"/>
      <c r="F16" s="52" t="s">
        <v>41</v>
      </c>
      <c r="G16" s="37">
        <v>200000</v>
      </c>
      <c r="H16" s="14"/>
      <c r="I16" s="4">
        <v>46080</v>
      </c>
      <c r="J16" s="9" t="s">
        <v>41</v>
      </c>
      <c r="K16"/>
      <c r="L16"/>
      <c r="M16"/>
      <c r="N16"/>
      <c r="O16"/>
      <c r="P16"/>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row>
    <row r="17" spans="1:48" ht="128.25" customHeight="1" x14ac:dyDescent="0.25">
      <c r="A17" s="21">
        <v>13</v>
      </c>
      <c r="B17" s="4">
        <v>46065</v>
      </c>
      <c r="C17" s="8" t="s">
        <v>22</v>
      </c>
      <c r="D17" s="48" t="s">
        <v>4</v>
      </c>
      <c r="E17" s="48"/>
      <c r="F17" s="48" t="s">
        <v>117</v>
      </c>
      <c r="G17" s="36">
        <v>142872</v>
      </c>
      <c r="H17" s="12">
        <v>11</v>
      </c>
      <c r="I17" s="4">
        <v>46084</v>
      </c>
      <c r="J17" s="9" t="s">
        <v>30</v>
      </c>
      <c r="K17" t="s">
        <v>99</v>
      </c>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row>
    <row r="18" spans="1:48" s="23" customFormat="1" ht="90" customHeight="1" x14ac:dyDescent="0.25">
      <c r="A18" s="21">
        <v>14</v>
      </c>
      <c r="B18" s="4">
        <v>46065</v>
      </c>
      <c r="C18" s="5" t="s">
        <v>14</v>
      </c>
      <c r="D18" s="48" t="s">
        <v>5</v>
      </c>
      <c r="E18" s="48"/>
      <c r="F18" s="48" t="s">
        <v>127</v>
      </c>
      <c r="G18" s="36" t="s">
        <v>43</v>
      </c>
      <c r="H18" s="12">
        <v>12</v>
      </c>
      <c r="I18" s="4">
        <v>46097</v>
      </c>
      <c r="J18" s="9" t="s">
        <v>30</v>
      </c>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row>
    <row r="19" spans="1:48" s="2" customFormat="1" ht="76.5" customHeight="1" x14ac:dyDescent="0.25">
      <c r="A19" s="21">
        <v>15</v>
      </c>
      <c r="B19" s="4">
        <v>46070</v>
      </c>
      <c r="C19" s="5" t="s">
        <v>14</v>
      </c>
      <c r="D19" s="49" t="s">
        <v>23</v>
      </c>
      <c r="E19" s="49"/>
      <c r="F19" s="49"/>
      <c r="G19" s="36" t="s">
        <v>24</v>
      </c>
      <c r="H19" s="11">
        <v>58</v>
      </c>
      <c r="I19" s="4">
        <v>46188</v>
      </c>
      <c r="J19" s="9" t="s">
        <v>76</v>
      </c>
      <c r="K19" t="s">
        <v>202</v>
      </c>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row>
    <row r="20" spans="1:48" ht="30" x14ac:dyDescent="0.25">
      <c r="A20" s="21">
        <v>16</v>
      </c>
      <c r="B20" s="6">
        <v>46070</v>
      </c>
      <c r="C20" s="7" t="s">
        <v>14</v>
      </c>
      <c r="D20" s="49" t="s">
        <v>10</v>
      </c>
      <c r="E20" s="49"/>
      <c r="F20" s="49" t="s">
        <v>41</v>
      </c>
      <c r="G20" s="36">
        <v>480000</v>
      </c>
      <c r="H20" s="11"/>
      <c r="I20" s="6">
        <v>46080</v>
      </c>
      <c r="J20" s="42" t="s">
        <v>41</v>
      </c>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row>
    <row r="21" spans="1:48" ht="66" customHeight="1" x14ac:dyDescent="0.25">
      <c r="A21" s="21">
        <v>17</v>
      </c>
      <c r="B21" s="4">
        <v>46071</v>
      </c>
      <c r="C21" s="8" t="s">
        <v>22</v>
      </c>
      <c r="D21" s="48" t="s">
        <v>6</v>
      </c>
      <c r="E21" s="48"/>
      <c r="F21" s="48" t="s">
        <v>112</v>
      </c>
      <c r="G21" s="36" t="s">
        <v>25</v>
      </c>
      <c r="H21" s="12">
        <v>15</v>
      </c>
      <c r="I21" s="4">
        <v>46084</v>
      </c>
      <c r="J21" s="34" t="s">
        <v>30</v>
      </c>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row>
    <row r="22" spans="1:48" ht="70.5" customHeight="1" x14ac:dyDescent="0.25">
      <c r="A22" s="21">
        <v>18</v>
      </c>
      <c r="B22" s="4">
        <v>46071</v>
      </c>
      <c r="C22" s="5" t="s">
        <v>14</v>
      </c>
      <c r="D22" s="48" t="s">
        <v>164</v>
      </c>
      <c r="E22" s="48"/>
      <c r="F22" s="48" t="s">
        <v>166</v>
      </c>
      <c r="G22" s="36" t="s">
        <v>168</v>
      </c>
      <c r="H22" s="12">
        <v>2</v>
      </c>
      <c r="I22" s="4">
        <v>46100</v>
      </c>
      <c r="J22" s="34" t="s">
        <v>30</v>
      </c>
      <c r="K22"/>
      <c r="L22"/>
      <c r="M22"/>
      <c r="N22"/>
      <c r="O22"/>
      <c r="P22"/>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row>
    <row r="23" spans="1:48" ht="57.75" customHeight="1" x14ac:dyDescent="0.25">
      <c r="A23" s="21">
        <v>18</v>
      </c>
      <c r="B23" s="4">
        <v>46071</v>
      </c>
      <c r="C23" s="5" t="s">
        <v>14</v>
      </c>
      <c r="D23" s="48" t="s">
        <v>163</v>
      </c>
      <c r="E23" s="48"/>
      <c r="F23" s="48" t="s">
        <v>165</v>
      </c>
      <c r="G23" s="36" t="s">
        <v>167</v>
      </c>
      <c r="H23" s="13">
        <v>2</v>
      </c>
      <c r="I23" s="4">
        <v>46100</v>
      </c>
      <c r="J23" s="34" t="s">
        <v>30</v>
      </c>
      <c r="K23"/>
      <c r="L23"/>
      <c r="M23"/>
      <c r="N23"/>
      <c r="O23"/>
      <c r="P23"/>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row>
    <row r="24" spans="1:48" s="1" customFormat="1" ht="57" customHeight="1" x14ac:dyDescent="0.25">
      <c r="A24" s="21">
        <v>19</v>
      </c>
      <c r="B24" s="4">
        <v>46072</v>
      </c>
      <c r="C24" s="5" t="s">
        <v>26</v>
      </c>
      <c r="D24" s="48" t="s">
        <v>27</v>
      </c>
      <c r="E24" s="48"/>
      <c r="F24" s="48" t="s">
        <v>132</v>
      </c>
      <c r="G24" s="36">
        <v>3600000</v>
      </c>
      <c r="H24" s="12">
        <v>1</v>
      </c>
      <c r="I24" s="4">
        <v>46125</v>
      </c>
      <c r="J24" s="34" t="s">
        <v>30</v>
      </c>
      <c r="K24"/>
      <c r="L24"/>
      <c r="M24"/>
      <c r="N24"/>
      <c r="O24"/>
      <c r="P24"/>
    </row>
    <row r="25" spans="1:48" s="1" customFormat="1" ht="72" customHeight="1" x14ac:dyDescent="0.25">
      <c r="A25" s="21">
        <v>20</v>
      </c>
      <c r="B25" s="4">
        <v>46072</v>
      </c>
      <c r="C25" s="5" t="s">
        <v>26</v>
      </c>
      <c r="D25" s="48" t="s">
        <v>28</v>
      </c>
      <c r="E25" s="48"/>
      <c r="F25" s="48" t="s">
        <v>28</v>
      </c>
      <c r="G25" s="36">
        <v>540000</v>
      </c>
      <c r="H25" s="12">
        <v>9</v>
      </c>
      <c r="I25" s="4">
        <v>46100</v>
      </c>
      <c r="J25" s="34" t="s">
        <v>30</v>
      </c>
      <c r="K25"/>
      <c r="L25"/>
      <c r="M25"/>
      <c r="N25"/>
      <c r="O25"/>
      <c r="P25"/>
    </row>
    <row r="26" spans="1:48" ht="54" customHeight="1" x14ac:dyDescent="0.25">
      <c r="A26" s="21">
        <v>21</v>
      </c>
      <c r="B26" s="4">
        <v>46084</v>
      </c>
      <c r="C26" s="5" t="s">
        <v>32</v>
      </c>
      <c r="D26" s="48" t="s">
        <v>31</v>
      </c>
      <c r="E26" s="48"/>
      <c r="F26" s="48" t="s">
        <v>133</v>
      </c>
      <c r="G26" s="36">
        <v>89340</v>
      </c>
      <c r="H26" s="17">
        <v>20</v>
      </c>
      <c r="I26" s="4">
        <v>46129</v>
      </c>
      <c r="J26" s="9" t="s">
        <v>30</v>
      </c>
      <c r="K26"/>
      <c r="L26"/>
      <c r="M26"/>
      <c r="N26"/>
      <c r="O26"/>
      <c r="P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row>
    <row r="27" spans="1:48" ht="56.25" customHeight="1" x14ac:dyDescent="0.25">
      <c r="A27" s="21">
        <v>22</v>
      </c>
      <c r="B27" s="4">
        <v>46087</v>
      </c>
      <c r="C27" s="8" t="s">
        <v>22</v>
      </c>
      <c r="D27" s="48" t="s">
        <v>33</v>
      </c>
      <c r="E27" s="48"/>
      <c r="F27" s="48" t="s">
        <v>124</v>
      </c>
      <c r="G27" s="36" t="s">
        <v>34</v>
      </c>
      <c r="H27" s="12">
        <v>6</v>
      </c>
      <c r="I27" s="4">
        <v>46132</v>
      </c>
      <c r="J27" s="9" t="s">
        <v>30</v>
      </c>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row>
    <row r="28" spans="1:48" ht="78.75" customHeight="1" x14ac:dyDescent="0.25">
      <c r="A28" s="21">
        <v>23</v>
      </c>
      <c r="B28" s="4">
        <v>46087</v>
      </c>
      <c r="C28" s="8" t="s">
        <v>35</v>
      </c>
      <c r="D28" s="49" t="s">
        <v>36</v>
      </c>
      <c r="E28" s="49"/>
      <c r="F28" s="49" t="s">
        <v>150</v>
      </c>
      <c r="G28" s="36" t="s">
        <v>109</v>
      </c>
      <c r="H28" s="12">
        <v>60</v>
      </c>
      <c r="I28" s="4">
        <v>46217</v>
      </c>
      <c r="J28" s="9" t="s">
        <v>110</v>
      </c>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row>
    <row r="29" spans="1:48" ht="65.25" customHeight="1" x14ac:dyDescent="0.25">
      <c r="A29" s="22">
        <v>24</v>
      </c>
      <c r="B29" s="4">
        <v>46091</v>
      </c>
      <c r="C29" s="8" t="s">
        <v>16</v>
      </c>
      <c r="D29" s="48" t="s">
        <v>37</v>
      </c>
      <c r="E29" s="48" t="s">
        <v>145</v>
      </c>
      <c r="F29" s="48" t="s">
        <v>144</v>
      </c>
      <c r="G29" s="37">
        <v>5749800</v>
      </c>
      <c r="H29" s="12">
        <v>19</v>
      </c>
      <c r="I29" s="4">
        <v>46126</v>
      </c>
      <c r="J29" s="9" t="s">
        <v>30</v>
      </c>
      <c r="K29" t="s">
        <v>98</v>
      </c>
      <c r="L29"/>
      <c r="M29"/>
      <c r="N29"/>
      <c r="O29"/>
      <c r="P29"/>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row>
    <row r="30" spans="1:48" ht="109.5" customHeight="1" x14ac:dyDescent="0.25">
      <c r="A30" s="22">
        <v>25</v>
      </c>
      <c r="B30" s="4">
        <v>46094</v>
      </c>
      <c r="C30" s="5" t="s">
        <v>26</v>
      </c>
      <c r="D30" s="48" t="s">
        <v>38</v>
      </c>
      <c r="E30" s="48"/>
      <c r="F30" s="48" t="s">
        <v>131</v>
      </c>
      <c r="G30" s="36">
        <v>950000</v>
      </c>
      <c r="H30" s="12">
        <v>18</v>
      </c>
      <c r="I30" s="4">
        <v>46132</v>
      </c>
      <c r="J30" s="9" t="s">
        <v>30</v>
      </c>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row>
    <row r="31" spans="1:48" ht="68.25" customHeight="1" x14ac:dyDescent="0.25">
      <c r="A31" s="22">
        <v>26</v>
      </c>
      <c r="B31" s="4">
        <v>46097</v>
      </c>
      <c r="C31" s="8" t="s">
        <v>16</v>
      </c>
      <c r="D31" s="49" t="s">
        <v>39</v>
      </c>
      <c r="E31" s="49"/>
      <c r="F31" s="49" t="s">
        <v>146</v>
      </c>
      <c r="G31" s="36">
        <v>72000</v>
      </c>
      <c r="H31" s="11">
        <v>17</v>
      </c>
      <c r="I31" s="4">
        <v>46191</v>
      </c>
      <c r="J31" s="9" t="s">
        <v>77</v>
      </c>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row>
    <row r="32" spans="1:48" ht="96" customHeight="1" x14ac:dyDescent="0.25">
      <c r="A32" s="22">
        <v>27</v>
      </c>
      <c r="B32" s="4">
        <v>46097</v>
      </c>
      <c r="C32" s="5" t="s">
        <v>14</v>
      </c>
      <c r="D32" s="53" t="s">
        <v>40</v>
      </c>
      <c r="E32" s="53"/>
      <c r="F32" s="53" t="s">
        <v>41</v>
      </c>
      <c r="G32" s="36">
        <v>984000</v>
      </c>
      <c r="H32" s="16"/>
      <c r="I32" s="4">
        <v>46099</v>
      </c>
      <c r="J32" s="9" t="s">
        <v>41</v>
      </c>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row>
    <row r="33" spans="1:48" ht="77.25" customHeight="1" x14ac:dyDescent="0.25">
      <c r="A33" s="22">
        <v>28</v>
      </c>
      <c r="B33" s="4">
        <v>46100</v>
      </c>
      <c r="C33" s="8" t="s">
        <v>22</v>
      </c>
      <c r="D33" s="54" t="s">
        <v>42</v>
      </c>
      <c r="E33" s="54"/>
      <c r="F33" s="54" t="s">
        <v>123</v>
      </c>
      <c r="G33" s="36" t="s">
        <v>44</v>
      </c>
      <c r="H33" s="12">
        <v>21</v>
      </c>
      <c r="I33" s="4">
        <v>46129</v>
      </c>
      <c r="J33" s="9" t="s">
        <v>30</v>
      </c>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row>
    <row r="34" spans="1:48" ht="60.75" customHeight="1" x14ac:dyDescent="0.25">
      <c r="A34" s="22">
        <v>29</v>
      </c>
      <c r="B34" s="4">
        <v>46112</v>
      </c>
      <c r="C34" s="5" t="s">
        <v>14</v>
      </c>
      <c r="D34" s="55" t="s">
        <v>46</v>
      </c>
      <c r="E34" s="55"/>
      <c r="F34" s="55" t="s">
        <v>41</v>
      </c>
      <c r="G34" s="36">
        <v>1459200</v>
      </c>
      <c r="H34" s="11"/>
      <c r="I34" s="4">
        <v>46125</v>
      </c>
      <c r="J34" s="9" t="s">
        <v>41</v>
      </c>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row>
    <row r="35" spans="1:48" ht="81" customHeight="1" x14ac:dyDescent="0.25">
      <c r="A35" s="22">
        <v>30</v>
      </c>
      <c r="B35" s="4">
        <v>46113</v>
      </c>
      <c r="C35" s="8" t="s">
        <v>22</v>
      </c>
      <c r="D35" s="48" t="s">
        <v>45</v>
      </c>
      <c r="E35" s="48"/>
      <c r="F35" s="48" t="s">
        <v>120</v>
      </c>
      <c r="G35" s="37">
        <v>291156</v>
      </c>
      <c r="H35" s="12">
        <v>23</v>
      </c>
      <c r="I35" s="4">
        <v>46126</v>
      </c>
      <c r="J35" s="9" t="s">
        <v>30</v>
      </c>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row>
    <row r="36" spans="1:48" ht="153" customHeight="1" x14ac:dyDescent="0.25">
      <c r="A36" s="22">
        <v>31</v>
      </c>
      <c r="B36" s="4">
        <v>46120</v>
      </c>
      <c r="C36" s="8" t="s">
        <v>22</v>
      </c>
      <c r="D36" s="48" t="s">
        <v>47</v>
      </c>
      <c r="E36" s="48"/>
      <c r="F36" s="48" t="s">
        <v>122</v>
      </c>
      <c r="G36" s="37">
        <v>1782744</v>
      </c>
      <c r="H36" s="12">
        <v>10</v>
      </c>
      <c r="I36" s="4">
        <v>46126</v>
      </c>
      <c r="J36" s="9" t="s">
        <v>30</v>
      </c>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row>
    <row r="37" spans="1:48" ht="99" customHeight="1" x14ac:dyDescent="0.25">
      <c r="A37" s="22">
        <v>32</v>
      </c>
      <c r="B37" s="4">
        <v>46120</v>
      </c>
      <c r="C37" s="8" t="s">
        <v>22</v>
      </c>
      <c r="D37" s="48" t="s">
        <v>48</v>
      </c>
      <c r="E37" s="48"/>
      <c r="F37" s="48" t="s">
        <v>121</v>
      </c>
      <c r="G37" s="36">
        <v>287676</v>
      </c>
      <c r="H37" s="12">
        <v>26</v>
      </c>
      <c r="I37" s="4">
        <v>46126</v>
      </c>
      <c r="J37" s="9" t="s">
        <v>30</v>
      </c>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row>
    <row r="38" spans="1:48" ht="102" customHeight="1" x14ac:dyDescent="0.25">
      <c r="A38" s="22">
        <v>33</v>
      </c>
      <c r="B38" s="4">
        <v>46120</v>
      </c>
      <c r="C38" s="8" t="s">
        <v>16</v>
      </c>
      <c r="D38" s="49" t="s">
        <v>90</v>
      </c>
      <c r="E38" s="49"/>
      <c r="F38" s="49" t="s">
        <v>146</v>
      </c>
      <c r="G38" s="36">
        <v>72000</v>
      </c>
      <c r="H38" s="11"/>
      <c r="I38" s="4">
        <v>46191</v>
      </c>
      <c r="J38" s="9" t="s">
        <v>77</v>
      </c>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row>
    <row r="39" spans="1:48" ht="64.5" customHeight="1" x14ac:dyDescent="0.25">
      <c r="A39" s="22">
        <v>34</v>
      </c>
      <c r="B39" s="4">
        <v>46125</v>
      </c>
      <c r="C39" s="8" t="s">
        <v>22</v>
      </c>
      <c r="D39" s="48" t="s">
        <v>49</v>
      </c>
      <c r="E39" s="48"/>
      <c r="F39" s="48" t="s">
        <v>118</v>
      </c>
      <c r="G39" s="36">
        <v>259200</v>
      </c>
      <c r="H39" s="12">
        <v>27</v>
      </c>
      <c r="I39" s="4">
        <v>46125</v>
      </c>
      <c r="J39" s="9" t="s">
        <v>30</v>
      </c>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row>
    <row r="40" spans="1:48" ht="91.5" customHeight="1" x14ac:dyDescent="0.25">
      <c r="A40" s="22">
        <v>35</v>
      </c>
      <c r="B40" s="4">
        <v>46125</v>
      </c>
      <c r="C40" s="5" t="s">
        <v>14</v>
      </c>
      <c r="D40" s="48" t="s">
        <v>61</v>
      </c>
      <c r="E40" s="48"/>
      <c r="F40" s="48" t="s">
        <v>137</v>
      </c>
      <c r="G40" s="36">
        <v>574656</v>
      </c>
      <c r="H40" s="12">
        <v>36</v>
      </c>
      <c r="I40" s="4">
        <v>46153</v>
      </c>
      <c r="J40" s="9" t="s">
        <v>30</v>
      </c>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row>
    <row r="41" spans="1:48" ht="64.5" customHeight="1" x14ac:dyDescent="0.25">
      <c r="A41" s="22">
        <v>36</v>
      </c>
      <c r="B41" s="4">
        <v>46125</v>
      </c>
      <c r="C41" s="8" t="s">
        <v>22</v>
      </c>
      <c r="D41" s="48" t="s">
        <v>53</v>
      </c>
      <c r="E41" s="48"/>
      <c r="F41" s="48" t="s">
        <v>112</v>
      </c>
      <c r="G41" s="36">
        <v>746316</v>
      </c>
      <c r="H41" s="17">
        <v>28</v>
      </c>
      <c r="I41" s="4">
        <v>46126</v>
      </c>
      <c r="J41" s="9" t="s">
        <v>30</v>
      </c>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row>
    <row r="42" spans="1:48" ht="120" x14ac:dyDescent="0.25">
      <c r="A42" s="18">
        <v>37</v>
      </c>
      <c r="B42" s="4">
        <v>46126</v>
      </c>
      <c r="C42" s="8" t="s">
        <v>16</v>
      </c>
      <c r="D42" s="49" t="s">
        <v>50</v>
      </c>
      <c r="E42" s="49"/>
      <c r="F42" s="49" t="s">
        <v>147</v>
      </c>
      <c r="G42" s="36" t="s">
        <v>75</v>
      </c>
      <c r="H42" s="11"/>
      <c r="I42" s="4">
        <v>46191</v>
      </c>
      <c r="J42" s="9" t="s">
        <v>77</v>
      </c>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row>
    <row r="43" spans="1:48" ht="73.5" customHeight="1" x14ac:dyDescent="0.25">
      <c r="A43" s="22">
        <v>38</v>
      </c>
      <c r="B43" s="4">
        <v>46128</v>
      </c>
      <c r="C43" s="8" t="s">
        <v>16</v>
      </c>
      <c r="D43" s="48" t="s">
        <v>51</v>
      </c>
      <c r="E43" s="48"/>
      <c r="F43" s="48" t="s">
        <v>134</v>
      </c>
      <c r="G43" s="37">
        <v>1785000</v>
      </c>
      <c r="H43" s="12">
        <v>31</v>
      </c>
      <c r="I43" s="4">
        <v>46142</v>
      </c>
      <c r="J43" s="9" t="s">
        <v>30</v>
      </c>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row>
    <row r="44" spans="1:48" ht="100.5" customHeight="1" x14ac:dyDescent="0.25">
      <c r="A44" s="22">
        <v>39</v>
      </c>
      <c r="B44" s="4">
        <v>46128</v>
      </c>
      <c r="C44" s="8" t="s">
        <v>22</v>
      </c>
      <c r="D44" s="48" t="s">
        <v>52</v>
      </c>
      <c r="E44" s="48"/>
      <c r="F44" s="48" t="s">
        <v>52</v>
      </c>
      <c r="G44" s="37">
        <v>8948880</v>
      </c>
      <c r="H44" s="12">
        <v>30</v>
      </c>
      <c r="I44" s="4">
        <v>46147</v>
      </c>
      <c r="J44" s="9" t="s">
        <v>30</v>
      </c>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row>
    <row r="45" spans="1:48" ht="75.75" customHeight="1" x14ac:dyDescent="0.25">
      <c r="A45" s="22">
        <v>40</v>
      </c>
      <c r="B45" s="4">
        <v>46129</v>
      </c>
      <c r="C45" s="8" t="s">
        <v>22</v>
      </c>
      <c r="D45" s="48" t="s">
        <v>54</v>
      </c>
      <c r="E45" s="48"/>
      <c r="F45" s="48" t="s">
        <v>117</v>
      </c>
      <c r="G45" s="37">
        <v>840000</v>
      </c>
      <c r="H45" s="12">
        <v>37</v>
      </c>
      <c r="I45" s="4">
        <v>46148</v>
      </c>
      <c r="J45" s="9" t="s">
        <v>30</v>
      </c>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row>
    <row r="46" spans="1:48" ht="72" customHeight="1" x14ac:dyDescent="0.25">
      <c r="A46" s="22">
        <v>41</v>
      </c>
      <c r="B46" s="4">
        <v>46134</v>
      </c>
      <c r="C46" s="5" t="s">
        <v>26</v>
      </c>
      <c r="D46" s="48" t="s">
        <v>55</v>
      </c>
      <c r="E46" s="48"/>
      <c r="F46" s="48" t="s">
        <v>28</v>
      </c>
      <c r="G46" s="37">
        <v>540000</v>
      </c>
      <c r="H46" s="12">
        <v>32</v>
      </c>
      <c r="I46" s="4">
        <v>46142</v>
      </c>
      <c r="J46" s="9" t="s">
        <v>30</v>
      </c>
      <c r="K46" t="s">
        <v>99</v>
      </c>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row>
    <row r="47" spans="1:48" ht="60" x14ac:dyDescent="0.25">
      <c r="A47" s="22">
        <v>42</v>
      </c>
      <c r="B47" s="4">
        <v>46134</v>
      </c>
      <c r="C47" s="44" t="s">
        <v>57</v>
      </c>
      <c r="D47" s="49" t="s">
        <v>56</v>
      </c>
      <c r="E47" s="49"/>
      <c r="F47" s="49" t="s">
        <v>149</v>
      </c>
      <c r="G47" s="37">
        <v>1200000</v>
      </c>
      <c r="H47" s="11">
        <v>59</v>
      </c>
      <c r="I47" s="4">
        <v>46197</v>
      </c>
      <c r="J47" s="43" t="s">
        <v>76</v>
      </c>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row>
    <row r="48" spans="1:48" ht="62.25" customHeight="1" x14ac:dyDescent="0.25">
      <c r="A48" s="22">
        <v>43</v>
      </c>
      <c r="B48" s="4">
        <v>46134</v>
      </c>
      <c r="C48" s="8" t="s">
        <v>16</v>
      </c>
      <c r="D48" s="49" t="s">
        <v>66</v>
      </c>
      <c r="E48" s="49"/>
      <c r="F48" s="49" t="s">
        <v>138</v>
      </c>
      <c r="G48" s="37">
        <v>793728</v>
      </c>
      <c r="H48" s="11">
        <v>39</v>
      </c>
      <c r="I48" s="4">
        <v>46195</v>
      </c>
      <c r="J48" s="33" t="s">
        <v>76</v>
      </c>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row>
    <row r="49" spans="1:48" ht="66" customHeight="1" x14ac:dyDescent="0.25">
      <c r="A49" s="22">
        <v>44</v>
      </c>
      <c r="B49" s="4">
        <v>46135</v>
      </c>
      <c r="C49" s="8" t="s">
        <v>22</v>
      </c>
      <c r="D49" s="48" t="s">
        <v>58</v>
      </c>
      <c r="E49" s="48"/>
      <c r="F49" s="48" t="s">
        <v>112</v>
      </c>
      <c r="G49" s="37">
        <v>1906704</v>
      </c>
      <c r="H49" s="12">
        <v>33</v>
      </c>
      <c r="I49" s="4">
        <v>46142</v>
      </c>
      <c r="J49" s="9" t="s">
        <v>30</v>
      </c>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row>
    <row r="50" spans="1:48" ht="72.75" customHeight="1" x14ac:dyDescent="0.25">
      <c r="A50" s="22">
        <v>45</v>
      </c>
      <c r="B50" s="4">
        <v>46140</v>
      </c>
      <c r="C50" s="5" t="s">
        <v>14</v>
      </c>
      <c r="D50" s="49" t="s">
        <v>60</v>
      </c>
      <c r="E50" s="49"/>
      <c r="F50" s="49" t="s">
        <v>153</v>
      </c>
      <c r="G50" s="37">
        <v>458400</v>
      </c>
      <c r="H50" s="11"/>
      <c r="I50" s="4">
        <v>46195</v>
      </c>
      <c r="J50" s="9" t="s">
        <v>76</v>
      </c>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row>
    <row r="51" spans="1:48" ht="102" customHeight="1" x14ac:dyDescent="0.25">
      <c r="A51" s="22">
        <v>46</v>
      </c>
      <c r="B51" s="4">
        <v>46135</v>
      </c>
      <c r="C51" s="8" t="s">
        <v>22</v>
      </c>
      <c r="D51" s="48" t="s">
        <v>59</v>
      </c>
      <c r="E51" s="48"/>
      <c r="F51" s="48" t="s">
        <v>119</v>
      </c>
      <c r="G51" s="37">
        <v>100620</v>
      </c>
      <c r="H51" s="12">
        <v>34</v>
      </c>
      <c r="I51" s="4">
        <v>46154</v>
      </c>
      <c r="J51" s="9" t="s">
        <v>30</v>
      </c>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row>
    <row r="52" spans="1:48" ht="105" x14ac:dyDescent="0.25">
      <c r="A52" s="22">
        <v>47</v>
      </c>
      <c r="B52" s="4">
        <v>46140</v>
      </c>
      <c r="C52" s="8" t="s">
        <v>20</v>
      </c>
      <c r="D52" s="49" t="s">
        <v>62</v>
      </c>
      <c r="E52" s="49"/>
      <c r="F52" s="49" t="s">
        <v>157</v>
      </c>
      <c r="G52" s="37" t="s">
        <v>63</v>
      </c>
      <c r="H52" s="11">
        <v>48</v>
      </c>
      <c r="I52" s="4">
        <v>46195</v>
      </c>
      <c r="J52" s="9" t="s">
        <v>76</v>
      </c>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row>
    <row r="53" spans="1:48" ht="112.5" customHeight="1" x14ac:dyDescent="0.25">
      <c r="A53" s="22">
        <v>48</v>
      </c>
      <c r="B53" s="4">
        <v>46140</v>
      </c>
      <c r="C53" s="8" t="s">
        <v>20</v>
      </c>
      <c r="D53" s="49" t="s">
        <v>64</v>
      </c>
      <c r="E53" s="49"/>
      <c r="F53" s="49" t="s">
        <v>142</v>
      </c>
      <c r="G53" s="37">
        <v>51000</v>
      </c>
      <c r="H53" s="11">
        <v>49</v>
      </c>
      <c r="I53" s="4">
        <v>46195</v>
      </c>
      <c r="J53" s="9" t="s">
        <v>76</v>
      </c>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row>
    <row r="54" spans="1:48" ht="73.5" customHeight="1" x14ac:dyDescent="0.25">
      <c r="A54" s="22">
        <v>49</v>
      </c>
      <c r="B54" s="4">
        <v>46141</v>
      </c>
      <c r="C54" s="8" t="s">
        <v>16</v>
      </c>
      <c r="D54" s="49" t="s">
        <v>17</v>
      </c>
      <c r="E54" s="49"/>
      <c r="F54" s="49" t="s">
        <v>17</v>
      </c>
      <c r="G54" s="37">
        <v>1260000</v>
      </c>
      <c r="H54" s="11">
        <v>50</v>
      </c>
      <c r="I54" s="4">
        <v>46161</v>
      </c>
      <c r="J54" s="9" t="s">
        <v>76</v>
      </c>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row>
    <row r="55" spans="1:48" s="23" customFormat="1" ht="88.5" customHeight="1" x14ac:dyDescent="0.25">
      <c r="A55" s="22">
        <v>50</v>
      </c>
      <c r="B55" s="4">
        <v>46142</v>
      </c>
      <c r="C55" s="44" t="s">
        <v>22</v>
      </c>
      <c r="D55" s="48" t="s">
        <v>65</v>
      </c>
      <c r="E55" s="48"/>
      <c r="F55" s="48" t="s">
        <v>113</v>
      </c>
      <c r="G55" s="37">
        <v>367296</v>
      </c>
      <c r="H55" s="12">
        <v>38</v>
      </c>
      <c r="I55" s="4">
        <v>46148</v>
      </c>
      <c r="J55" s="42" t="s">
        <v>30</v>
      </c>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row>
    <row r="56" spans="1:48" ht="63.75" customHeight="1" x14ac:dyDescent="0.25">
      <c r="A56" s="29">
        <v>51</v>
      </c>
      <c r="B56" s="30">
        <v>46147</v>
      </c>
      <c r="C56" s="45" t="s">
        <v>26</v>
      </c>
      <c r="D56" s="49" t="s">
        <v>67</v>
      </c>
      <c r="E56" s="49"/>
      <c r="F56" s="49" t="s">
        <v>154</v>
      </c>
      <c r="G56" s="39">
        <v>165000</v>
      </c>
      <c r="H56" s="31"/>
      <c r="I56" s="30">
        <v>46163</v>
      </c>
      <c r="J56" s="34" t="s">
        <v>76</v>
      </c>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row>
    <row r="57" spans="1:48" ht="88.5" customHeight="1" x14ac:dyDescent="0.25">
      <c r="A57" s="29">
        <v>52</v>
      </c>
      <c r="B57" s="30">
        <v>46150</v>
      </c>
      <c r="C57" s="60" t="s">
        <v>26</v>
      </c>
      <c r="D57" s="49" t="s">
        <v>68</v>
      </c>
      <c r="E57" s="49"/>
      <c r="F57" s="49" t="s">
        <v>143</v>
      </c>
      <c r="G57" s="61" t="s">
        <v>69</v>
      </c>
      <c r="H57" s="62">
        <v>51</v>
      </c>
      <c r="I57" s="30">
        <v>46189</v>
      </c>
      <c r="J57" s="63" t="s">
        <v>95</v>
      </c>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row>
    <row r="58" spans="1:48" ht="90.75" customHeight="1" x14ac:dyDescent="0.25">
      <c r="A58" s="22">
        <v>53</v>
      </c>
      <c r="B58" s="4">
        <v>46150</v>
      </c>
      <c r="C58" s="8" t="s">
        <v>26</v>
      </c>
      <c r="D58" s="49" t="s">
        <v>70</v>
      </c>
      <c r="E58" s="49"/>
      <c r="F58" s="49" t="s">
        <v>141</v>
      </c>
      <c r="G58" s="40" t="s">
        <v>71</v>
      </c>
      <c r="H58" s="12">
        <v>47</v>
      </c>
      <c r="I58" s="4">
        <v>46217</v>
      </c>
      <c r="J58" s="9" t="s">
        <v>30</v>
      </c>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row>
    <row r="59" spans="1:48" ht="92.25" customHeight="1" x14ac:dyDescent="0.25">
      <c r="A59" s="22">
        <v>54</v>
      </c>
      <c r="B59" s="4">
        <v>46156</v>
      </c>
      <c r="C59" s="5" t="s">
        <v>14</v>
      </c>
      <c r="D59" s="48" t="s">
        <v>72</v>
      </c>
      <c r="E59" s="48"/>
      <c r="F59" s="48" t="s">
        <v>128</v>
      </c>
      <c r="G59" s="36" t="s">
        <v>74</v>
      </c>
      <c r="H59" s="12">
        <v>22</v>
      </c>
      <c r="I59" s="4">
        <v>46176</v>
      </c>
      <c r="J59" s="33" t="s">
        <v>30</v>
      </c>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c r="AN59"/>
      <c r="AO59"/>
      <c r="AP59"/>
      <c r="AQ59"/>
      <c r="AR59"/>
      <c r="AS59"/>
      <c r="AT59"/>
      <c r="AU59"/>
      <c r="AV59"/>
    </row>
    <row r="60" spans="1:48" ht="58.5" customHeight="1" x14ac:dyDescent="0.25">
      <c r="A60" s="22">
        <v>55</v>
      </c>
      <c r="B60" s="4">
        <v>46153</v>
      </c>
      <c r="C60" s="8" t="s">
        <v>14</v>
      </c>
      <c r="D60" s="49" t="s">
        <v>81</v>
      </c>
      <c r="E60" s="49"/>
      <c r="F60" s="49" t="s">
        <v>140</v>
      </c>
      <c r="G60" s="40" t="s">
        <v>92</v>
      </c>
      <c r="H60" s="12">
        <v>45</v>
      </c>
      <c r="I60" s="4">
        <v>46206</v>
      </c>
      <c r="J60" s="9" t="s">
        <v>30</v>
      </c>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row>
    <row r="61" spans="1:48" ht="122.25" customHeight="1" x14ac:dyDescent="0.25">
      <c r="A61" s="22">
        <v>56</v>
      </c>
      <c r="B61" s="4">
        <v>46167</v>
      </c>
      <c r="C61" s="8" t="s">
        <v>16</v>
      </c>
      <c r="D61" s="49" t="s">
        <v>78</v>
      </c>
      <c r="E61" s="49"/>
      <c r="F61" s="49" t="s">
        <v>148</v>
      </c>
      <c r="G61" s="35">
        <v>3800000</v>
      </c>
      <c r="H61" s="11">
        <v>55</v>
      </c>
      <c r="I61" s="4">
        <v>46210</v>
      </c>
      <c r="J61" s="33" t="s">
        <v>96</v>
      </c>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row>
    <row r="62" spans="1:48" ht="60" x14ac:dyDescent="0.25">
      <c r="A62" s="22">
        <v>57</v>
      </c>
      <c r="B62" s="4">
        <v>46167</v>
      </c>
      <c r="C62" s="8" t="s">
        <v>16</v>
      </c>
      <c r="D62" s="49" t="s">
        <v>79</v>
      </c>
      <c r="E62" s="49"/>
      <c r="F62" s="49" t="s">
        <v>134</v>
      </c>
      <c r="G62" s="35">
        <v>4752000</v>
      </c>
      <c r="H62" s="15"/>
      <c r="I62" s="4">
        <v>46178</v>
      </c>
      <c r="J62" s="33" t="s">
        <v>84</v>
      </c>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row>
    <row r="63" spans="1:48" ht="93.75" customHeight="1" x14ac:dyDescent="0.25">
      <c r="A63" s="22">
        <v>58</v>
      </c>
      <c r="B63" s="4">
        <v>46168</v>
      </c>
      <c r="C63" s="44" t="s">
        <v>22</v>
      </c>
      <c r="D63" s="48" t="s">
        <v>80</v>
      </c>
      <c r="E63" s="48"/>
      <c r="F63" s="48" t="s">
        <v>116</v>
      </c>
      <c r="G63" s="36">
        <v>1019520</v>
      </c>
      <c r="H63" s="12">
        <v>16</v>
      </c>
      <c r="I63" s="4">
        <v>46188</v>
      </c>
      <c r="J63" s="33" t="s">
        <v>30</v>
      </c>
      <c r="K63"/>
      <c r="L63"/>
      <c r="M63"/>
      <c r="N63"/>
      <c r="O63"/>
      <c r="P63"/>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row>
    <row r="64" spans="1:48" ht="91.5" customHeight="1" x14ac:dyDescent="0.25">
      <c r="A64" s="22">
        <v>59</v>
      </c>
      <c r="B64" s="4">
        <v>46174</v>
      </c>
      <c r="C64" s="44" t="s">
        <v>22</v>
      </c>
      <c r="D64" s="48" t="s">
        <v>82</v>
      </c>
      <c r="E64" s="48"/>
      <c r="F64" s="48" t="s">
        <v>114</v>
      </c>
      <c r="G64" s="36">
        <v>2054700</v>
      </c>
      <c r="H64" s="12">
        <v>52</v>
      </c>
      <c r="I64" s="4">
        <v>46188</v>
      </c>
      <c r="J64" s="33" t="s">
        <v>87</v>
      </c>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row>
    <row r="65" spans="1:48" ht="93" customHeight="1" x14ac:dyDescent="0.25">
      <c r="A65" s="22">
        <v>60</v>
      </c>
      <c r="B65" s="4">
        <v>46174</v>
      </c>
      <c r="C65" s="44" t="s">
        <v>22</v>
      </c>
      <c r="D65" s="48" t="s">
        <v>83</v>
      </c>
      <c r="E65" s="48"/>
      <c r="F65" s="48" t="s">
        <v>115</v>
      </c>
      <c r="G65" s="36">
        <v>112824</v>
      </c>
      <c r="H65" s="12">
        <v>46</v>
      </c>
      <c r="I65" s="4">
        <v>46188</v>
      </c>
      <c r="J65" s="33" t="s">
        <v>171</v>
      </c>
      <c r="K65" s="2"/>
      <c r="L65" s="2"/>
      <c r="M65" s="2"/>
      <c r="N65" s="2"/>
      <c r="O65" s="2"/>
      <c r="P65" s="2"/>
      <c r="Q65"/>
      <c r="R65"/>
      <c r="S65"/>
      <c r="T65"/>
      <c r="U65"/>
      <c r="V65"/>
      <c r="W65"/>
      <c r="X65"/>
      <c r="Y65"/>
      <c r="Z65"/>
      <c r="AA65"/>
      <c r="AB65"/>
      <c r="AC65"/>
      <c r="AD65"/>
      <c r="AE65"/>
      <c r="AF65"/>
      <c r="AG65"/>
      <c r="AH65"/>
      <c r="AI65"/>
      <c r="AJ65"/>
      <c r="AK65"/>
      <c r="AL65"/>
      <c r="AM65"/>
      <c r="AN65"/>
      <c r="AO65"/>
      <c r="AP65"/>
      <c r="AQ65"/>
      <c r="AR65"/>
      <c r="AS65"/>
      <c r="AT65"/>
      <c r="AU65"/>
      <c r="AV65"/>
    </row>
    <row r="66" spans="1:48" ht="146.44999999999999" customHeight="1" x14ac:dyDescent="0.25">
      <c r="A66" s="22">
        <v>61</v>
      </c>
      <c r="B66" s="4">
        <v>46175</v>
      </c>
      <c r="C66" s="44" t="s">
        <v>22</v>
      </c>
      <c r="D66" s="49" t="s">
        <v>45</v>
      </c>
      <c r="E66" s="49"/>
      <c r="F66" s="49" t="s">
        <v>120</v>
      </c>
      <c r="G66" s="36">
        <v>291156</v>
      </c>
      <c r="H66" s="12">
        <v>25</v>
      </c>
      <c r="I66" s="4">
        <v>46211</v>
      </c>
      <c r="J66" s="33" t="s">
        <v>95</v>
      </c>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row>
    <row r="67" spans="1:48" ht="45" x14ac:dyDescent="0.25">
      <c r="A67" s="22">
        <v>62</v>
      </c>
      <c r="B67" s="4">
        <v>46181</v>
      </c>
      <c r="C67" s="44" t="s">
        <v>22</v>
      </c>
      <c r="D67" s="49" t="s">
        <v>85</v>
      </c>
      <c r="E67" s="49"/>
      <c r="F67" s="49" t="s">
        <v>123</v>
      </c>
      <c r="G67" s="36">
        <v>2086500</v>
      </c>
      <c r="H67" s="15">
        <v>53</v>
      </c>
      <c r="I67" s="4">
        <v>46211</v>
      </c>
      <c r="J67" s="9" t="s">
        <v>30</v>
      </c>
      <c r="K67" s="2"/>
      <c r="L67" s="2"/>
      <c r="M67" s="2"/>
      <c r="N67" s="2"/>
      <c r="O67" s="2"/>
      <c r="P67" s="2"/>
      <c r="Q67"/>
      <c r="R67"/>
      <c r="S67"/>
      <c r="T67"/>
      <c r="U67"/>
      <c r="V67"/>
      <c r="W67"/>
      <c r="X67"/>
      <c r="Y67"/>
      <c r="Z67"/>
      <c r="AA67"/>
      <c r="AB67"/>
      <c r="AC67"/>
      <c r="AD67"/>
      <c r="AE67"/>
      <c r="AF67"/>
      <c r="AG67"/>
      <c r="AH67"/>
      <c r="AI67"/>
      <c r="AJ67"/>
      <c r="AK67"/>
      <c r="AL67"/>
      <c r="AM67"/>
      <c r="AN67"/>
      <c r="AO67"/>
      <c r="AP67"/>
      <c r="AQ67"/>
      <c r="AR67"/>
      <c r="AS67"/>
      <c r="AT67"/>
      <c r="AU67"/>
      <c r="AV67"/>
    </row>
    <row r="68" spans="1:48" ht="75" x14ac:dyDescent="0.25">
      <c r="A68" s="22">
        <v>63</v>
      </c>
      <c r="B68" s="4">
        <v>46185</v>
      </c>
      <c r="C68" s="44" t="s">
        <v>22</v>
      </c>
      <c r="D68" s="49" t="s">
        <v>58</v>
      </c>
      <c r="E68" s="49"/>
      <c r="F68" s="49" t="s">
        <v>112</v>
      </c>
      <c r="G68" s="37">
        <v>3000000</v>
      </c>
      <c r="H68" s="15">
        <v>35</v>
      </c>
      <c r="I68" s="4">
        <v>46206</v>
      </c>
      <c r="J68" s="9" t="s">
        <v>30</v>
      </c>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row>
    <row r="69" spans="1:48" ht="78" customHeight="1" x14ac:dyDescent="0.25">
      <c r="A69" s="22">
        <v>64</v>
      </c>
      <c r="B69" s="4">
        <v>46188</v>
      </c>
      <c r="C69" s="44" t="s">
        <v>22</v>
      </c>
      <c r="D69" s="49" t="s">
        <v>65</v>
      </c>
      <c r="E69" s="49"/>
      <c r="F69" s="49" t="s">
        <v>113</v>
      </c>
      <c r="G69" s="37">
        <v>422256</v>
      </c>
      <c r="H69" s="15">
        <v>44</v>
      </c>
      <c r="I69" s="4">
        <v>46205</v>
      </c>
      <c r="J69" s="9" t="s">
        <v>30</v>
      </c>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row>
    <row r="70" spans="1:48" ht="45" customHeight="1" x14ac:dyDescent="0.25">
      <c r="A70" s="22">
        <v>65</v>
      </c>
      <c r="B70" s="4">
        <v>46188</v>
      </c>
      <c r="C70" s="44" t="s">
        <v>22</v>
      </c>
      <c r="D70" s="49" t="s">
        <v>86</v>
      </c>
      <c r="E70" s="49"/>
      <c r="F70" s="49" t="s">
        <v>170</v>
      </c>
      <c r="G70" s="37">
        <v>2906664</v>
      </c>
      <c r="H70" s="64">
        <v>29</v>
      </c>
      <c r="I70" s="4">
        <v>46205</v>
      </c>
      <c r="J70" s="9" t="s">
        <v>30</v>
      </c>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row>
    <row r="71" spans="1:48" ht="123.75" customHeight="1" x14ac:dyDescent="0.25">
      <c r="A71" s="22">
        <v>66</v>
      </c>
      <c r="B71" s="4">
        <v>46189</v>
      </c>
      <c r="C71" s="44" t="s">
        <v>89</v>
      </c>
      <c r="D71" s="49" t="s">
        <v>88</v>
      </c>
      <c r="E71" s="49"/>
      <c r="F71" s="49" t="s">
        <v>136</v>
      </c>
      <c r="G71" s="37">
        <v>85000</v>
      </c>
      <c r="H71" s="19">
        <v>24</v>
      </c>
      <c r="I71" s="4">
        <v>46218</v>
      </c>
      <c r="J71" s="9" t="s">
        <v>110</v>
      </c>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row>
    <row r="72" spans="1:48" ht="75" x14ac:dyDescent="0.25">
      <c r="A72" s="22">
        <v>67</v>
      </c>
      <c r="B72" s="4">
        <v>46191</v>
      </c>
      <c r="C72" s="8" t="s">
        <v>26</v>
      </c>
      <c r="D72" s="49" t="s">
        <v>27</v>
      </c>
      <c r="E72" s="49"/>
      <c r="F72" s="49" t="s">
        <v>132</v>
      </c>
      <c r="G72" s="35">
        <v>3600000</v>
      </c>
      <c r="H72" s="11">
        <v>56</v>
      </c>
      <c r="I72" s="4">
        <v>46210</v>
      </c>
      <c r="J72" s="9" t="s">
        <v>93</v>
      </c>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row>
    <row r="73" spans="1:48" ht="30" x14ac:dyDescent="0.25">
      <c r="A73" s="22">
        <v>68</v>
      </c>
      <c r="B73" s="4">
        <v>46199</v>
      </c>
      <c r="C73" s="5" t="s">
        <v>14</v>
      </c>
      <c r="D73" s="52" t="s">
        <v>97</v>
      </c>
      <c r="E73" s="52"/>
      <c r="F73" s="52" t="s">
        <v>155</v>
      </c>
      <c r="G73" s="35">
        <v>1592006.4</v>
      </c>
      <c r="H73" s="15"/>
      <c r="I73" s="4">
        <v>46204</v>
      </c>
      <c r="J73" s="33" t="s">
        <v>84</v>
      </c>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row>
    <row r="74" spans="1:48" ht="187.5" customHeight="1" x14ac:dyDescent="0.25">
      <c r="A74" s="22">
        <v>69</v>
      </c>
      <c r="B74" s="4">
        <v>46199</v>
      </c>
      <c r="C74" s="8" t="s">
        <v>16</v>
      </c>
      <c r="D74" s="49" t="s">
        <v>103</v>
      </c>
      <c r="E74" s="49"/>
      <c r="F74" s="49" t="s">
        <v>156</v>
      </c>
      <c r="G74" s="35">
        <v>4869600</v>
      </c>
      <c r="H74" s="15"/>
      <c r="I74" s="9"/>
      <c r="J74" s="9"/>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row>
    <row r="75" spans="1:48" ht="90" x14ac:dyDescent="0.25">
      <c r="A75" s="22">
        <v>70</v>
      </c>
      <c r="B75" s="4">
        <v>46204</v>
      </c>
      <c r="C75" s="44" t="s">
        <v>22</v>
      </c>
      <c r="D75" s="49" t="s">
        <v>52</v>
      </c>
      <c r="E75" s="49"/>
      <c r="F75" s="49" t="s">
        <v>52</v>
      </c>
      <c r="G75" s="35">
        <v>9154152</v>
      </c>
      <c r="H75" s="19">
        <v>57</v>
      </c>
      <c r="I75" s="4">
        <v>46216</v>
      </c>
      <c r="J75" s="9" t="s">
        <v>93</v>
      </c>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row>
    <row r="76" spans="1:48" ht="45" x14ac:dyDescent="0.25">
      <c r="A76" s="22">
        <v>71</v>
      </c>
      <c r="B76" s="4">
        <v>46205</v>
      </c>
      <c r="C76" s="44" t="s">
        <v>22</v>
      </c>
      <c r="D76" s="49" t="s">
        <v>100</v>
      </c>
      <c r="E76" s="49"/>
      <c r="F76" s="49" t="s">
        <v>117</v>
      </c>
      <c r="G76" s="35">
        <v>988416</v>
      </c>
      <c r="H76" s="15">
        <v>40</v>
      </c>
      <c r="I76" s="4">
        <v>46216</v>
      </c>
      <c r="J76" s="9" t="s">
        <v>108</v>
      </c>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row>
    <row r="77" spans="1:48" ht="142.5" customHeight="1" x14ac:dyDescent="0.25">
      <c r="A77" s="22">
        <v>72</v>
      </c>
      <c r="B77" s="4">
        <v>46212</v>
      </c>
      <c r="C77" s="44" t="s">
        <v>22</v>
      </c>
      <c r="D77" s="49" t="s">
        <v>104</v>
      </c>
      <c r="E77" s="49"/>
      <c r="F77" s="49" t="s">
        <v>195</v>
      </c>
      <c r="G77" s="36" t="s">
        <v>107</v>
      </c>
      <c r="H77" s="19">
        <v>62</v>
      </c>
      <c r="I77" s="9"/>
      <c r="J77" s="9" t="s">
        <v>77</v>
      </c>
      <c r="K77" s="25" t="s">
        <v>196</v>
      </c>
    </row>
    <row r="78" spans="1:48" ht="64.5" customHeight="1" x14ac:dyDescent="0.25">
      <c r="A78" s="22">
        <v>73</v>
      </c>
      <c r="B78" s="4">
        <v>46216</v>
      </c>
      <c r="C78" s="44" t="s">
        <v>22</v>
      </c>
      <c r="D78" s="49" t="s">
        <v>105</v>
      </c>
      <c r="E78" s="49"/>
      <c r="F78" s="49" t="s">
        <v>121</v>
      </c>
      <c r="G78" s="35">
        <v>323628</v>
      </c>
      <c r="H78" s="19">
        <v>63</v>
      </c>
      <c r="I78" s="9"/>
      <c r="J78" s="9" t="s">
        <v>77</v>
      </c>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row>
    <row r="79" spans="1:48" ht="45" x14ac:dyDescent="0.25">
      <c r="A79" s="22">
        <v>74</v>
      </c>
      <c r="B79" s="4">
        <v>46216</v>
      </c>
      <c r="C79" s="44" t="s">
        <v>22</v>
      </c>
      <c r="D79" s="49" t="s">
        <v>106</v>
      </c>
      <c r="E79" s="49"/>
      <c r="F79" s="49" t="s">
        <v>169</v>
      </c>
      <c r="G79" s="35">
        <v>3132276</v>
      </c>
      <c r="H79" s="19">
        <v>64</v>
      </c>
      <c r="I79" s="9"/>
      <c r="J79" s="9" t="s">
        <v>77</v>
      </c>
    </row>
    <row r="80" spans="1:48" ht="45" x14ac:dyDescent="0.25">
      <c r="A80" s="3">
        <v>75</v>
      </c>
      <c r="B80" s="65">
        <v>46224</v>
      </c>
      <c r="C80" s="44" t="s">
        <v>22</v>
      </c>
      <c r="D80" s="66" t="s">
        <v>172</v>
      </c>
      <c r="F80" s="66" t="s">
        <v>173</v>
      </c>
      <c r="G80" s="41">
        <v>112824</v>
      </c>
      <c r="H80" s="67">
        <v>54</v>
      </c>
      <c r="J80" s="3" t="s">
        <v>77</v>
      </c>
    </row>
    <row r="81" spans="1:48" ht="78" customHeight="1" x14ac:dyDescent="0.25">
      <c r="A81" s="29">
        <v>76</v>
      </c>
      <c r="B81" s="30">
        <v>46225</v>
      </c>
      <c r="C81" s="45" t="s">
        <v>22</v>
      </c>
      <c r="D81" s="49" t="s">
        <v>82</v>
      </c>
      <c r="E81" s="61"/>
      <c r="F81" s="49" t="s">
        <v>197</v>
      </c>
      <c r="G81" s="61">
        <v>2054700</v>
      </c>
      <c r="H81" s="62">
        <v>65</v>
      </c>
      <c r="I81" s="30">
        <v>46262</v>
      </c>
      <c r="J81" s="63" t="s">
        <v>30</v>
      </c>
      <c r="AK81" s="23"/>
      <c r="AL81" s="23"/>
      <c r="AU81"/>
      <c r="AV81"/>
    </row>
    <row r="82" spans="1:48" ht="45" customHeight="1" x14ac:dyDescent="0.25">
      <c r="A82" s="29">
        <v>77</v>
      </c>
      <c r="B82" s="30">
        <v>46225</v>
      </c>
      <c r="C82" s="45" t="s">
        <v>174</v>
      </c>
      <c r="D82" s="49" t="s">
        <v>175</v>
      </c>
      <c r="E82" s="61"/>
      <c r="F82" s="49" t="s">
        <v>201</v>
      </c>
      <c r="G82" s="61">
        <v>2400000</v>
      </c>
      <c r="H82" s="31">
        <v>67</v>
      </c>
      <c r="I82" s="30">
        <v>46266</v>
      </c>
      <c r="J82" s="63" t="s">
        <v>176</v>
      </c>
      <c r="AK82" s="23"/>
      <c r="AL82" s="23"/>
      <c r="AU82"/>
      <c r="AV82"/>
    </row>
    <row r="83" spans="1:48" ht="123.75" customHeight="1" x14ac:dyDescent="0.25">
      <c r="A83" s="29">
        <v>76</v>
      </c>
      <c r="B83" s="30">
        <v>46226</v>
      </c>
      <c r="C83" s="45" t="s">
        <v>22</v>
      </c>
      <c r="D83" s="49" t="s">
        <v>177</v>
      </c>
      <c r="E83" s="61"/>
      <c r="F83" s="49" t="s">
        <v>169</v>
      </c>
      <c r="G83" s="61">
        <v>1864044</v>
      </c>
      <c r="H83" s="62">
        <v>17</v>
      </c>
      <c r="I83" s="30">
        <v>46262</v>
      </c>
      <c r="J83" s="63" t="s">
        <v>110</v>
      </c>
      <c r="AK83" s="23"/>
      <c r="AL83" s="23"/>
      <c r="AU83"/>
      <c r="AV83"/>
    </row>
    <row r="84" spans="1:48" ht="45" x14ac:dyDescent="0.25">
      <c r="A84" s="29">
        <v>76</v>
      </c>
      <c r="B84" s="30">
        <v>46226</v>
      </c>
      <c r="C84" s="45" t="s">
        <v>178</v>
      </c>
      <c r="D84" s="49" t="s">
        <v>179</v>
      </c>
      <c r="E84" s="68"/>
      <c r="F84" s="49" t="s">
        <v>143</v>
      </c>
      <c r="G84" s="68">
        <v>3535000</v>
      </c>
      <c r="H84" s="62">
        <v>66</v>
      </c>
      <c r="I84" s="30">
        <v>46262</v>
      </c>
      <c r="J84" s="63" t="s">
        <v>30</v>
      </c>
      <c r="AK84" s="23"/>
      <c r="AL84" s="23"/>
      <c r="AU84"/>
      <c r="AV84"/>
    </row>
    <row r="85" spans="1:48" ht="90" x14ac:dyDescent="0.25">
      <c r="A85" s="69">
        <v>80</v>
      </c>
      <c r="B85" s="70">
        <v>46231</v>
      </c>
      <c r="C85" s="71" t="s">
        <v>180</v>
      </c>
      <c r="D85" s="49" t="s">
        <v>181</v>
      </c>
      <c r="E85" s="61"/>
      <c r="F85" s="49" t="s">
        <v>200</v>
      </c>
      <c r="G85" s="61">
        <v>510000</v>
      </c>
      <c r="H85" s="31">
        <v>70</v>
      </c>
      <c r="I85" s="72">
        <v>46261</v>
      </c>
      <c r="J85" s="63" t="s">
        <v>182</v>
      </c>
      <c r="AK85" s="23"/>
      <c r="AL85" s="23"/>
      <c r="AU85"/>
      <c r="AV85"/>
    </row>
    <row r="86" spans="1:48" ht="165" x14ac:dyDescent="0.25">
      <c r="A86" s="69">
        <v>78</v>
      </c>
      <c r="B86" s="73">
        <v>46244</v>
      </c>
      <c r="C86" s="45" t="s">
        <v>180</v>
      </c>
      <c r="D86" s="49" t="s">
        <v>183</v>
      </c>
      <c r="E86" s="61"/>
      <c r="F86" s="74" t="s">
        <v>198</v>
      </c>
      <c r="G86" s="61" t="s">
        <v>184</v>
      </c>
      <c r="H86" s="31">
        <v>68</v>
      </c>
      <c r="I86" s="30">
        <v>46261</v>
      </c>
      <c r="J86" s="63" t="s">
        <v>182</v>
      </c>
      <c r="AK86" s="23"/>
      <c r="AL86" s="23"/>
      <c r="AU86"/>
      <c r="AV86"/>
    </row>
    <row r="87" spans="1:48" ht="109.5" customHeight="1" x14ac:dyDescent="0.25">
      <c r="A87" s="22"/>
      <c r="B87" s="4">
        <v>46245</v>
      </c>
      <c r="C87" s="8" t="s">
        <v>26</v>
      </c>
      <c r="D87" s="74" t="s">
        <v>185</v>
      </c>
      <c r="E87" s="75"/>
      <c r="F87" s="74" t="s">
        <v>194</v>
      </c>
      <c r="G87" s="75" t="s">
        <v>186</v>
      </c>
      <c r="H87" s="19">
        <v>73</v>
      </c>
      <c r="I87" s="4">
        <v>46275</v>
      </c>
      <c r="J87" s="9" t="s">
        <v>77</v>
      </c>
      <c r="AK87" s="23"/>
      <c r="AL87" s="23"/>
      <c r="AU87"/>
      <c r="AV87"/>
    </row>
    <row r="88" spans="1:48" ht="60" x14ac:dyDescent="0.25">
      <c r="A88" s="69">
        <v>79</v>
      </c>
      <c r="B88" s="70">
        <v>46252</v>
      </c>
      <c r="C88" s="71" t="s">
        <v>14</v>
      </c>
      <c r="D88" s="49" t="s">
        <v>187</v>
      </c>
      <c r="E88" s="76"/>
      <c r="F88" s="49" t="s">
        <v>203</v>
      </c>
      <c r="G88" s="76" t="s">
        <v>188</v>
      </c>
      <c r="H88" s="31">
        <v>69</v>
      </c>
      <c r="I88" s="72">
        <v>46268</v>
      </c>
      <c r="J88" s="63" t="s">
        <v>76</v>
      </c>
      <c r="AK88" s="23"/>
      <c r="AL88" s="23"/>
      <c r="AU88"/>
      <c r="AV88"/>
    </row>
    <row r="89" spans="1:48" ht="60" x14ac:dyDescent="0.25">
      <c r="A89" s="22"/>
      <c r="B89" s="4">
        <v>46261</v>
      </c>
      <c r="C89" s="8" t="s">
        <v>16</v>
      </c>
      <c r="D89" s="77" t="s">
        <v>189</v>
      </c>
      <c r="E89" s="75"/>
      <c r="F89" s="74" t="s">
        <v>144</v>
      </c>
      <c r="G89" s="75">
        <v>4110000</v>
      </c>
      <c r="H89" s="15">
        <v>72</v>
      </c>
      <c r="I89" s="4">
        <v>46269</v>
      </c>
      <c r="J89" s="9" t="s">
        <v>110</v>
      </c>
      <c r="AK89" s="23"/>
      <c r="AL89" s="23"/>
      <c r="AU89"/>
      <c r="AV89"/>
    </row>
    <row r="90" spans="1:48" ht="126" customHeight="1" x14ac:dyDescent="0.25">
      <c r="A90" s="22"/>
      <c r="B90" s="4">
        <v>46265</v>
      </c>
      <c r="C90" s="44" t="s">
        <v>22</v>
      </c>
      <c r="D90" s="74" t="s">
        <v>190</v>
      </c>
      <c r="E90" s="35"/>
      <c r="F90" s="74" t="s">
        <v>192</v>
      </c>
      <c r="G90" s="35">
        <v>2770812</v>
      </c>
      <c r="H90" s="15">
        <v>74</v>
      </c>
      <c r="I90" s="4">
        <v>46269</v>
      </c>
      <c r="J90" s="9" t="s">
        <v>110</v>
      </c>
      <c r="K90" s="25" t="s">
        <v>193</v>
      </c>
      <c r="AK90" s="23"/>
      <c r="AL90" s="23"/>
      <c r="AU90"/>
      <c r="AV90"/>
    </row>
    <row r="91" spans="1:48" ht="75" x14ac:dyDescent="0.25">
      <c r="A91" s="78">
        <v>81</v>
      </c>
      <c r="B91" s="49"/>
      <c r="C91" s="71" t="s">
        <v>16</v>
      </c>
      <c r="D91" s="49" t="s">
        <v>191</v>
      </c>
      <c r="E91" s="61"/>
      <c r="F91" s="74" t="s">
        <v>199</v>
      </c>
      <c r="G91" s="61">
        <v>3610800</v>
      </c>
      <c r="H91" s="62">
        <v>71</v>
      </c>
      <c r="I91" s="72">
        <v>46269</v>
      </c>
      <c r="J91" s="63" t="s">
        <v>110</v>
      </c>
      <c r="AK91" s="23"/>
      <c r="AL91" s="23"/>
      <c r="AU91"/>
      <c r="AV91"/>
    </row>
    <row r="92" spans="1:48" x14ac:dyDescent="0.25">
      <c r="D92" s="56"/>
      <c r="E92" s="56"/>
      <c r="F92" s="56"/>
    </row>
    <row r="93" spans="1:48" x14ac:dyDescent="0.25">
      <c r="D93" s="56"/>
      <c r="E93" s="56"/>
      <c r="F93" s="56"/>
    </row>
    <row r="94" spans="1:48" x14ac:dyDescent="0.25">
      <c r="D94" s="59"/>
      <c r="E94" s="59"/>
      <c r="F94" s="59"/>
    </row>
    <row r="95" spans="1:48" x14ac:dyDescent="0.25">
      <c r="D95" s="57"/>
      <c r="E95" s="57"/>
      <c r="F95" s="57"/>
    </row>
    <row r="96" spans="1:48" x14ac:dyDescent="0.25">
      <c r="D96" s="57"/>
      <c r="E96" s="57"/>
      <c r="F96" s="57"/>
    </row>
    <row r="97" spans="4:6" x14ac:dyDescent="0.25">
      <c r="D97" s="57"/>
      <c r="E97" s="57"/>
      <c r="F97" s="57"/>
    </row>
  </sheetData>
  <autoFilter ref="A3:AV91"/>
  <pageMargins left="0.7" right="0.7" top="0.75" bottom="0.75" header="0.3" footer="0.3"/>
  <pageSetup paperSize="9" scale="64" orientation="landscape" r:id="rId1"/>
  <headerFooter>
    <oddFooter>&amp;CPage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7:C29"/>
  <sheetViews>
    <sheetView workbookViewId="0">
      <selection activeCell="C30" sqref="C30"/>
    </sheetView>
  </sheetViews>
  <sheetFormatPr baseColWidth="10" defaultRowHeight="15" x14ac:dyDescent="0.25"/>
  <cols>
    <col min="4" max="4" width="34.5703125" customWidth="1"/>
    <col min="5" max="5" width="17.5703125" customWidth="1"/>
    <col min="8" max="8" width="22.42578125" customWidth="1"/>
  </cols>
  <sheetData>
    <row r="7" ht="61.5" customHeight="1" x14ac:dyDescent="0.25"/>
    <row r="28" spans="3:3" x14ac:dyDescent="0.25">
      <c r="C28">
        <f>960000*1.5</f>
        <v>1440000</v>
      </c>
    </row>
    <row r="29" spans="3:3" x14ac:dyDescent="0.25">
      <c r="C29">
        <f>+C28/100</f>
        <v>14400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AO 2026</vt:lpstr>
      <vt:lpstr>Feuil1</vt:lpstr>
      <vt:lpstr>'AO 2026'!Impression_des_titres</vt:lpstr>
      <vt:lpstr>'AO 2026'!Zone_d_impression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2026-09-14T09:25:48Z</dcterms:modified>
</cp:coreProperties>
</file>