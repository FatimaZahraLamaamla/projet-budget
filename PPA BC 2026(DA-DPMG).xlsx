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AC32E4FA-83CD-48EB-B7FA-78577BC7206A}" xr6:coauthVersionLast="36" xr6:coauthVersionMax="36" xr10:uidLastSave="{00000000-0000-0000-0000-000000000000}"/>
  <bookViews>
    <workbookView xWindow="0" yWindow="0" windowWidth="19200" windowHeight="6810" xr2:uid="{00000000-000D-0000-FFFF-FFFF00000000}"/>
  </bookViews>
  <sheets>
    <sheet name="PPA ACHATS 2026" sheetId="1" r:id="rId1"/>
    <sheet name="PPA DPMG 2026" sheetId="2" r:id="rId2"/>
  </sheets>
  <externalReferences>
    <externalReference r:id="rId3"/>
  </externalReferences>
  <definedNames>
    <definedName name="_xlnm._FilterDatabase" localSheetId="0" hidden="1">'PPA ACHATS 2026'!$A$3:$N$135</definedName>
    <definedName name="_xlnm._FilterDatabase" localSheetId="1" hidden="1">'PPA DPMG 2026'!$A$3:$M$18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0" i="2" l="1"/>
  <c r="E20" i="2"/>
  <c r="J137" i="1"/>
  <c r="J140" i="1" s="1"/>
  <c r="E137" i="1"/>
</calcChain>
</file>

<file path=xl/sharedStrings.xml><?xml version="1.0" encoding="utf-8"?>
<sst xmlns="http://schemas.openxmlformats.org/spreadsheetml/2006/main" count="1121" uniqueCount="300">
  <si>
    <t>PROJET DU PPA DES BONS DE COMMANDES POUR ACCORD
2026</t>
  </si>
  <si>
    <t>Personne Habilité</t>
  </si>
  <si>
    <t>Direction</t>
  </si>
  <si>
    <t>Objet</t>
  </si>
  <si>
    <t>Justification du besoin</t>
  </si>
  <si>
    <t>Budget estimatif</t>
  </si>
  <si>
    <t>Nature Annexe 4</t>
  </si>
  <si>
    <t>Attribution</t>
  </si>
  <si>
    <t>Plafonds autorisé
(A)
(1)</t>
  </si>
  <si>
    <t>Montant total de la nature au PPA (B)</t>
  </si>
  <si>
    <t>Montant Réel des BC engagés 
(2)</t>
  </si>
  <si>
    <t>Dépassement</t>
  </si>
  <si>
    <t>Nature bugdet</t>
  </si>
  <si>
    <t>Observations</t>
  </si>
  <si>
    <t>PROPOSITION</t>
  </si>
  <si>
    <t>D/ACHATS</t>
  </si>
  <si>
    <t>D/SITES</t>
  </si>
  <si>
    <t>Raccordement BT de quelques sites de diffusion SNRT</t>
  </si>
  <si>
    <t xml:space="preserve">Branchement BT des quelques sites de diffusion SNRT </t>
  </si>
  <si>
    <t>TRAVAUX D’AMENAGEMENT, D’ENTRETIEN ET DE REPARATION DES OUVRAGES, VOIES ET RESEAUX</t>
  </si>
  <si>
    <t>Oui</t>
  </si>
  <si>
    <t>OUI</t>
  </si>
  <si>
    <t>INV</t>
  </si>
  <si>
    <t>Entretien et maintenance des équipements électriques (postes MT/BT, régulateurs/stabilisateurs  onduleurs, groupes électrogènes) dans quelques sites SNRT.</t>
  </si>
  <si>
    <t>Assurer la fiabilité et la durabilité des équipements électriques afin de garantir la continuité de service au niveau de l'alimentation du siège SNRT</t>
  </si>
  <si>
    <t>ENTRETIEN ET MAINTENANCE DES EQUIPEMENTS TECHNIQUES ELECTRIQUES ET ELECTRONIQUES DE TELECOMMUNICATION ET DE TELEGESTION</t>
  </si>
  <si>
    <t>Non</t>
  </si>
  <si>
    <t>EXP</t>
  </si>
  <si>
    <t>Réparation et maintenance des équipements électriques (postes MT/BT, régulateurs/stabilisateurs  onduleurs, groupes électrogènes) dans quelques sites SNRT.</t>
  </si>
  <si>
    <t>RÉPARATION, MAINTENANCE DES ÉQUIPEMENTS, DE MATÉRIEL ET APPAREIL  TECHNIQUES </t>
  </si>
  <si>
    <t>Acquisition outillage et consommables</t>
  </si>
  <si>
    <t>Equiper l'équipe des électriciens en terme d'outillage nécessaire</t>
  </si>
  <si>
    <t>OUTILLAGE ET QUINCAILLERIE</t>
  </si>
  <si>
    <t>Fourniture de carburants et lubrifiants pour groupes électrogènes.</t>
  </si>
  <si>
    <t>Pour la continuité de service</t>
  </si>
  <si>
    <t>CARBURANTS ET LUBRIFIANTS</t>
  </si>
  <si>
    <t>Transfert de matériel divers (GE, onduleurs, câbles, batteries, pylônes, antennes, émetteurs …)</t>
  </si>
  <si>
    <t>PRESTATION DE TRANSPORT</t>
  </si>
  <si>
    <t>Démontge, montage de matériel divers (GE, onduleurs, câbles, batteries, pylônes, antennes, …)</t>
  </si>
  <si>
    <t>MONTAGE ET DEMONTAGE DU MATERIEL HYDRAULIQUE ET ELECTROMECANIQUE</t>
  </si>
  <si>
    <t>Fourniture électrique (batteries de compensation, batteries des groupes, batteries pour onduleurs …)</t>
  </si>
  <si>
    <t>Pour le besoin de maintenance préventive et curative des installations électriques.</t>
  </si>
  <si>
    <t>FOURNITURES ELECTRIQUES</t>
  </si>
  <si>
    <t>Travaux d'aménagements des bâtiments techniques</t>
  </si>
  <si>
    <t>Pour assurer un bon environnement de fonctionnement des équipements de diffusion, de transmission et d'énergie.</t>
  </si>
  <si>
    <t>TRAVAUX D'AMENAGEMENT, D'ENTRETIEN ET DE REPARATION DES BATIMENTS ADMINISTRATIFS ET TECHNIQUES</t>
  </si>
  <si>
    <t>Fourniture matériel technique de transmission.</t>
  </si>
  <si>
    <t>Pour le besoin de service</t>
  </si>
  <si>
    <t>MATERIEL TECHNIQUE DE DIFFUSION ET DE TRANSMISSION</t>
  </si>
  <si>
    <t>Diagnostic des équipements de diffusion/transmission et structures portatives.</t>
  </si>
  <si>
    <t>ETUDES ET CONSEIL</t>
  </si>
  <si>
    <t>Etudes topographiques, pilotage des projets</t>
  </si>
  <si>
    <t>PRESTATIONS TOPOGRAPHIQUES, ORNITHOLOGIQUES, ENVIRONNEMENTALES ET SISMOLOGIQUES, GEOTECHNIQUES, DE GEOMETRE, DE CONTROLE ET D’ORDONNANCEMENT, PILOTAGE ET COORDINATION DES TRAVAUX</t>
  </si>
  <si>
    <t>Fourniture pour matériel technique de transmission.</t>
  </si>
  <si>
    <t>Mise en service des stations de diffusion</t>
  </si>
  <si>
    <t>FOURNITURE  POUR MATERIEL TECHNIQUE DE DIFFUSION ET DE TRANSMISSION</t>
  </si>
  <si>
    <t>Fourniture de pièces de rechange pour les installations MT/BT, groupes électrogènes, onduleurs et systèmes de supervision.</t>
  </si>
  <si>
    <t>PIECES DE RECHANGE POUR MATERIEL TECHNIQUE  ET ELECTRIQUE</t>
  </si>
  <si>
    <t>Réparation et maintenance des équipements de transmission.</t>
  </si>
  <si>
    <t>Entretien et maintenance des équipements de transmission.</t>
  </si>
  <si>
    <t>ENTRETIEN ET MAINTENANCE DES EQUIPEMETS TECHNIQUES DE DIFFUSION ET DE TRANSMISSION</t>
  </si>
  <si>
    <t>Acquisition de softwares, licenses, mise à jour et logiciels</t>
  </si>
  <si>
    <t>Pour la mise à jour des équipements existants et opérationnels</t>
  </si>
  <si>
    <t>EQUIPEMENTS INFORMATIQUE, PIECES DE RECHANGE  ET LOGICIELS</t>
  </si>
  <si>
    <t>Acquisition des équipements informatiques</t>
  </si>
  <si>
    <t>Pour le besoin des équipements de transmission existants et opérationnels</t>
  </si>
  <si>
    <t>CHAINE LAAYOUNE</t>
  </si>
  <si>
    <t>Prestation d'impression pour la mise en scène de l'émission
 "MOSABAQAT AL QURAN ALKARIM" pour l'année 1447/2026</t>
  </si>
  <si>
    <t>Achat de décors et impression pour la mise en scène 
de l'émission "MOSABAQAT AL QURAN ALKARIM"</t>
  </si>
  <si>
    <t>PRESTATIONS D'IMPRESSION DE REPRODUCTION ET DE PHOTOGRAPHIE</t>
  </si>
  <si>
    <t>Achat de trophées pour l'émission 
"MOSABAQAT AL QURAN ALKARIM" pour l'année 14472026</t>
  </si>
  <si>
    <t>Achat des trophées pour les gagnants de 
l'émission "MOSABAQAT AL QURAN ALKARIM"</t>
  </si>
  <si>
    <t>MEDAILLES, EFFIGIES, DRAPEAUX ET FANIONS</t>
  </si>
  <si>
    <t>Fourniture et instalation des placards en aluminium pour le rangement des cameras ENG de la Tv Laayoune</t>
  </si>
  <si>
    <t>Suite à l’exécution du marché public relatif à l’aménagement des locaux du siège de TV Laayoune en aluminium et en verre, aucun espace adapté n’a été prévu pour le rangement des caméras ENG de news.
Par ailleurs, pour des raisons de sécurité, il est nécessaire de prévoir un local dédié au stockage de 10 caméras, tout en mettant à la disposition de chaque cameraman une armoire individuelle sécurisée en aluminium.</t>
  </si>
  <si>
    <t>NON</t>
  </si>
  <si>
    <t>Frais de restauration pour les repas de Ftour et Shour du mois 
RAMADAN 1447/2026</t>
  </si>
  <si>
    <t>Rupture de jeûne et repas de shour du personnel du SNRT TV Laâyoune, 
Centre émetteur TV/FM Laâyoune et station régionale du Radio Laâyoune du mois sacré du Ramadan 1447/2026</t>
  </si>
  <si>
    <t>HOTELLERIE, HEBERGEMENT, RECEPTION ET RESTAURATION</t>
  </si>
  <si>
    <t>Frais de réception  pour les invites de Tv Laayoune</t>
  </si>
  <si>
    <t xml:space="preserve">Frais de réception annuel </t>
  </si>
  <si>
    <t>Achat d'habillement</t>
  </si>
  <si>
    <t>Achats annuels de vêtements pour les présentateurs
 de JT Laayoune et les animateurs des émissions</t>
  </si>
  <si>
    <t>HABILLEMENT ET COSTUMES POUR MISE EN SCENE</t>
  </si>
  <si>
    <t xml:space="preserve">Achat de maquillage </t>
  </si>
  <si>
    <t>Achats annuels de maquillages pour les présentateurs
 de JT Laayoune et les animateurs des émissions</t>
  </si>
  <si>
    <t>PRODUITS DE MAQUILLAGE</t>
  </si>
  <si>
    <t>Fourniture d'antennes paraboliques pour les locaux techique de TV Laayoune</t>
  </si>
  <si>
    <t>VOIR AVEC D/SITES</t>
  </si>
  <si>
    <t>Fourniture et installation de cinq (5) moniteurs TV pour decor actuel de JT et la regie Production</t>
  </si>
  <si>
    <t>MATERIEL TECHNIQUE DE DE PRODUCTION VIDEO</t>
  </si>
  <si>
    <t>VOIR AVEC DTSI</t>
  </si>
  <si>
    <t>DPMG</t>
  </si>
  <si>
    <t>Etude : Travaux de bâtiment.</t>
  </si>
  <si>
    <t>Suivi : Travaux de bâtiment.</t>
  </si>
  <si>
    <t>UN PROJET DE BC PREVU DE 35000,00DHS TTC NON ENCORE GENERE SUR JDE
Lot N°2 : Suivi des travaux d'aménagement du nouveau siège de la radio de Tétouane</t>
  </si>
  <si>
    <t>Etude : Travaux électrique :
climatisation,
onduleurs,
Extincteurs,
Ascenseurs et portes automatiques,
Détection et extinction incendie automatiques</t>
  </si>
  <si>
    <t>Suivi : Travaux électrique :
climatisation,
onduleurs,
Extincteurs,
Ascenseurs et portes automatiques,
Détection et extinction incendie automatiques</t>
  </si>
  <si>
    <t>Transport, installation et maintenance/ Décors émissions débats</t>
  </si>
  <si>
    <t>Fourniture de Coffrets pour Activités Royales et autres</t>
  </si>
  <si>
    <t>FOURNITURES DE SACS ET PRODUITS D'EMBALLAGE</t>
  </si>
  <si>
    <t xml:space="preserve">Achat de Portrait </t>
  </si>
  <si>
    <t>MOBILIER DE BUREAU</t>
  </si>
  <si>
    <t>Transport de Nacelle</t>
  </si>
  <si>
    <t>Achat de materiel de cuisine pour les besoins des invités SNRT</t>
  </si>
  <si>
    <t>MATERIELS ET ARTICLES DE LITERIE ET DE COUCHAGE ET MATERIELS DE CUISINE  ET DE BUANDERIE</t>
  </si>
  <si>
    <t>Travaux aménagement des espaces verts avec ou sans fourniture de graines et plantes</t>
  </si>
  <si>
    <t>TRAVAUX D’AMENAGEMENT DES ESPACES VERTS AVEC OU SANS FOURNITURE DE GRAINES ET PLANTE</t>
  </si>
  <si>
    <t>Achat des machines et capsules à café et mini refrigirateur</t>
  </si>
  <si>
    <t>Achat des appariels téléphones portables</t>
  </si>
  <si>
    <t>MATERIEL TECHNIQUE DE PRODUCTION AUDIO</t>
  </si>
  <si>
    <t>Achat de fournitures pour les clims</t>
  </si>
  <si>
    <t>FOURNITURES POUR MATERIEL ELECTRIQUE, INFORMATIQUE ET TECHNIQUE (AUTRES QUE CELUI DESTINE A LA PRODUCTION AUDIO, VIDEO ET DE DIFFUSION ET DE TRANSMISSION);</t>
  </si>
  <si>
    <t>D/FINANCIERE</t>
  </si>
  <si>
    <t>Consultation d'un expert-comptable pour la production d'un avis sur la constatation comptable des programmes audiovisuels, et accompagnement de la SNRT pour l'obtention de l'avis du Conseil National de la Comptabilité</t>
  </si>
  <si>
    <t>SUIVI DES RECOMMANDATIONS DU COMMISSAIRE AUX COMPTES</t>
  </si>
  <si>
    <t>PRESTATION D'ASSISTANCE ET DE CONSEIL TECHNIQUES JURIDIQUES COMPTABLES FISCAUX ET DE SUPPORT</t>
  </si>
  <si>
    <t xml:space="preserve">Autres prestations de conseil comptable - séminaires de formation - enregistrement fiscal des contrats et PV's </t>
  </si>
  <si>
    <t>BESOINS PONCTUELS</t>
  </si>
  <si>
    <t>DIRECTION MARKETING ET PROGRAMMATION TV</t>
  </si>
  <si>
    <t>Fourniture et impression des agendas / Travaux d'impression</t>
  </si>
  <si>
    <t>FOURNITURES DE BUREAU ET IMPRIMES</t>
  </si>
  <si>
    <t>Production de spot publicitaire TV pour la promotion des produits et 
services de la SNRT</t>
  </si>
  <si>
    <t>Promotion des produits et services de la SNRT</t>
  </si>
  <si>
    <t>CONCEPTION ET PRODUCTION DE SPOTS TV, RADIO ET WEB</t>
  </si>
  <si>
    <t xml:space="preserve">Prise de vue et shooting des comédiens lors des tournages de la SNRT </t>
  </si>
  <si>
    <t>prise de vue pendant les tournages et contribution artistique à la conception des intentions de shooting et des visuels créatifs validés par la DMPTV</t>
  </si>
  <si>
    <t xml:space="preserve">Réalisation Etude Marketing </t>
  </si>
  <si>
    <t>Evaluation des programmes et / ou de plateformes de
la SNRT</t>
  </si>
  <si>
    <t>ETUDES MARKETING ET D'AUDIENCE</t>
  </si>
  <si>
    <t xml:space="preserve">Goodies , stylisme brandés SNRT'  </t>
  </si>
  <si>
    <t>Goodies et production de vêtements brandés  SNRT vidéo mobile/chaîne</t>
  </si>
  <si>
    <t>Supervision des votes (notaire)</t>
  </si>
  <si>
    <t>Supervision des votes</t>
  </si>
  <si>
    <t xml:space="preserve">SMS et  vote autour des programmes </t>
  </si>
  <si>
    <t>Diffusion de programmes avec mécanisme de vote tel que Stand up ,lalla Laarossa,  animation antenne avec des jeux sms /promotion des programmes et services de la SNRT (VOD)</t>
  </si>
  <si>
    <t>MISE EN PLACE DE PLATEFORME TECHNIQUE DE GESTION DE VOTE PAR SMS</t>
  </si>
  <si>
    <t>Création musicale ou voix off pour programmes tv , radio et web</t>
  </si>
  <si>
    <t xml:space="preserve">Création musicale  ou voix off pour programmes tv , radio et web pour les programmes phares SNRT - WEB </t>
  </si>
  <si>
    <t>CRÉATION D'IDENTITÉ SONORE POUR ÉMISSION TV, RADIO ET WEB DE LA SOCIÉTÉ</t>
  </si>
  <si>
    <t>Prestation de construction de décor</t>
  </si>
  <si>
    <t>meubles pour des décors des chaînes de la SNRT</t>
  </si>
  <si>
    <t>MATERIAUX NECESSAIRES A LA CONFECTION DES DECORS POUR TOURNAGE TV</t>
  </si>
  <si>
    <t xml:space="preserve">Prestation de conception de décor </t>
  </si>
  <si>
    <t>Anciennes et nouvelles émissions</t>
  </si>
  <si>
    <t>CONCEPTION D’HABILLAGES GRAPHIQUES ET DE DECORS POUR PROJETS DIVERS LIES A L’ACTIVITE DE LA SOCIETE ;</t>
  </si>
  <si>
    <t xml:space="preserve">Création d’un décor virtuel pour la chaîne Arryadia </t>
  </si>
  <si>
    <t>Besoin de la chaîne Arryadia</t>
  </si>
  <si>
    <t xml:space="preserve">Fourniture et pose du mobilier d'exposition pour le stand SNRT 
Réhabilitation de stand </t>
  </si>
  <si>
    <t xml:space="preserve">Stand des évenments à caractère stratégique tel le FIFM ou le trophée Hassan II de Golf /ADS/ Laayoune </t>
  </si>
  <si>
    <t>MOBILIER D'EXPOSITION</t>
  </si>
  <si>
    <t>D/EXP &amp;MAIN</t>
  </si>
  <si>
    <t>Maintenance des cartes électronique des modules des émetteurs  des centres AM</t>
  </si>
  <si>
    <t>Maintenir en bon état l'équipement</t>
  </si>
  <si>
    <t>Travaux d'installation de materiels divers aux centres de diffusion TV/FM</t>
  </si>
  <si>
    <t>Assurer la continuité de service</t>
  </si>
  <si>
    <t>TRAVAUX D'INSTALLATION DE MATERIELS DIVERS</t>
  </si>
  <si>
    <t>Travaux d'aménagement, d'entretien et réparation des batiments administratifs et techniques</t>
  </si>
  <si>
    <t>Maintien en bon état des batiments techniques</t>
  </si>
  <si>
    <t xml:space="preserve">Travaux d'aménagement, d'entretien et réparation des ouvrages, voies et réseaux des centres de diffusion </t>
  </si>
  <si>
    <t>Maintien en bon état des bâtiments techniques</t>
  </si>
  <si>
    <t>Désherbage, élagage et déracinement aux centres de diffusion de la SNRT</t>
  </si>
  <si>
    <t>Assurer un bon environnement des centres</t>
  </si>
  <si>
    <t>DESHERBAGE, ELAGAGE, DERACINAGE DES ARBRES</t>
  </si>
  <si>
    <t>Entretien et maintenance des équipements techniques, électriques et électroniques de télécommunications et de télégestion des centres de diffusion TV/FM</t>
  </si>
  <si>
    <t xml:space="preserve">Montage et démontage du matériel hydraulique et électromécanique du matériel des centres de diffusion </t>
  </si>
  <si>
    <t>Transfert du matériel des centres de diffusion TV/FM</t>
  </si>
  <si>
    <t>Forage du puit au centre émetteur  radio de Sidi Bennour y compris l'entretien du système de pompage  et le réservoir d'eau.</t>
  </si>
  <si>
    <t>Fourniture et pose des clôtures en grillage pour la protection des pylônes rayonnant au centre émetteur de Forum El Oued</t>
  </si>
  <si>
    <t>Changement des canalisations  d'alimentation en eau potable du centre Forum el Oued</t>
  </si>
  <si>
    <t>Entretien et maintenance du groupe froid de l'émetteur radio d'Ait Melloul</t>
  </si>
  <si>
    <t>D/CRI</t>
  </si>
  <si>
    <t xml:space="preserve">   Travaux d'impression divers relatif aux événement institutionnelle</t>
  </si>
  <si>
    <t xml:space="preserve">        Promotion institutionnelle de la SNRT</t>
  </si>
  <si>
    <t>Coffrets institutionnels  de fin d’année 2026 – Nouvel An 2027 (Partie 1 -Groupe 1)</t>
  </si>
  <si>
    <t xml:space="preserve">        Campagne de fin d'année  relative aux  Relations  publiques et  Relations Presse </t>
  </si>
  <si>
    <t>FRACTIONNEMENT</t>
  </si>
  <si>
    <t>Coffrets institutionnels  de fin d’année 2026 – Nouvel An 2027 (Partie 2 -Groupe 2)</t>
  </si>
  <si>
    <t>ARRIYADIA</t>
  </si>
  <si>
    <t>DEPENSE DE PRODUCTION MAQUILLAGE</t>
  </si>
  <si>
    <t>DEPENSE DE PRODUCTION HABILLEMENT</t>
  </si>
  <si>
    <t>FOURNITURE DE MATERIEL DE COIFFURE</t>
  </si>
  <si>
    <t>FRAIS TECHNIQUES DE TRANSMISSION</t>
  </si>
  <si>
    <t>PRESTATIONS TECHNIQUES AUDIOVISUELLES ET TRANSMISSION DES SIGNAUX AUDIO ET VIDÉO.</t>
  </si>
  <si>
    <t>Frais d'organisation des Cérémonies Sportives</t>
  </si>
  <si>
    <t>ORGANISATION DE MANIFESTATIONS CULTURELLES ET SPORTIVES</t>
  </si>
  <si>
    <t>Location Matériel Techniques</t>
  </si>
  <si>
    <t>LOCATION DE MATERIEL ET DE MOBILIER</t>
  </si>
  <si>
    <t>CONCEPTION DE DECORS</t>
  </si>
  <si>
    <t>Fabrication</t>
  </si>
  <si>
    <t>DCPA</t>
  </si>
  <si>
    <t>Conception et Fabrication des décors</t>
  </si>
  <si>
    <t>Entretien des décors</t>
  </si>
  <si>
    <t>ENTRETIEN ET REPARATION DE MATERIEL ET DE MOBILIER</t>
  </si>
  <si>
    <t xml:space="preserve">Création et conception d'une scène </t>
  </si>
  <si>
    <t xml:space="preserve">Location de matériel d'éclairage et de sonorisation </t>
  </si>
  <si>
    <t>Achat Maquillage, démaquillage et Accessoires</t>
  </si>
  <si>
    <t>Impression Invitations &amp; Livrets</t>
  </si>
  <si>
    <t>Restauration
Talk Show Culturel</t>
  </si>
  <si>
    <t>Restauration
مع الفاميلا</t>
  </si>
  <si>
    <t>Restauration
 نادي المرح</t>
  </si>
  <si>
    <t xml:space="preserve">Restauration
 السهرات الكبرى للأول </t>
  </si>
  <si>
    <t>Restauration
الوسيط</t>
  </si>
  <si>
    <t>DACG</t>
  </si>
  <si>
    <t>Formations et séminaires au profit de l'équipe DACG</t>
  </si>
  <si>
    <t>Renforcement des compétences des auditeurs dans les domaines liées à leur fonction</t>
  </si>
  <si>
    <t>FORMATION</t>
  </si>
  <si>
    <t>Certifications et formations diplômantes au profit de l'équipe DACG</t>
  </si>
  <si>
    <t>TAMAZIGHTE</t>
  </si>
  <si>
    <t>Habillement journalistes présentateurs</t>
  </si>
  <si>
    <t>Nouveaux besoins</t>
  </si>
  <si>
    <t>Décors pour émissions des événements sportifs internationaux organisé par le Maroc</t>
  </si>
  <si>
    <t>Maquillage/Coiffure  journalistes présentateurs</t>
  </si>
  <si>
    <t>Impression des affiches et spots/ Emissions couvrant Manifestations sportives</t>
  </si>
  <si>
    <t>DRH</t>
  </si>
  <si>
    <t xml:space="preserve">Programmes de formation  au profit du personnel de la SNRT </t>
  </si>
  <si>
    <t>Plan d'action 2026 portant sur le volet Formation</t>
  </si>
  <si>
    <t>D/INFO TV</t>
  </si>
  <si>
    <t>HEBERGEMENT DES CONSULTANTS ET INVITES DE PLATEAU DES JT TELEVISES (éléctions 2026)</t>
  </si>
  <si>
    <t>Repas et pause café pour invités participants  aux JT (période éléctorale),</t>
  </si>
  <si>
    <t xml:space="preserve">le décors et l’habillage d'un plateau studio dédié à  l'émission  " شؤون برلمانية" </t>
  </si>
  <si>
    <t>Retappage  d'un decor plateau studio dédiéà l'émission " شباب في الواجهة"</t>
  </si>
  <si>
    <t xml:space="preserve">Decor pour enregistrement des interventions de  partis politiques ( (Campagne éléctorale) </t>
  </si>
  <si>
    <t>DTSI</t>
  </si>
  <si>
    <t>Matériel technique de production vidéo</t>
  </si>
  <si>
    <t>Budget Prévisionnel en cas d'urgence (400 000,00 DH HT)</t>
  </si>
  <si>
    <t>Matériel technique de production audio</t>
  </si>
  <si>
    <t>Pièces de rechange</t>
  </si>
  <si>
    <t>Budget Prévisionnel en cas d'urgence (500 000,00 DH HT)</t>
  </si>
  <si>
    <t>PIECES DE RECHANGE POUR MATERIEL TECHNIQUE  DE PRODUCTION AUDIO/VIDEO</t>
  </si>
  <si>
    <t>Réparation, entretien, et maintenance</t>
  </si>
  <si>
    <t>Prestations techniques audiovisuelles</t>
  </si>
  <si>
    <t>Consommables, licences et logiciels</t>
  </si>
  <si>
    <t>Budget Prévisionnel en cas d'urgence (500 000,00 DH HT)
ESTIMATION INITIALE 120000</t>
  </si>
  <si>
    <t>Fourniture et installation de liaisons fibres optiques pour les besoins de la SNRT.</t>
  </si>
  <si>
    <t>La fourniture de toners d'impression pour les besoins de la SNRT.</t>
  </si>
  <si>
    <t>ESTIMATION INITIALE 300000</t>
  </si>
  <si>
    <t>PRODUITS D’IMPRESSION, DE REPRODUCTION ET DE PHOTOGRAPHIE</t>
  </si>
  <si>
    <t>Fourniture et mise en service de cartes graphiques pour applications de calcul intensif et d’intelligence           artificielle pour les besoins de la SNRT.</t>
  </si>
  <si>
    <t>Assistance et support "SLA" de la solution NRCS  du système de production News "Newsroom" de la SNRT.</t>
  </si>
  <si>
    <t>ENTRETIEN DES LOGICIELS ET PROGICIELS</t>
  </si>
  <si>
    <t>DRPSD</t>
  </si>
  <si>
    <t>Maintenance de la plateforme sécurité ' logiciels' RP</t>
  </si>
  <si>
    <t>1-1 Maintenance corrective : le prestataire s’engagera à assurer le dépannage et la maintenance de la plateforme de sécurité de la DRPSD énumérée en annexe.  
Ce service sera effectué les jours ouvrables avec un délai d’intervention de 24 heures maximum sauf cas majeure. Ces délais se calculent du Lundi au Vendredi, jours fériés exclus, de 8h30 à 12 h 30 et de 14h30 à 18h30. 
- 1-2 Maintenance évolutive : Le prestataire s’engage à effectuer les mises à jour et les mises à niveau vers les versions les plus récentes de tous les équipements et logiciels de la plate-forme de sécurité énumérée en annexe.
- 1.3 Assistance et Support : Le prestataire devra assurer un service de téléassistance sur les équipements (appel téléphonique ou courrier électronique) ou de télémaintenance (maintenance à distance par connexion en temps réel au réseau de la DRPSD).</t>
  </si>
  <si>
    <t xml:space="preserve"> Licences utilisateurs</t>
  </si>
  <si>
    <t>La location des licences utilisateurs,</t>
  </si>
  <si>
    <t>Entretien du matériel informatique de la DRPSD</t>
  </si>
  <si>
    <t>Le bon fonctionnmemnt: 
Optimisaiton des performanaces, préventions des pannes, durée de vie prolongée ..</t>
  </si>
  <si>
    <t xml:space="preserve">Achat de licences ORACLE </t>
  </si>
  <si>
    <t xml:space="preserve">Droit d'utilisation de MEDIA PILOT </t>
  </si>
  <si>
    <t>Achat de consommable</t>
  </si>
  <si>
    <t>Licences CRM: Customer Relationship Management</t>
  </si>
  <si>
    <t xml:space="preserve">Le CRM est un système ou une approche permettant de centraliser toutes les informations relatives aux clients (historique des achats, interactions avec l'entreprise, préférences, etc.) afin de mieux comprendre leurs besoins, de personnaliser les interactions et d’améliorer la gestion de la relation.
L'objectif principal d'un CRM est d'optimiser l'expérience client tout au long du cycle de vie du client (de l'acquisition à la fidélisation), d'améliorer la collaboration au sein de l'organisation et de maximiser la valeur à long terme des clients.de relation client </t>
  </si>
  <si>
    <t>Licences lotus notes</t>
  </si>
  <si>
    <t>Notre infrastructure actuelle utilise des licences Lotus obsolètes, ce qui rend impossible toute mise à jour. Afin de garantir la sécurité de nos systèmes, il est impératif de procéder à l'achat d'une nouvelle version de Lotus Notes</t>
  </si>
  <si>
    <t>Conception de jungles pour les plateformes digitales</t>
  </si>
  <si>
    <t>Conception  de jungles pour les plateformes digitales</t>
  </si>
  <si>
    <t xml:space="preserve">Enquête DigitrendZ </t>
  </si>
  <si>
    <t>Maintenance de la plateforme sécurité Digital et SNRTNEWS</t>
  </si>
  <si>
    <t xml:space="preserve">Mise en place d'une solution GED pour la RP </t>
  </si>
  <si>
    <t xml:space="preserve">Restauration : réception clients, réunion clients </t>
  </si>
  <si>
    <t>DIRECTION des Programmes et de la Production des Chaînes Coraniques</t>
  </si>
  <si>
    <t xml:space="preserve">Achats non stockés de matières et fournitures </t>
  </si>
  <si>
    <t>OBJET A CLARIFIER
PLUS DE PRECISION</t>
  </si>
  <si>
    <t>ATTAKAFIA</t>
  </si>
  <si>
    <t>Habillement pour les journalistes producteurs d'Attaqafia</t>
  </si>
  <si>
    <t>Manque d'habillement pour les journalistes présentateurs</t>
  </si>
  <si>
    <t>Produits de maquillage pour les journalistes producteurs d'Attaqafia et les invités</t>
  </si>
  <si>
    <t>Manque maquillage pour les journalistes présentateurs</t>
  </si>
  <si>
    <t>Équipement d'une salle de tournage (une table, 4 chaises, des tableaux, une bibliothèque, accessoires décors….)</t>
  </si>
  <si>
    <t xml:space="preserve">Manque Une salle de tournage </t>
  </si>
  <si>
    <t>Équipement d'une salle de maquillage (miroir, chaise ….)</t>
  </si>
  <si>
    <t>Manque une salle de Maquillage</t>
  </si>
  <si>
    <t>Pour des raisons de promotion de la Chaîne et la communication avec la presse, une organisation des réceptions pour les invités des différents domaines culturels et artistique.</t>
  </si>
  <si>
    <t>la célébration du lancement de la chaîne
l'organisation des conférences et des portes ouvertes à propos de la communication culturelle</t>
  </si>
  <si>
    <t>Honoraire des prestataires (groupe musical, artistes, restauration et pause - café pendant les tournages externe)</t>
  </si>
  <si>
    <t>D/JURIDIQUE</t>
  </si>
  <si>
    <t>Publications des comptes annuels de la SNRT 2025 au Bulletin Officiel.</t>
  </si>
  <si>
    <t xml:space="preserve">PRESTATIONS DE PUBLICITE ET SUPPORTS MULTIMEDIA </t>
  </si>
  <si>
    <t>Montant Réel des BC engagés 
ACHATS+DPMG</t>
  </si>
  <si>
    <t>Restauration et Réception</t>
  </si>
  <si>
    <t>Pour satisfaire les besoins des differentes Directions de la SNRT</t>
  </si>
  <si>
    <t xml:space="preserve">Achat de Carburant pour chauffage </t>
  </si>
  <si>
    <t xml:space="preserve">Carburant pour chauffage </t>
  </si>
  <si>
    <t>Réparation photocopieur</t>
  </si>
  <si>
    <t>Satisfaction des besoins des différentes entités de la SNRT.</t>
  </si>
  <si>
    <t xml:space="preserve">Hotellerie,hebergement,réception </t>
  </si>
  <si>
    <t>Impression et relieure documents</t>
  </si>
  <si>
    <t>Achat eau minéral</t>
  </si>
  <si>
    <t>Quincaillerie et droguerie (canons, drapeaux,….)</t>
  </si>
  <si>
    <t>Achat des piles</t>
  </si>
  <si>
    <t>Réparation et remise en état des véhicules des moyens mobiles</t>
  </si>
  <si>
    <t xml:space="preserve">PIECES DE RECHANGE ET PNEUMATIQUES POUR VEHICULES ET ENGINS </t>
  </si>
  <si>
    <t>Impression d'Enveloppes; Papier Entête ; 
Bloc Note et Chemise Entête SNRT ,</t>
  </si>
  <si>
    <t>Satisfaction des besoins de la Direction Technique</t>
  </si>
  <si>
    <t>Acquisition de cachets pour les besoins des differentes Entités de la SNRT pour l'année 2024</t>
  </si>
  <si>
    <t>Impression Numérique 4 couleurs de cartes de visites  pour les besoins des differentes entités de la SNRT durant l'année 2024.</t>
  </si>
  <si>
    <t>Travaux d'aménagement des  locaux de la SNRT  à Rabat et la salle serveur station Radio Meknes</t>
  </si>
  <si>
    <t xml:space="preserve">Suite à la demande de la Présidence et Directeur Radio </t>
  </si>
  <si>
    <t>Achat des toners rouges originaux pour une machine à affranchir NEOPOST I J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</si>
</sst>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D_H_-;\-* #,##0.00\ _D_H_-;_-* &quot;-&quot;??\ _D_H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2"/>
      <name val="Cambria"/>
      <family val="1"/>
    </font>
    <font>
      <b/>
      <sz val="11"/>
      <name val="Calibri"/>
      <family val="2"/>
      <scheme val="minor"/>
    </font>
    <font>
      <sz val="10"/>
      <name val="Cambria"/>
      <family val="1"/>
    </font>
    <font>
      <sz val="11"/>
      <name val="Calibri"/>
      <family val="2"/>
      <scheme val="minor"/>
    </font>
    <font>
      <sz val="12"/>
      <name val="Cambria"/>
      <family val="1"/>
    </font>
    <font>
      <b/>
      <sz val="10"/>
      <color rgb="FFFF0000"/>
      <name val="Cambria"/>
      <family val="1"/>
    </font>
    <font>
      <sz val="10"/>
      <color rgb="FFFF0000"/>
      <name val="Cambria"/>
      <family val="1"/>
    </font>
    <font>
      <sz val="12"/>
      <color rgb="FFFF0000"/>
      <name val="Cambria"/>
      <family val="1"/>
    </font>
    <font>
      <b/>
      <sz val="14"/>
      <color theme="1"/>
      <name val="Calibri"/>
      <family val="2"/>
      <scheme val="minor"/>
    </font>
    <font>
      <b/>
      <sz val="12"/>
      <color theme="1"/>
      <name val="Calibri"/>
      <family val="2"/>
      <scheme val="minor"/>
    </font>
    <font>
      <sz val="10"/>
      <color theme="1"/>
      <name val="Calibri"/>
      <family val="2"/>
      <scheme val="minor"/>
    </font>
  </fonts>
  <fills count="9">
    <fill>
      <patternFill patternType="none"/>
    </fill>
    <fill>
      <patternFill patternType="gray125"/>
    </fill>
    <fill>
      <patternFill patternType="solid">
        <fgColor theme="9" tint="0.399975585192419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7"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48">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164" fontId="2" fillId="2" borderId="1" xfId="1"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3" borderId="1" xfId="1" applyNumberFormat="1" applyFont="1" applyFill="1" applyBorder="1" applyAlignment="1">
      <alignment horizontal="left" vertical="center" wrapText="1"/>
    </xf>
    <xf numFmtId="164" fontId="3" fillId="3" borderId="1" xfId="1" applyFont="1" applyFill="1" applyBorder="1" applyAlignment="1">
      <alignment horizontal="center" vertical="center" wrapText="1"/>
    </xf>
    <xf numFmtId="0" fontId="5" fillId="4" borderId="1" xfId="1" applyNumberFormat="1" applyFont="1" applyFill="1" applyBorder="1" applyAlignment="1">
      <alignment horizontal="left" vertical="center" wrapText="1"/>
    </xf>
    <xf numFmtId="14" fontId="6" fillId="3" borderId="1" xfId="0" applyNumberFormat="1" applyFont="1" applyFill="1" applyBorder="1" applyAlignment="1">
      <alignment horizontal="center" vertical="center"/>
    </xf>
    <xf numFmtId="164" fontId="7" fillId="4" borderId="1" xfId="1" applyFont="1" applyFill="1" applyBorder="1" applyAlignment="1">
      <alignment horizontal="center" vertical="center" wrapText="1"/>
    </xf>
    <xf numFmtId="0" fontId="7" fillId="3" borderId="1" xfId="1" applyNumberFormat="1" applyFont="1" applyFill="1" applyBorder="1" applyAlignment="1">
      <alignment horizontal="center" vertical="center" wrapText="1"/>
    </xf>
    <xf numFmtId="164" fontId="7" fillId="3" borderId="1" xfId="1" applyFont="1" applyFill="1" applyBorder="1" applyAlignment="1">
      <alignment horizontal="center" vertical="center" wrapText="1"/>
    </xf>
    <xf numFmtId="164" fontId="3" fillId="3" borderId="1" xfId="1" applyFont="1" applyFill="1" applyBorder="1" applyAlignment="1">
      <alignment vertical="center" wrapText="1"/>
    </xf>
    <xf numFmtId="14" fontId="6" fillId="4" borderId="1" xfId="0" applyNumberFormat="1" applyFont="1" applyFill="1" applyBorder="1" applyAlignment="1">
      <alignment horizontal="center" vertical="center"/>
    </xf>
    <xf numFmtId="0" fontId="8" fillId="3" borderId="1" xfId="1" applyNumberFormat="1"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1" applyNumberFormat="1" applyFont="1" applyFill="1" applyBorder="1" applyAlignment="1">
      <alignment horizontal="left" vertical="center" wrapText="1"/>
    </xf>
    <xf numFmtId="164" fontId="3" fillId="5" borderId="1" xfId="1" applyFont="1" applyFill="1" applyBorder="1" applyAlignment="1">
      <alignment horizontal="center" vertical="center" wrapText="1"/>
    </xf>
    <xf numFmtId="14" fontId="6" fillId="5" borderId="1" xfId="0" applyNumberFormat="1" applyFont="1" applyFill="1" applyBorder="1" applyAlignment="1">
      <alignment horizontal="center" vertical="center"/>
    </xf>
    <xf numFmtId="164" fontId="7" fillId="5" borderId="1" xfId="1" applyFont="1" applyFill="1" applyBorder="1" applyAlignment="1">
      <alignment horizontal="center" vertical="center" wrapText="1"/>
    </xf>
    <xf numFmtId="0" fontId="7" fillId="5" borderId="1" xfId="1" applyNumberFormat="1" applyFont="1" applyFill="1" applyBorder="1" applyAlignment="1">
      <alignment horizontal="center" vertical="center" wrapText="1"/>
    </xf>
    <xf numFmtId="0" fontId="9" fillId="3" borderId="1" xfId="1" applyNumberFormat="1" applyFont="1" applyFill="1" applyBorder="1" applyAlignment="1">
      <alignment horizontal="left" vertical="center" wrapText="1"/>
    </xf>
    <xf numFmtId="0" fontId="10" fillId="3" borderId="1" xfId="1" applyNumberFormat="1" applyFont="1" applyFill="1" applyBorder="1" applyAlignment="1">
      <alignment horizontal="center" vertical="center" wrapText="1"/>
    </xf>
    <xf numFmtId="0" fontId="10" fillId="5" borderId="1" xfId="1" applyNumberFormat="1" applyFont="1" applyFill="1" applyBorder="1" applyAlignment="1">
      <alignment horizontal="center" vertical="center" wrapText="1"/>
    </xf>
    <xf numFmtId="164" fontId="11" fillId="6" borderId="1" xfId="1" applyFont="1" applyFill="1" applyBorder="1" applyAlignment="1">
      <alignment horizontal="justify" vertical="center"/>
    </xf>
    <xf numFmtId="164" fontId="11" fillId="6" borderId="1" xfId="1" applyFont="1" applyFill="1" applyBorder="1"/>
    <xf numFmtId="164" fontId="0" fillId="0" borderId="0" xfId="0" applyNumberFormat="1"/>
    <xf numFmtId="0" fontId="2" fillId="7"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0" fontId="2" fillId="7" borderId="1" xfId="0" applyFont="1" applyFill="1" applyBorder="1" applyAlignment="1">
      <alignment horizontal="center" vertical="center"/>
    </xf>
    <xf numFmtId="164" fontId="2" fillId="7" borderId="1" xfId="1" applyFont="1" applyFill="1" applyBorder="1" applyAlignment="1">
      <alignment horizontal="center" vertical="center" wrapText="1"/>
    </xf>
    <xf numFmtId="0" fontId="0" fillId="8" borderId="1" xfId="0" applyFill="1" applyBorder="1" applyAlignment="1">
      <alignment horizontal="left" vertical="center" wrapText="1"/>
    </xf>
    <xf numFmtId="0" fontId="5" fillId="8" borderId="1" xfId="1" applyNumberFormat="1" applyFont="1" applyFill="1" applyBorder="1" applyAlignment="1">
      <alignment horizontal="left" vertical="center" wrapText="1"/>
    </xf>
    <xf numFmtId="164" fontId="3" fillId="4" borderId="1" xfId="1" applyFont="1" applyFill="1" applyBorder="1" applyAlignment="1">
      <alignment horizontal="center" vertical="center" wrapText="1"/>
    </xf>
    <xf numFmtId="14" fontId="0" fillId="8" borderId="1" xfId="0" applyNumberFormat="1" applyFill="1" applyBorder="1" applyAlignment="1">
      <alignment horizontal="center" vertical="center"/>
    </xf>
    <xf numFmtId="164" fontId="7" fillId="8" borderId="1" xfId="1" applyFont="1" applyFill="1" applyBorder="1" applyAlignment="1">
      <alignment horizontal="center" vertical="center" wrapText="1"/>
    </xf>
    <xf numFmtId="0" fontId="7" fillId="8" borderId="1" xfId="1" applyNumberFormat="1" applyFont="1" applyFill="1" applyBorder="1" applyAlignment="1">
      <alignment horizontal="center" vertical="center" wrapText="1"/>
    </xf>
    <xf numFmtId="0" fontId="10" fillId="8" borderId="1" xfId="1" applyNumberFormat="1" applyFont="1" applyFill="1" applyBorder="1" applyAlignment="1">
      <alignment horizontal="center" vertical="center" wrapText="1"/>
    </xf>
    <xf numFmtId="0" fontId="0" fillId="6" borderId="1" xfId="0" applyFill="1" applyBorder="1" applyAlignment="1">
      <alignment horizontal="left" vertical="center" wrapText="1"/>
    </xf>
    <xf numFmtId="0" fontId="5" fillId="6" borderId="1" xfId="1" applyNumberFormat="1" applyFont="1" applyFill="1" applyBorder="1" applyAlignment="1">
      <alignment horizontal="left" vertical="center" wrapText="1"/>
    </xf>
    <xf numFmtId="164" fontId="3" fillId="6" borderId="1" xfId="1" applyFont="1" applyFill="1" applyBorder="1" applyAlignment="1">
      <alignment horizontal="center" vertical="center" wrapText="1"/>
    </xf>
    <xf numFmtId="14" fontId="0" fillId="6" borderId="1" xfId="0" applyNumberFormat="1" applyFill="1" applyBorder="1" applyAlignment="1">
      <alignment horizontal="center" vertical="center"/>
    </xf>
    <xf numFmtId="164" fontId="7" fillId="6" borderId="1" xfId="1" applyFont="1" applyFill="1" applyBorder="1" applyAlignment="1">
      <alignment horizontal="center" vertical="center" wrapText="1"/>
    </xf>
    <xf numFmtId="0" fontId="7" fillId="6" borderId="1" xfId="1" applyNumberFormat="1" applyFont="1" applyFill="1" applyBorder="1" applyAlignment="1">
      <alignment horizontal="center" vertical="center" wrapText="1"/>
    </xf>
    <xf numFmtId="0" fontId="10" fillId="6" borderId="1" xfId="1" applyNumberFormat="1" applyFont="1" applyFill="1" applyBorder="1" applyAlignment="1">
      <alignment horizontal="center" vertical="center" wrapText="1"/>
    </xf>
    <xf numFmtId="164" fontId="12" fillId="6" borderId="1" xfId="1" applyFont="1" applyFill="1" applyBorder="1"/>
    <xf numFmtId="0" fontId="13" fillId="0" borderId="0" xfId="0" applyFont="1"/>
    <xf numFmtId="0" fontId="3" fillId="0" borderId="0" xfId="1" applyNumberFormat="1" applyFont="1" applyBorder="1" applyAlignment="1">
      <alignment horizontal="center" vertical="center" wrapText="1"/>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jana/Desktop/DOSSIER%20BC/BC%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A ACHATS 2026"/>
      <sheetName val="PPA DPMG 2026"/>
      <sheetName val="PLAFOND ACHATS"/>
      <sheetName val="PLAFOND DPMG"/>
      <sheetName val="BC APPROUVE"/>
      <sheetName val="BC EN INSTANCE"/>
    </sheetNames>
    <sheetDataSet>
      <sheetData sheetId="0"/>
      <sheetData sheetId="1">
        <row r="20">
          <cell r="J20">
            <v>1989402.32</v>
          </cell>
        </row>
      </sheetData>
      <sheetData sheetId="2"/>
      <sheetData sheetId="3"/>
      <sheetData sheetId="4"/>
      <sheetData sheetId="5"/>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N147"/>
  <sheetViews>
    <sheetView tabSelected="1" zoomScale="60" zoomScaleNormal="60" workbookViewId="0">
      <pane ySplit="3" topLeftCell="A43" activePane="bottomLeft" state="frozen"/>
      <selection pane="bottomLeft" activeCell="C45" sqref="C45"/>
    </sheetView>
  </sheetViews>
  <sheetFormatPr baseColWidth="10" defaultRowHeight="14.5" x14ac:dyDescent="0.35"/>
  <cols>
    <col min="1" max="1" width="10.1796875" customWidth="1"/>
    <col min="2" max="2" width="18.81640625" customWidth="1"/>
    <col min="3" max="3" width="35.81640625" customWidth="1"/>
    <col min="4" max="4" width="32.81640625" customWidth="1"/>
    <col min="5" max="5" width="23.26953125" customWidth="1"/>
    <col min="6" max="6" width="39.7265625" customWidth="1"/>
    <col min="7" max="7" width="10.54296875" customWidth="1"/>
    <col min="8" max="8" width="17.81640625" customWidth="1"/>
    <col min="9" max="9" width="17" customWidth="1"/>
    <col min="10" max="10" width="23.26953125" customWidth="1"/>
    <col min="11" max="11" width="12.1796875" customWidth="1"/>
    <col min="12" max="12" width="8.453125" customWidth="1"/>
    <col min="13" max="13" width="14.26953125" customWidth="1"/>
    <col min="14" max="14" width="13.81640625" customWidth="1"/>
  </cols>
  <sheetData>
    <row r="1" spans="1:14" ht="33.75" customHeight="1" x14ac:dyDescent="0.35">
      <c r="A1" s="47" t="s">
        <v>0</v>
      </c>
      <c r="B1" s="47"/>
      <c r="C1" s="47"/>
      <c r="D1" s="47"/>
      <c r="E1" s="47"/>
      <c r="F1" s="47"/>
      <c r="G1" s="47"/>
      <c r="H1" s="47"/>
      <c r="I1" s="47"/>
      <c r="J1" s="47"/>
      <c r="K1" s="47"/>
      <c r="L1" s="47"/>
      <c r="M1" s="47"/>
      <c r="N1" s="47"/>
    </row>
    <row r="3" spans="1:14" ht="73.5" customHeight="1" x14ac:dyDescent="0.35">
      <c r="A3" s="1" t="s">
        <v>1</v>
      </c>
      <c r="B3" s="2" t="s">
        <v>2</v>
      </c>
      <c r="C3" s="2" t="s">
        <v>3</v>
      </c>
      <c r="D3" s="2" t="s">
        <v>4</v>
      </c>
      <c r="E3" s="3" t="s">
        <v>5</v>
      </c>
      <c r="F3" s="1" t="s">
        <v>6</v>
      </c>
      <c r="G3" s="3" t="s">
        <v>7</v>
      </c>
      <c r="H3" s="1" t="s">
        <v>8</v>
      </c>
      <c r="I3" s="1" t="s">
        <v>9</v>
      </c>
      <c r="J3" s="1" t="s">
        <v>10</v>
      </c>
      <c r="K3" s="2" t="s">
        <v>11</v>
      </c>
      <c r="L3" s="1" t="s">
        <v>12</v>
      </c>
      <c r="M3" s="2" t="s">
        <v>13</v>
      </c>
      <c r="N3" s="2" t="s">
        <v>14</v>
      </c>
    </row>
    <row r="4" spans="1:14" ht="63" customHeight="1" x14ac:dyDescent="0.35">
      <c r="A4" s="4" t="s">
        <v>15</v>
      </c>
      <c r="B4" s="4" t="s">
        <v>16</v>
      </c>
      <c r="C4" s="5" t="s">
        <v>17</v>
      </c>
      <c r="D4" s="5" t="s">
        <v>18</v>
      </c>
      <c r="E4" s="6">
        <v>150000</v>
      </c>
      <c r="F4" s="7" t="s">
        <v>19</v>
      </c>
      <c r="G4" s="8" t="s">
        <v>20</v>
      </c>
      <c r="H4" s="6">
        <v>500000</v>
      </c>
      <c r="I4" s="9">
        <v>710000</v>
      </c>
      <c r="J4" s="6"/>
      <c r="K4" s="10" t="s">
        <v>21</v>
      </c>
      <c r="L4" s="10" t="s">
        <v>22</v>
      </c>
      <c r="M4" s="10"/>
      <c r="N4" s="10"/>
    </row>
    <row r="5" spans="1:14" ht="63" customHeight="1" x14ac:dyDescent="0.35">
      <c r="A5" s="4" t="s">
        <v>15</v>
      </c>
      <c r="B5" s="4" t="s">
        <v>16</v>
      </c>
      <c r="C5" s="5" t="s">
        <v>23</v>
      </c>
      <c r="D5" s="5" t="s">
        <v>24</v>
      </c>
      <c r="E5" s="6">
        <v>200000</v>
      </c>
      <c r="F5" s="5" t="s">
        <v>25</v>
      </c>
      <c r="G5" s="8" t="s">
        <v>20</v>
      </c>
      <c r="H5" s="6">
        <v>500000</v>
      </c>
      <c r="I5" s="11">
        <v>480000</v>
      </c>
      <c r="J5" s="6">
        <v>107000.004</v>
      </c>
      <c r="K5" s="10" t="s">
        <v>26</v>
      </c>
      <c r="L5" s="10" t="s">
        <v>27</v>
      </c>
      <c r="M5" s="10"/>
      <c r="N5" s="10"/>
    </row>
    <row r="6" spans="1:14" ht="63" customHeight="1" x14ac:dyDescent="0.35">
      <c r="A6" s="4" t="s">
        <v>15</v>
      </c>
      <c r="B6" s="4" t="s">
        <v>16</v>
      </c>
      <c r="C6" s="5" t="s">
        <v>28</v>
      </c>
      <c r="D6" s="5" t="s">
        <v>24</v>
      </c>
      <c r="E6" s="6">
        <v>200000</v>
      </c>
      <c r="F6" s="5" t="s">
        <v>29</v>
      </c>
      <c r="G6" s="8" t="s">
        <v>20</v>
      </c>
      <c r="H6" s="6">
        <v>500000</v>
      </c>
      <c r="I6" s="11">
        <v>480000</v>
      </c>
      <c r="J6" s="6">
        <v>14000</v>
      </c>
      <c r="K6" s="10" t="s">
        <v>26</v>
      </c>
      <c r="L6" s="10" t="s">
        <v>27</v>
      </c>
      <c r="M6" s="10"/>
      <c r="N6" s="10"/>
    </row>
    <row r="7" spans="1:14" ht="63" customHeight="1" x14ac:dyDescent="0.35">
      <c r="A7" s="4" t="s">
        <v>15</v>
      </c>
      <c r="B7" s="4" t="s">
        <v>16</v>
      </c>
      <c r="C7" s="5" t="s">
        <v>30</v>
      </c>
      <c r="D7" s="5" t="s">
        <v>31</v>
      </c>
      <c r="E7" s="6">
        <v>300000</v>
      </c>
      <c r="F7" s="5" t="s">
        <v>32</v>
      </c>
      <c r="G7" s="8" t="s">
        <v>20</v>
      </c>
      <c r="H7" s="6">
        <v>1200000</v>
      </c>
      <c r="I7" s="11">
        <v>350000</v>
      </c>
      <c r="J7" s="6"/>
      <c r="K7" s="10" t="s">
        <v>26</v>
      </c>
      <c r="L7" s="10" t="s">
        <v>27</v>
      </c>
      <c r="M7" s="10"/>
      <c r="N7" s="10"/>
    </row>
    <row r="8" spans="1:14" ht="63" customHeight="1" x14ac:dyDescent="0.35">
      <c r="A8" s="4" t="s">
        <v>15</v>
      </c>
      <c r="B8" s="4" t="s">
        <v>16</v>
      </c>
      <c r="C8" s="5" t="s">
        <v>33</v>
      </c>
      <c r="D8" s="5" t="s">
        <v>34</v>
      </c>
      <c r="E8" s="6">
        <v>100000</v>
      </c>
      <c r="F8" s="5" t="s">
        <v>35</v>
      </c>
      <c r="G8" s="8" t="s">
        <v>20</v>
      </c>
      <c r="H8" s="6">
        <v>500000</v>
      </c>
      <c r="I8" s="11">
        <v>100000</v>
      </c>
      <c r="J8" s="6"/>
      <c r="K8" s="10" t="s">
        <v>26</v>
      </c>
      <c r="L8" s="10" t="s">
        <v>27</v>
      </c>
      <c r="M8" s="10"/>
      <c r="N8" s="10"/>
    </row>
    <row r="9" spans="1:14" ht="63" customHeight="1" x14ac:dyDescent="0.35">
      <c r="A9" s="4" t="s">
        <v>15</v>
      </c>
      <c r="B9" s="4" t="s">
        <v>16</v>
      </c>
      <c r="C9" s="5" t="s">
        <v>36</v>
      </c>
      <c r="D9" s="5" t="s">
        <v>34</v>
      </c>
      <c r="E9" s="6">
        <v>200000</v>
      </c>
      <c r="F9" s="5" t="s">
        <v>37</v>
      </c>
      <c r="G9" s="8" t="s">
        <v>20</v>
      </c>
      <c r="H9" s="6">
        <v>500000</v>
      </c>
      <c r="I9" s="11">
        <v>460000</v>
      </c>
      <c r="J9" s="6"/>
      <c r="K9" s="10" t="s">
        <v>26</v>
      </c>
      <c r="L9" s="10" t="s">
        <v>27</v>
      </c>
      <c r="M9" s="10"/>
      <c r="N9" s="10"/>
    </row>
    <row r="10" spans="1:14" ht="63" customHeight="1" x14ac:dyDescent="0.35">
      <c r="A10" s="4" t="s">
        <v>15</v>
      </c>
      <c r="B10" s="4" t="s">
        <v>16</v>
      </c>
      <c r="C10" s="5" t="s">
        <v>38</v>
      </c>
      <c r="D10" s="5" t="s">
        <v>34</v>
      </c>
      <c r="E10" s="6">
        <v>200000</v>
      </c>
      <c r="F10" s="5" t="s">
        <v>39</v>
      </c>
      <c r="G10" s="8" t="s">
        <v>20</v>
      </c>
      <c r="H10" s="6">
        <v>500000</v>
      </c>
      <c r="I10" s="11">
        <v>500000</v>
      </c>
      <c r="J10" s="6"/>
      <c r="K10" s="10" t="s">
        <v>26</v>
      </c>
      <c r="L10" s="10" t="s">
        <v>27</v>
      </c>
      <c r="M10" s="10"/>
      <c r="N10" s="10"/>
    </row>
    <row r="11" spans="1:14" ht="63" customHeight="1" x14ac:dyDescent="0.35">
      <c r="A11" s="4" t="s">
        <v>15</v>
      </c>
      <c r="B11" s="4" t="s">
        <v>16</v>
      </c>
      <c r="C11" s="5" t="s">
        <v>40</v>
      </c>
      <c r="D11" s="5" t="s">
        <v>41</v>
      </c>
      <c r="E11" s="6">
        <v>100000</v>
      </c>
      <c r="F11" s="5" t="s">
        <v>42</v>
      </c>
      <c r="G11" s="8" t="s">
        <v>20</v>
      </c>
      <c r="H11" s="6">
        <v>1400000</v>
      </c>
      <c r="I11" s="11">
        <v>100000</v>
      </c>
      <c r="J11" s="6"/>
      <c r="K11" s="10" t="s">
        <v>26</v>
      </c>
      <c r="L11" s="10" t="s">
        <v>27</v>
      </c>
      <c r="M11" s="10"/>
      <c r="N11" s="10"/>
    </row>
    <row r="12" spans="1:14" ht="63" customHeight="1" x14ac:dyDescent="0.35">
      <c r="A12" s="4" t="s">
        <v>15</v>
      </c>
      <c r="B12" s="4" t="s">
        <v>16</v>
      </c>
      <c r="C12" s="5" t="s">
        <v>43</v>
      </c>
      <c r="D12" s="5" t="s">
        <v>44</v>
      </c>
      <c r="E12" s="6">
        <v>200000</v>
      </c>
      <c r="F12" s="7" t="s">
        <v>45</v>
      </c>
      <c r="G12" s="8" t="s">
        <v>20</v>
      </c>
      <c r="H12" s="6">
        <v>500000</v>
      </c>
      <c r="I12" s="9">
        <v>613000</v>
      </c>
      <c r="J12" s="6"/>
      <c r="K12" s="10" t="s">
        <v>21</v>
      </c>
      <c r="L12" s="10" t="s">
        <v>22</v>
      </c>
      <c r="M12" s="10"/>
      <c r="N12" s="10"/>
    </row>
    <row r="13" spans="1:14" ht="63" customHeight="1" x14ac:dyDescent="0.35">
      <c r="A13" s="4" t="s">
        <v>15</v>
      </c>
      <c r="B13" s="4" t="s">
        <v>16</v>
      </c>
      <c r="C13" s="5" t="s">
        <v>46</v>
      </c>
      <c r="D13" s="5" t="s">
        <v>47</v>
      </c>
      <c r="E13" s="6">
        <v>200000</v>
      </c>
      <c r="F13" s="5" t="s">
        <v>48</v>
      </c>
      <c r="G13" s="8" t="s">
        <v>20</v>
      </c>
      <c r="H13" s="6">
        <v>500000</v>
      </c>
      <c r="I13" s="11">
        <v>235000</v>
      </c>
      <c r="J13" s="6">
        <v>89976</v>
      </c>
      <c r="K13" s="10" t="s">
        <v>26</v>
      </c>
      <c r="L13" s="10" t="s">
        <v>22</v>
      </c>
      <c r="M13" s="10"/>
      <c r="N13" s="10"/>
    </row>
    <row r="14" spans="1:14" ht="77.25" customHeight="1" x14ac:dyDescent="0.35">
      <c r="A14" s="4" t="s">
        <v>15</v>
      </c>
      <c r="B14" s="4" t="s">
        <v>16</v>
      </c>
      <c r="C14" s="5" t="s">
        <v>49</v>
      </c>
      <c r="D14" s="5" t="s">
        <v>47</v>
      </c>
      <c r="E14" s="6">
        <v>100000</v>
      </c>
      <c r="F14" s="5" t="s">
        <v>50</v>
      </c>
      <c r="G14" s="8" t="s">
        <v>20</v>
      </c>
      <c r="H14" s="6">
        <v>500000</v>
      </c>
      <c r="I14" s="11">
        <v>400000</v>
      </c>
      <c r="J14" s="6">
        <v>19200</v>
      </c>
      <c r="K14" s="10" t="s">
        <v>26</v>
      </c>
      <c r="L14" s="10" t="s">
        <v>22</v>
      </c>
      <c r="M14" s="10"/>
      <c r="N14" s="10"/>
    </row>
    <row r="15" spans="1:14" ht="63" customHeight="1" x14ac:dyDescent="0.35">
      <c r="A15" s="4" t="s">
        <v>15</v>
      </c>
      <c r="B15" s="4" t="s">
        <v>16</v>
      </c>
      <c r="C15" s="5" t="s">
        <v>51</v>
      </c>
      <c r="D15" s="5" t="s">
        <v>47</v>
      </c>
      <c r="E15" s="6">
        <v>20000</v>
      </c>
      <c r="F15" s="5" t="s">
        <v>52</v>
      </c>
      <c r="G15" s="8" t="s">
        <v>20</v>
      </c>
      <c r="H15" s="6">
        <v>500000</v>
      </c>
      <c r="I15" s="11">
        <v>250000</v>
      </c>
      <c r="J15" s="6"/>
      <c r="K15" s="10" t="s">
        <v>26</v>
      </c>
      <c r="L15" s="10" t="s">
        <v>22</v>
      </c>
      <c r="M15" s="10"/>
      <c r="N15" s="10"/>
    </row>
    <row r="16" spans="1:14" ht="63" customHeight="1" x14ac:dyDescent="0.35">
      <c r="A16" s="4" t="s">
        <v>15</v>
      </c>
      <c r="B16" s="4" t="s">
        <v>16</v>
      </c>
      <c r="C16" s="5" t="s">
        <v>53</v>
      </c>
      <c r="D16" s="5" t="s">
        <v>54</v>
      </c>
      <c r="E16" s="6">
        <v>250000</v>
      </c>
      <c r="F16" s="5" t="s">
        <v>55</v>
      </c>
      <c r="G16" s="8" t="s">
        <v>20</v>
      </c>
      <c r="H16" s="6">
        <v>1200000</v>
      </c>
      <c r="I16" s="11">
        <v>250000</v>
      </c>
      <c r="J16" s="6"/>
      <c r="K16" s="10" t="s">
        <v>26</v>
      </c>
      <c r="L16" s="10" t="s">
        <v>27</v>
      </c>
      <c r="M16" s="10"/>
      <c r="N16" s="10"/>
    </row>
    <row r="17" spans="1:14" ht="91.5" customHeight="1" x14ac:dyDescent="0.35">
      <c r="A17" s="4" t="s">
        <v>15</v>
      </c>
      <c r="B17" s="4" t="s">
        <v>16</v>
      </c>
      <c r="C17" s="5" t="s">
        <v>56</v>
      </c>
      <c r="D17" s="5" t="s">
        <v>41</v>
      </c>
      <c r="E17" s="12">
        <v>280000</v>
      </c>
      <c r="F17" s="5" t="s">
        <v>57</v>
      </c>
      <c r="G17" s="8" t="s">
        <v>20</v>
      </c>
      <c r="H17" s="6">
        <v>500000</v>
      </c>
      <c r="I17" s="11">
        <v>280000</v>
      </c>
      <c r="J17" s="6"/>
      <c r="K17" s="10" t="s">
        <v>26</v>
      </c>
      <c r="L17" s="10" t="s">
        <v>27</v>
      </c>
      <c r="M17" s="10"/>
      <c r="N17" s="10"/>
    </row>
    <row r="18" spans="1:14" ht="91.5" customHeight="1" x14ac:dyDescent="0.35">
      <c r="A18" s="4" t="s">
        <v>15</v>
      </c>
      <c r="B18" s="4" t="s">
        <v>16</v>
      </c>
      <c r="C18" s="5" t="s">
        <v>58</v>
      </c>
      <c r="D18" s="5" t="s">
        <v>34</v>
      </c>
      <c r="E18" s="12">
        <v>100000</v>
      </c>
      <c r="F18" s="5" t="s">
        <v>29</v>
      </c>
      <c r="G18" s="8" t="s">
        <v>20</v>
      </c>
      <c r="H18" s="6">
        <v>500000</v>
      </c>
      <c r="I18" s="11">
        <v>480000</v>
      </c>
      <c r="J18" s="6">
        <v>37800</v>
      </c>
      <c r="K18" s="10" t="s">
        <v>26</v>
      </c>
      <c r="L18" s="10" t="s">
        <v>27</v>
      </c>
      <c r="M18" s="10"/>
      <c r="N18" s="10"/>
    </row>
    <row r="19" spans="1:14" ht="63" customHeight="1" x14ac:dyDescent="0.35">
      <c r="A19" s="4" t="s">
        <v>15</v>
      </c>
      <c r="B19" s="4" t="s">
        <v>16</v>
      </c>
      <c r="C19" s="5" t="s">
        <v>59</v>
      </c>
      <c r="D19" s="5" t="s">
        <v>34</v>
      </c>
      <c r="E19" s="6">
        <v>100000</v>
      </c>
      <c r="F19" s="5" t="s">
        <v>60</v>
      </c>
      <c r="G19" s="8" t="s">
        <v>20</v>
      </c>
      <c r="H19" s="6">
        <v>500000</v>
      </c>
      <c r="I19" s="11">
        <v>220000</v>
      </c>
      <c r="J19" s="6"/>
      <c r="K19" s="10" t="s">
        <v>26</v>
      </c>
      <c r="L19" s="10" t="s">
        <v>27</v>
      </c>
      <c r="M19" s="10"/>
      <c r="N19" s="10"/>
    </row>
    <row r="20" spans="1:14" ht="63" customHeight="1" x14ac:dyDescent="0.35">
      <c r="A20" s="4" t="s">
        <v>15</v>
      </c>
      <c r="B20" s="4" t="s">
        <v>16</v>
      </c>
      <c r="C20" s="5" t="s">
        <v>61</v>
      </c>
      <c r="D20" s="5" t="s">
        <v>62</v>
      </c>
      <c r="E20" s="6">
        <v>100000</v>
      </c>
      <c r="F20" s="5" t="s">
        <v>63</v>
      </c>
      <c r="G20" s="8" t="s">
        <v>20</v>
      </c>
      <c r="H20" s="6">
        <v>2000000</v>
      </c>
      <c r="I20" s="11">
        <v>1185338</v>
      </c>
      <c r="J20" s="6"/>
      <c r="K20" s="10" t="s">
        <v>26</v>
      </c>
      <c r="L20" s="10" t="s">
        <v>22</v>
      </c>
      <c r="M20" s="10"/>
      <c r="N20" s="10"/>
    </row>
    <row r="21" spans="1:14" ht="63" customHeight="1" x14ac:dyDescent="0.35">
      <c r="A21" s="4" t="s">
        <v>15</v>
      </c>
      <c r="B21" s="4" t="s">
        <v>16</v>
      </c>
      <c r="C21" s="5" t="s">
        <v>64</v>
      </c>
      <c r="D21" s="5" t="s">
        <v>65</v>
      </c>
      <c r="E21" s="6">
        <v>100000</v>
      </c>
      <c r="F21" s="5" t="s">
        <v>63</v>
      </c>
      <c r="G21" s="8" t="s">
        <v>20</v>
      </c>
      <c r="H21" s="6">
        <v>2000000</v>
      </c>
      <c r="I21" s="11">
        <v>1185338</v>
      </c>
      <c r="J21" s="6"/>
      <c r="K21" s="10" t="s">
        <v>26</v>
      </c>
      <c r="L21" s="10" t="s">
        <v>22</v>
      </c>
      <c r="M21" s="10"/>
      <c r="N21" s="10"/>
    </row>
    <row r="22" spans="1:14" ht="63" customHeight="1" x14ac:dyDescent="0.35">
      <c r="A22" s="4" t="s">
        <v>15</v>
      </c>
      <c r="B22" s="4" t="s">
        <v>66</v>
      </c>
      <c r="C22" s="5" t="s">
        <v>67</v>
      </c>
      <c r="D22" s="5" t="s">
        <v>68</v>
      </c>
      <c r="E22" s="6">
        <v>15000</v>
      </c>
      <c r="F22" s="7" t="s">
        <v>69</v>
      </c>
      <c r="G22" s="8" t="s">
        <v>20</v>
      </c>
      <c r="H22" s="6">
        <v>500000</v>
      </c>
      <c r="I22" s="9">
        <v>534000</v>
      </c>
      <c r="J22" s="6">
        <v>13900</v>
      </c>
      <c r="K22" s="10" t="s">
        <v>21</v>
      </c>
      <c r="L22" s="10" t="s">
        <v>27</v>
      </c>
      <c r="M22" s="10"/>
      <c r="N22" s="10"/>
    </row>
    <row r="23" spans="1:14" ht="63" customHeight="1" x14ac:dyDescent="0.35">
      <c r="A23" s="4" t="s">
        <v>15</v>
      </c>
      <c r="B23" s="4" t="s">
        <v>66</v>
      </c>
      <c r="C23" s="5" t="s">
        <v>70</v>
      </c>
      <c r="D23" s="5" t="s">
        <v>71</v>
      </c>
      <c r="E23" s="6">
        <v>22000</v>
      </c>
      <c r="F23" s="5" t="s">
        <v>72</v>
      </c>
      <c r="G23" s="8" t="s">
        <v>20</v>
      </c>
      <c r="H23" s="6">
        <v>500000</v>
      </c>
      <c r="I23" s="11">
        <v>22000</v>
      </c>
      <c r="J23" s="6">
        <v>21600</v>
      </c>
      <c r="K23" s="10" t="s">
        <v>26</v>
      </c>
      <c r="L23" s="10" t="s">
        <v>27</v>
      </c>
      <c r="M23" s="10"/>
      <c r="N23" s="10"/>
    </row>
    <row r="24" spans="1:14" ht="63" customHeight="1" x14ac:dyDescent="0.35">
      <c r="A24" s="4" t="s">
        <v>15</v>
      </c>
      <c r="B24" s="4" t="s">
        <v>66</v>
      </c>
      <c r="C24" s="5" t="s">
        <v>73</v>
      </c>
      <c r="D24" s="5" t="s">
        <v>74</v>
      </c>
      <c r="E24" s="6">
        <v>33000</v>
      </c>
      <c r="F24" s="7" t="s">
        <v>45</v>
      </c>
      <c r="G24" s="13" t="s">
        <v>75</v>
      </c>
      <c r="H24" s="6">
        <v>500000</v>
      </c>
      <c r="I24" s="9">
        <v>613000</v>
      </c>
      <c r="J24" s="6"/>
      <c r="K24" s="10" t="s">
        <v>21</v>
      </c>
      <c r="L24" s="10" t="s">
        <v>22</v>
      </c>
      <c r="M24" s="10"/>
      <c r="N24" s="10"/>
    </row>
    <row r="25" spans="1:14" ht="63" customHeight="1" x14ac:dyDescent="0.35">
      <c r="A25" s="4" t="s">
        <v>15</v>
      </c>
      <c r="B25" s="4" t="s">
        <v>66</v>
      </c>
      <c r="C25" s="5" t="s">
        <v>76</v>
      </c>
      <c r="D25" s="5" t="s">
        <v>77</v>
      </c>
      <c r="E25" s="6">
        <v>110000</v>
      </c>
      <c r="F25" s="5" t="s">
        <v>78</v>
      </c>
      <c r="G25" s="8" t="s">
        <v>20</v>
      </c>
      <c r="H25" s="6">
        <v>2000000</v>
      </c>
      <c r="I25" s="11">
        <v>1322100</v>
      </c>
      <c r="J25" s="6">
        <v>109350</v>
      </c>
      <c r="K25" s="10" t="s">
        <v>26</v>
      </c>
      <c r="L25" s="10" t="s">
        <v>27</v>
      </c>
      <c r="M25" s="10"/>
      <c r="N25" s="10"/>
    </row>
    <row r="26" spans="1:14" ht="63" customHeight="1" x14ac:dyDescent="0.35">
      <c r="A26" s="4" t="s">
        <v>15</v>
      </c>
      <c r="B26" s="4" t="s">
        <v>66</v>
      </c>
      <c r="C26" s="5" t="s">
        <v>79</v>
      </c>
      <c r="D26" s="5" t="s">
        <v>80</v>
      </c>
      <c r="E26" s="6">
        <v>50000</v>
      </c>
      <c r="F26" s="5" t="s">
        <v>78</v>
      </c>
      <c r="G26" s="8" t="s">
        <v>20</v>
      </c>
      <c r="H26" s="6">
        <v>2000000</v>
      </c>
      <c r="I26" s="11">
        <v>1322100</v>
      </c>
      <c r="J26" s="6"/>
      <c r="K26" s="10" t="s">
        <v>26</v>
      </c>
      <c r="L26" s="10" t="s">
        <v>27</v>
      </c>
      <c r="M26" s="10"/>
      <c r="N26" s="10"/>
    </row>
    <row r="27" spans="1:14" ht="63" customHeight="1" x14ac:dyDescent="0.35">
      <c r="A27" s="4" t="s">
        <v>15</v>
      </c>
      <c r="B27" s="4" t="s">
        <v>66</v>
      </c>
      <c r="C27" s="5" t="s">
        <v>81</v>
      </c>
      <c r="D27" s="5" t="s">
        <v>82</v>
      </c>
      <c r="E27" s="6">
        <v>270000</v>
      </c>
      <c r="F27" s="5" t="s">
        <v>83</v>
      </c>
      <c r="G27" s="8" t="s">
        <v>20</v>
      </c>
      <c r="H27" s="6">
        <v>1200000</v>
      </c>
      <c r="I27" s="11">
        <v>1150000</v>
      </c>
      <c r="J27" s="6"/>
      <c r="K27" s="10" t="s">
        <v>26</v>
      </c>
      <c r="L27" s="10" t="s">
        <v>27</v>
      </c>
      <c r="M27" s="10"/>
      <c r="N27" s="10"/>
    </row>
    <row r="28" spans="1:14" ht="63" customHeight="1" x14ac:dyDescent="0.35">
      <c r="A28" s="4" t="s">
        <v>15</v>
      </c>
      <c r="B28" s="4" t="s">
        <v>66</v>
      </c>
      <c r="C28" s="5" t="s">
        <v>84</v>
      </c>
      <c r="D28" s="5" t="s">
        <v>85</v>
      </c>
      <c r="E28" s="6">
        <v>100000</v>
      </c>
      <c r="F28" s="7" t="s">
        <v>86</v>
      </c>
      <c r="G28" s="8" t="s">
        <v>21</v>
      </c>
      <c r="H28" s="6">
        <v>500000</v>
      </c>
      <c r="I28" s="9">
        <v>520000</v>
      </c>
      <c r="J28" s="6"/>
      <c r="K28" s="10" t="s">
        <v>21</v>
      </c>
      <c r="L28" s="10" t="s">
        <v>27</v>
      </c>
      <c r="M28" s="10"/>
      <c r="N28" s="10"/>
    </row>
    <row r="29" spans="1:14" ht="63" customHeight="1" x14ac:dyDescent="0.35">
      <c r="A29" s="4" t="s">
        <v>15</v>
      </c>
      <c r="B29" s="4" t="s">
        <v>66</v>
      </c>
      <c r="C29" s="5" t="s">
        <v>87</v>
      </c>
      <c r="D29" s="5" t="s">
        <v>87</v>
      </c>
      <c r="E29" s="6">
        <v>35000</v>
      </c>
      <c r="F29" s="5" t="s">
        <v>48</v>
      </c>
      <c r="G29" s="13" t="s">
        <v>75</v>
      </c>
      <c r="H29" s="6">
        <v>500000</v>
      </c>
      <c r="I29" s="11">
        <v>235000</v>
      </c>
      <c r="J29" s="6"/>
      <c r="K29" s="10" t="s">
        <v>26</v>
      </c>
      <c r="L29" s="10" t="s">
        <v>22</v>
      </c>
      <c r="M29" s="10" t="s">
        <v>88</v>
      </c>
      <c r="N29" s="10"/>
    </row>
    <row r="30" spans="1:14" ht="63" customHeight="1" x14ac:dyDescent="0.35">
      <c r="A30" s="4" t="s">
        <v>15</v>
      </c>
      <c r="B30" s="4" t="s">
        <v>66</v>
      </c>
      <c r="C30" s="5" t="s">
        <v>89</v>
      </c>
      <c r="D30" s="5" t="s">
        <v>89</v>
      </c>
      <c r="E30" s="6">
        <v>110000</v>
      </c>
      <c r="F30" s="5" t="s">
        <v>90</v>
      </c>
      <c r="G30" s="13" t="s">
        <v>75</v>
      </c>
      <c r="H30" s="6">
        <v>500000</v>
      </c>
      <c r="I30" s="11">
        <v>470000</v>
      </c>
      <c r="J30" s="6"/>
      <c r="K30" s="10" t="s">
        <v>26</v>
      </c>
      <c r="L30" s="10" t="s">
        <v>22</v>
      </c>
      <c r="M30" s="10" t="s">
        <v>91</v>
      </c>
      <c r="N30" s="10"/>
    </row>
    <row r="31" spans="1:14" ht="63" customHeight="1" x14ac:dyDescent="0.35">
      <c r="A31" s="4" t="s">
        <v>15</v>
      </c>
      <c r="B31" s="4" t="s">
        <v>92</v>
      </c>
      <c r="C31" s="5" t="s">
        <v>93</v>
      </c>
      <c r="D31" s="5"/>
      <c r="E31" s="6">
        <v>120000</v>
      </c>
      <c r="F31" s="5" t="s">
        <v>50</v>
      </c>
      <c r="G31" s="8" t="s">
        <v>20</v>
      </c>
      <c r="H31" s="6">
        <v>500000</v>
      </c>
      <c r="I31" s="11">
        <v>400000</v>
      </c>
      <c r="J31" s="6">
        <v>45000</v>
      </c>
      <c r="K31" s="10" t="s">
        <v>26</v>
      </c>
      <c r="L31" s="10" t="s">
        <v>22</v>
      </c>
      <c r="M31" s="10"/>
      <c r="N31" s="10"/>
    </row>
    <row r="32" spans="1:14" ht="78.75" customHeight="1" x14ac:dyDescent="0.35">
      <c r="A32" s="4" t="s">
        <v>15</v>
      </c>
      <c r="B32" s="4" t="s">
        <v>92</v>
      </c>
      <c r="C32" s="5" t="s">
        <v>94</v>
      </c>
      <c r="D32" s="14" t="s">
        <v>95</v>
      </c>
      <c r="E32" s="6">
        <v>120000</v>
      </c>
      <c r="F32" s="5" t="s">
        <v>52</v>
      </c>
      <c r="G32" s="8" t="s">
        <v>20</v>
      </c>
      <c r="H32" s="6">
        <v>500000</v>
      </c>
      <c r="I32" s="11">
        <v>250000</v>
      </c>
      <c r="J32" s="6"/>
      <c r="K32" s="10" t="s">
        <v>26</v>
      </c>
      <c r="L32" s="10" t="s">
        <v>22</v>
      </c>
      <c r="M32" s="10"/>
      <c r="N32" s="10"/>
    </row>
    <row r="33" spans="1:14" ht="63" customHeight="1" x14ac:dyDescent="0.35">
      <c r="A33" s="4" t="s">
        <v>15</v>
      </c>
      <c r="B33" s="4" t="s">
        <v>92</v>
      </c>
      <c r="C33" s="5" t="s">
        <v>96</v>
      </c>
      <c r="D33" s="5"/>
      <c r="E33" s="6">
        <v>180000</v>
      </c>
      <c r="F33" s="5" t="s">
        <v>50</v>
      </c>
      <c r="G33" s="8" t="s">
        <v>20</v>
      </c>
      <c r="H33" s="6">
        <v>500000</v>
      </c>
      <c r="I33" s="11">
        <v>400000</v>
      </c>
      <c r="J33" s="6"/>
      <c r="K33" s="10" t="s">
        <v>26</v>
      </c>
      <c r="L33" s="10" t="s">
        <v>22</v>
      </c>
      <c r="M33" s="10"/>
      <c r="N33" s="10"/>
    </row>
    <row r="34" spans="1:14" ht="63" customHeight="1" x14ac:dyDescent="0.35">
      <c r="A34" s="4" t="s">
        <v>15</v>
      </c>
      <c r="B34" s="4" t="s">
        <v>92</v>
      </c>
      <c r="C34" s="5" t="s">
        <v>97</v>
      </c>
      <c r="D34" s="5"/>
      <c r="E34" s="6">
        <v>110000</v>
      </c>
      <c r="F34" s="5" t="s">
        <v>52</v>
      </c>
      <c r="G34" s="8" t="s">
        <v>20</v>
      </c>
      <c r="H34" s="6">
        <v>500000</v>
      </c>
      <c r="I34" s="11">
        <v>250000</v>
      </c>
      <c r="J34" s="6"/>
      <c r="K34" s="10"/>
      <c r="L34" s="10"/>
      <c r="M34" s="10"/>
      <c r="N34" s="10"/>
    </row>
    <row r="35" spans="1:14" ht="63" customHeight="1" x14ac:dyDescent="0.35">
      <c r="A35" s="4" t="s">
        <v>15</v>
      </c>
      <c r="B35" s="4" t="s">
        <v>92</v>
      </c>
      <c r="C35" s="5" t="s">
        <v>98</v>
      </c>
      <c r="D35" s="5"/>
      <c r="E35" s="6">
        <v>100000</v>
      </c>
      <c r="F35" s="5" t="s">
        <v>37</v>
      </c>
      <c r="G35" s="8" t="s">
        <v>20</v>
      </c>
      <c r="H35" s="6">
        <v>500000</v>
      </c>
      <c r="I35" s="11">
        <v>460000</v>
      </c>
      <c r="J35" s="6"/>
      <c r="K35" s="10" t="s">
        <v>26</v>
      </c>
      <c r="L35" s="10" t="s">
        <v>27</v>
      </c>
      <c r="M35" s="10"/>
      <c r="N35" s="10"/>
    </row>
    <row r="36" spans="1:14" ht="63" customHeight="1" x14ac:dyDescent="0.35">
      <c r="A36" s="4" t="s">
        <v>15</v>
      </c>
      <c r="B36" s="4" t="s">
        <v>92</v>
      </c>
      <c r="C36" s="5" t="s">
        <v>99</v>
      </c>
      <c r="D36" s="5"/>
      <c r="E36" s="6">
        <v>250000</v>
      </c>
      <c r="F36" s="5" t="s">
        <v>100</v>
      </c>
      <c r="G36" s="8" t="s">
        <v>20</v>
      </c>
      <c r="H36" s="6">
        <v>500000</v>
      </c>
      <c r="I36" s="11">
        <v>250000</v>
      </c>
      <c r="J36" s="6"/>
      <c r="K36" s="10" t="s">
        <v>26</v>
      </c>
      <c r="L36" s="10" t="s">
        <v>27</v>
      </c>
      <c r="M36" s="10"/>
      <c r="N36" s="10"/>
    </row>
    <row r="37" spans="1:14" ht="63" customHeight="1" x14ac:dyDescent="0.35">
      <c r="A37" s="4" t="s">
        <v>15</v>
      </c>
      <c r="B37" s="4" t="s">
        <v>92</v>
      </c>
      <c r="C37" s="5" t="s">
        <v>101</v>
      </c>
      <c r="D37" s="5"/>
      <c r="E37" s="6">
        <v>40000</v>
      </c>
      <c r="F37" s="5" t="s">
        <v>102</v>
      </c>
      <c r="G37" s="8" t="s">
        <v>20</v>
      </c>
      <c r="H37" s="6">
        <v>500000</v>
      </c>
      <c r="I37" s="11">
        <v>240000</v>
      </c>
      <c r="J37" s="6"/>
      <c r="K37" s="10" t="s">
        <v>26</v>
      </c>
      <c r="L37" s="10" t="s">
        <v>22</v>
      </c>
      <c r="M37" s="10"/>
      <c r="N37" s="10"/>
    </row>
    <row r="38" spans="1:14" ht="63" customHeight="1" x14ac:dyDescent="0.35">
      <c r="A38" s="4" t="s">
        <v>15</v>
      </c>
      <c r="B38" s="4" t="s">
        <v>92</v>
      </c>
      <c r="C38" s="5" t="s">
        <v>103</v>
      </c>
      <c r="D38" s="5"/>
      <c r="E38" s="6">
        <v>10000</v>
      </c>
      <c r="F38" s="5" t="s">
        <v>37</v>
      </c>
      <c r="G38" s="8" t="s">
        <v>20</v>
      </c>
      <c r="H38" s="6">
        <v>500000</v>
      </c>
      <c r="I38" s="11">
        <v>460000</v>
      </c>
      <c r="J38" s="6"/>
      <c r="K38" s="10" t="s">
        <v>26</v>
      </c>
      <c r="L38" s="10" t="s">
        <v>27</v>
      </c>
      <c r="M38" s="10"/>
      <c r="N38" s="10"/>
    </row>
    <row r="39" spans="1:14" ht="63" customHeight="1" x14ac:dyDescent="0.35">
      <c r="A39" s="4" t="s">
        <v>15</v>
      </c>
      <c r="B39" s="4" t="s">
        <v>92</v>
      </c>
      <c r="C39" s="5" t="s">
        <v>104</v>
      </c>
      <c r="D39" s="5"/>
      <c r="E39" s="6">
        <v>20000</v>
      </c>
      <c r="F39" s="5" t="s">
        <v>105</v>
      </c>
      <c r="G39" s="8" t="s">
        <v>20</v>
      </c>
      <c r="H39" s="6">
        <v>500000</v>
      </c>
      <c r="I39" s="11">
        <v>100000</v>
      </c>
      <c r="J39" s="6">
        <v>13992</v>
      </c>
      <c r="K39" s="10" t="s">
        <v>26</v>
      </c>
      <c r="L39" s="10" t="s">
        <v>22</v>
      </c>
      <c r="M39" s="10"/>
      <c r="N39" s="10"/>
    </row>
    <row r="40" spans="1:14" ht="63" customHeight="1" x14ac:dyDescent="0.35">
      <c r="A40" s="4" t="s">
        <v>15</v>
      </c>
      <c r="B40" s="4" t="s">
        <v>92</v>
      </c>
      <c r="C40" s="5" t="s">
        <v>106</v>
      </c>
      <c r="D40" s="5"/>
      <c r="E40" s="6">
        <v>80000</v>
      </c>
      <c r="F40" s="5" t="s">
        <v>107</v>
      </c>
      <c r="G40" s="8" t="s">
        <v>21</v>
      </c>
      <c r="H40" s="6">
        <v>500000</v>
      </c>
      <c r="I40" s="11">
        <v>80000</v>
      </c>
      <c r="J40" s="6"/>
      <c r="K40" s="10" t="s">
        <v>26</v>
      </c>
      <c r="L40" s="10" t="s">
        <v>27</v>
      </c>
      <c r="M40" s="10"/>
      <c r="N40" s="10"/>
    </row>
    <row r="41" spans="1:14" ht="63" customHeight="1" x14ac:dyDescent="0.35">
      <c r="A41" s="4" t="s">
        <v>15</v>
      </c>
      <c r="B41" s="4" t="s">
        <v>92</v>
      </c>
      <c r="C41" s="5" t="s">
        <v>108</v>
      </c>
      <c r="D41" s="5"/>
      <c r="E41" s="6">
        <v>80000</v>
      </c>
      <c r="F41" s="5" t="s">
        <v>105</v>
      </c>
      <c r="G41" s="8" t="s">
        <v>20</v>
      </c>
      <c r="H41" s="6">
        <v>500000</v>
      </c>
      <c r="I41" s="11">
        <v>100000</v>
      </c>
      <c r="J41" s="6"/>
      <c r="K41" s="10" t="s">
        <v>26</v>
      </c>
      <c r="L41" s="10" t="s">
        <v>27</v>
      </c>
      <c r="M41" s="10"/>
      <c r="N41" s="10"/>
    </row>
    <row r="42" spans="1:14" ht="63" customHeight="1" x14ac:dyDescent="0.35">
      <c r="A42" s="4" t="s">
        <v>15</v>
      </c>
      <c r="B42" s="4" t="s">
        <v>92</v>
      </c>
      <c r="C42" s="5" t="s">
        <v>109</v>
      </c>
      <c r="D42" s="5"/>
      <c r="E42" s="6">
        <v>200000</v>
      </c>
      <c r="F42" s="5" t="s">
        <v>110</v>
      </c>
      <c r="G42" s="8" t="s">
        <v>21</v>
      </c>
      <c r="H42" s="6">
        <v>500000</v>
      </c>
      <c r="I42" s="11">
        <v>320000</v>
      </c>
      <c r="J42" s="6"/>
      <c r="K42" s="10" t="s">
        <v>26</v>
      </c>
      <c r="L42" s="10" t="s">
        <v>22</v>
      </c>
      <c r="M42" s="10"/>
      <c r="N42" s="10"/>
    </row>
    <row r="43" spans="1:14" ht="63" customHeight="1" x14ac:dyDescent="0.35">
      <c r="A43" s="15" t="s">
        <v>15</v>
      </c>
      <c r="B43" s="15" t="s">
        <v>92</v>
      </c>
      <c r="C43" s="16" t="s">
        <v>111</v>
      </c>
      <c r="D43" s="16"/>
      <c r="E43" s="17">
        <v>200000</v>
      </c>
      <c r="F43" s="16" t="s">
        <v>112</v>
      </c>
      <c r="G43" s="18" t="s">
        <v>21</v>
      </c>
      <c r="H43" s="17">
        <v>500000</v>
      </c>
      <c r="I43" s="19">
        <v>200000</v>
      </c>
      <c r="J43" s="17"/>
      <c r="K43" s="20" t="s">
        <v>26</v>
      </c>
      <c r="L43" s="20" t="s">
        <v>22</v>
      </c>
      <c r="M43" s="20"/>
      <c r="N43" s="20"/>
    </row>
    <row r="44" spans="1:14" ht="82" customHeight="1" x14ac:dyDescent="0.35">
      <c r="A44" s="4" t="s">
        <v>15</v>
      </c>
      <c r="B44" s="4" t="s">
        <v>113</v>
      </c>
      <c r="C44" s="5" t="s">
        <v>114</v>
      </c>
      <c r="D44" s="5" t="s">
        <v>115</v>
      </c>
      <c r="E44" s="6">
        <v>360000</v>
      </c>
      <c r="F44" s="5" t="s">
        <v>116</v>
      </c>
      <c r="G44" s="8" t="s">
        <v>20</v>
      </c>
      <c r="H44" s="6">
        <v>500000</v>
      </c>
      <c r="I44" s="11">
        <v>470000</v>
      </c>
      <c r="J44" s="6"/>
      <c r="K44" s="10" t="s">
        <v>26</v>
      </c>
      <c r="L44" s="10" t="s">
        <v>27</v>
      </c>
      <c r="M44" s="10"/>
      <c r="N44" s="10"/>
    </row>
    <row r="45" spans="1:14" ht="63" customHeight="1" x14ac:dyDescent="0.35">
      <c r="A45" s="4" t="s">
        <v>15</v>
      </c>
      <c r="B45" s="4" t="s">
        <v>113</v>
      </c>
      <c r="C45" s="5" t="s">
        <v>117</v>
      </c>
      <c r="D45" s="5" t="s">
        <v>118</v>
      </c>
      <c r="E45" s="6">
        <v>90000</v>
      </c>
      <c r="F45" s="5" t="s">
        <v>116</v>
      </c>
      <c r="G45" s="8" t="s">
        <v>20</v>
      </c>
      <c r="H45" s="6">
        <v>500000</v>
      </c>
      <c r="I45" s="11">
        <v>470000</v>
      </c>
      <c r="J45" s="6"/>
      <c r="K45" s="10" t="s">
        <v>26</v>
      </c>
      <c r="L45" s="10" t="s">
        <v>27</v>
      </c>
      <c r="M45" s="10"/>
      <c r="N45" s="10"/>
    </row>
    <row r="46" spans="1:14" ht="63" customHeight="1" x14ac:dyDescent="0.35">
      <c r="A46" s="4" t="s">
        <v>15</v>
      </c>
      <c r="B46" s="4" t="s">
        <v>119</v>
      </c>
      <c r="C46" s="5" t="s">
        <v>120</v>
      </c>
      <c r="D46" s="5"/>
      <c r="E46" s="6">
        <v>500000</v>
      </c>
      <c r="F46" s="5" t="s">
        <v>121</v>
      </c>
      <c r="G46" s="8" t="s">
        <v>20</v>
      </c>
      <c r="H46" s="6">
        <v>500000</v>
      </c>
      <c r="I46" s="11">
        <v>500000</v>
      </c>
      <c r="J46" s="6"/>
      <c r="K46" s="10" t="s">
        <v>26</v>
      </c>
      <c r="L46" s="10" t="s">
        <v>27</v>
      </c>
      <c r="M46" s="10"/>
      <c r="N46" s="10"/>
    </row>
    <row r="47" spans="1:14" ht="63" customHeight="1" x14ac:dyDescent="0.35">
      <c r="A47" s="4" t="s">
        <v>15</v>
      </c>
      <c r="B47" s="4" t="s">
        <v>119</v>
      </c>
      <c r="C47" s="5" t="s">
        <v>122</v>
      </c>
      <c r="D47" s="5" t="s">
        <v>123</v>
      </c>
      <c r="E47" s="6">
        <v>500000</v>
      </c>
      <c r="F47" s="7" t="s">
        <v>124</v>
      </c>
      <c r="G47" s="8" t="s">
        <v>20</v>
      </c>
      <c r="H47" s="6">
        <v>500000</v>
      </c>
      <c r="I47" s="9">
        <v>540000</v>
      </c>
      <c r="J47" s="6"/>
      <c r="K47" s="10" t="s">
        <v>21</v>
      </c>
      <c r="L47" s="10" t="s">
        <v>27</v>
      </c>
      <c r="M47" s="10"/>
      <c r="N47" s="10"/>
    </row>
    <row r="48" spans="1:14" ht="63" customHeight="1" x14ac:dyDescent="0.35">
      <c r="A48" s="4" t="s">
        <v>15</v>
      </c>
      <c r="B48" s="4" t="s">
        <v>119</v>
      </c>
      <c r="C48" s="5" t="s">
        <v>125</v>
      </c>
      <c r="D48" s="5" t="s">
        <v>126</v>
      </c>
      <c r="E48" s="6">
        <v>200000</v>
      </c>
      <c r="F48" s="7" t="s">
        <v>69</v>
      </c>
      <c r="G48" s="8" t="s">
        <v>20</v>
      </c>
      <c r="H48" s="6">
        <v>500000</v>
      </c>
      <c r="I48" s="9">
        <v>534000</v>
      </c>
      <c r="J48" s="6"/>
      <c r="K48" s="10" t="s">
        <v>21</v>
      </c>
      <c r="L48" s="10" t="s">
        <v>27</v>
      </c>
      <c r="M48" s="10"/>
      <c r="N48" s="10"/>
    </row>
    <row r="49" spans="1:14" ht="63" customHeight="1" x14ac:dyDescent="0.35">
      <c r="A49" s="4" t="s">
        <v>15</v>
      </c>
      <c r="B49" s="4" t="s">
        <v>119</v>
      </c>
      <c r="C49" s="5" t="s">
        <v>127</v>
      </c>
      <c r="D49" s="5" t="s">
        <v>128</v>
      </c>
      <c r="E49" s="6">
        <v>400000</v>
      </c>
      <c r="F49" s="5" t="s">
        <v>129</v>
      </c>
      <c r="G49" s="8" t="s">
        <v>20</v>
      </c>
      <c r="H49" s="6">
        <v>500000</v>
      </c>
      <c r="I49" s="11">
        <v>450000</v>
      </c>
      <c r="J49" s="6">
        <v>112800</v>
      </c>
      <c r="K49" s="10" t="s">
        <v>26</v>
      </c>
      <c r="L49" s="10" t="s">
        <v>27</v>
      </c>
      <c r="M49" s="10"/>
      <c r="N49" s="10"/>
    </row>
    <row r="50" spans="1:14" ht="63" customHeight="1" x14ac:dyDescent="0.35">
      <c r="A50" s="4" t="s">
        <v>15</v>
      </c>
      <c r="B50" s="4" t="s">
        <v>119</v>
      </c>
      <c r="C50" s="5" t="s">
        <v>130</v>
      </c>
      <c r="D50" s="5" t="s">
        <v>131</v>
      </c>
      <c r="E50" s="6">
        <v>500000</v>
      </c>
      <c r="F50" s="5" t="s">
        <v>83</v>
      </c>
      <c r="G50" s="8" t="s">
        <v>20</v>
      </c>
      <c r="H50" s="6">
        <v>1200000</v>
      </c>
      <c r="I50" s="11">
        <v>1150000</v>
      </c>
      <c r="J50" s="6"/>
      <c r="K50" s="10" t="s">
        <v>26</v>
      </c>
      <c r="L50" s="10" t="s">
        <v>27</v>
      </c>
      <c r="M50" s="10"/>
      <c r="N50" s="10"/>
    </row>
    <row r="51" spans="1:14" ht="63" customHeight="1" x14ac:dyDescent="0.35">
      <c r="A51" s="4" t="s">
        <v>15</v>
      </c>
      <c r="B51" s="4" t="s">
        <v>119</v>
      </c>
      <c r="C51" s="5" t="s">
        <v>132</v>
      </c>
      <c r="D51" s="5" t="s">
        <v>133</v>
      </c>
      <c r="E51" s="6">
        <v>20000</v>
      </c>
      <c r="F51" s="5" t="s">
        <v>116</v>
      </c>
      <c r="G51" s="8" t="s">
        <v>20</v>
      </c>
      <c r="H51" s="6">
        <v>500000</v>
      </c>
      <c r="I51" s="11">
        <v>470000</v>
      </c>
      <c r="J51" s="6"/>
      <c r="K51" s="10" t="s">
        <v>26</v>
      </c>
      <c r="L51" s="10" t="s">
        <v>27</v>
      </c>
      <c r="M51" s="10"/>
      <c r="N51" s="10"/>
    </row>
    <row r="52" spans="1:14" ht="63" customHeight="1" x14ac:dyDescent="0.35">
      <c r="A52" s="4" t="s">
        <v>15</v>
      </c>
      <c r="B52" s="4" t="s">
        <v>119</v>
      </c>
      <c r="C52" s="5" t="s">
        <v>134</v>
      </c>
      <c r="D52" s="5" t="s">
        <v>135</v>
      </c>
      <c r="E52" s="6">
        <v>480000</v>
      </c>
      <c r="F52" s="5" t="s">
        <v>136</v>
      </c>
      <c r="G52" s="8" t="s">
        <v>20</v>
      </c>
      <c r="H52" s="6">
        <v>500000</v>
      </c>
      <c r="I52" s="11">
        <v>480000</v>
      </c>
      <c r="J52" s="6"/>
      <c r="K52" s="10" t="s">
        <v>26</v>
      </c>
      <c r="L52" s="10" t="s">
        <v>27</v>
      </c>
      <c r="M52" s="10"/>
      <c r="N52" s="10"/>
    </row>
    <row r="53" spans="1:14" ht="63" customHeight="1" x14ac:dyDescent="0.35">
      <c r="A53" s="4" t="s">
        <v>15</v>
      </c>
      <c r="B53" s="4" t="s">
        <v>119</v>
      </c>
      <c r="C53" s="5" t="s">
        <v>137</v>
      </c>
      <c r="D53" s="5" t="s">
        <v>138</v>
      </c>
      <c r="E53" s="6">
        <v>200000</v>
      </c>
      <c r="F53" s="5" t="s">
        <v>139</v>
      </c>
      <c r="G53" s="8" t="s">
        <v>20</v>
      </c>
      <c r="H53" s="6">
        <v>500000</v>
      </c>
      <c r="I53" s="11">
        <v>200000</v>
      </c>
      <c r="J53" s="6"/>
      <c r="K53" s="10" t="s">
        <v>26</v>
      </c>
      <c r="L53" s="10" t="s">
        <v>27</v>
      </c>
      <c r="M53" s="10"/>
      <c r="N53" s="10"/>
    </row>
    <row r="54" spans="1:14" ht="63" customHeight="1" x14ac:dyDescent="0.35">
      <c r="A54" s="4" t="s">
        <v>15</v>
      </c>
      <c r="B54" s="4" t="s">
        <v>119</v>
      </c>
      <c r="C54" s="5" t="s">
        <v>140</v>
      </c>
      <c r="D54" s="5" t="s">
        <v>141</v>
      </c>
      <c r="E54" s="6">
        <v>500000</v>
      </c>
      <c r="F54" s="5" t="s">
        <v>142</v>
      </c>
      <c r="G54" s="8" t="s">
        <v>20</v>
      </c>
      <c r="H54" s="6">
        <v>1400000</v>
      </c>
      <c r="I54" s="11">
        <v>1180000</v>
      </c>
      <c r="J54" s="6"/>
      <c r="K54" s="10" t="s">
        <v>26</v>
      </c>
      <c r="L54" s="10" t="s">
        <v>22</v>
      </c>
      <c r="M54" s="10"/>
      <c r="N54" s="10"/>
    </row>
    <row r="55" spans="1:14" ht="63" customHeight="1" x14ac:dyDescent="0.35">
      <c r="A55" s="4" t="s">
        <v>15</v>
      </c>
      <c r="B55" s="4" t="s">
        <v>119</v>
      </c>
      <c r="C55" s="5" t="s">
        <v>143</v>
      </c>
      <c r="D55" s="5" t="s">
        <v>144</v>
      </c>
      <c r="E55" s="6">
        <v>500000</v>
      </c>
      <c r="F55" s="7" t="s">
        <v>145</v>
      </c>
      <c r="G55" s="8" t="s">
        <v>20</v>
      </c>
      <c r="H55" s="6">
        <v>500000</v>
      </c>
      <c r="I55" s="9">
        <v>930000</v>
      </c>
      <c r="J55" s="6"/>
      <c r="K55" s="10" t="s">
        <v>21</v>
      </c>
      <c r="L55" s="10" t="s">
        <v>22</v>
      </c>
      <c r="M55" s="10"/>
      <c r="N55" s="10"/>
    </row>
    <row r="56" spans="1:14" ht="63" customHeight="1" x14ac:dyDescent="0.35">
      <c r="A56" s="4" t="s">
        <v>15</v>
      </c>
      <c r="B56" s="4" t="s">
        <v>119</v>
      </c>
      <c r="C56" s="5" t="s">
        <v>146</v>
      </c>
      <c r="D56" s="5" t="s">
        <v>147</v>
      </c>
      <c r="E56" s="6">
        <v>350000</v>
      </c>
      <c r="F56" s="7" t="s">
        <v>145</v>
      </c>
      <c r="G56" s="8" t="s">
        <v>20</v>
      </c>
      <c r="H56" s="6">
        <v>500000</v>
      </c>
      <c r="I56" s="9">
        <v>930000</v>
      </c>
      <c r="J56" s="6">
        <v>198971.91</v>
      </c>
      <c r="K56" s="10" t="s">
        <v>21</v>
      </c>
      <c r="L56" s="10" t="s">
        <v>22</v>
      </c>
      <c r="M56" s="10"/>
      <c r="N56" s="10"/>
    </row>
    <row r="57" spans="1:14" ht="63" customHeight="1" x14ac:dyDescent="0.35">
      <c r="A57" s="4" t="s">
        <v>15</v>
      </c>
      <c r="B57" s="4" t="s">
        <v>119</v>
      </c>
      <c r="C57" s="5" t="s">
        <v>148</v>
      </c>
      <c r="D57" s="5" t="s">
        <v>149</v>
      </c>
      <c r="E57" s="6">
        <v>400000</v>
      </c>
      <c r="F57" s="5" t="s">
        <v>150</v>
      </c>
      <c r="G57" s="8" t="s">
        <v>20</v>
      </c>
      <c r="H57" s="6">
        <v>500000</v>
      </c>
      <c r="I57" s="11">
        <v>400000</v>
      </c>
      <c r="J57" s="6">
        <v>106200</v>
      </c>
      <c r="K57" s="10" t="s">
        <v>26</v>
      </c>
      <c r="L57" s="10" t="s">
        <v>27</v>
      </c>
      <c r="M57" s="10"/>
      <c r="N57" s="10"/>
    </row>
    <row r="58" spans="1:14" ht="63" customHeight="1" x14ac:dyDescent="0.35">
      <c r="A58" s="4" t="s">
        <v>15</v>
      </c>
      <c r="B58" s="4" t="s">
        <v>151</v>
      </c>
      <c r="C58" s="5" t="s">
        <v>152</v>
      </c>
      <c r="D58" s="5" t="s">
        <v>153</v>
      </c>
      <c r="E58" s="6">
        <v>120000</v>
      </c>
      <c r="F58" s="5" t="s">
        <v>60</v>
      </c>
      <c r="G58" s="8" t="s">
        <v>20</v>
      </c>
      <c r="H58" s="6">
        <v>500000</v>
      </c>
      <c r="I58" s="11">
        <v>220000</v>
      </c>
      <c r="J58" s="6"/>
      <c r="K58" s="10" t="s">
        <v>26</v>
      </c>
      <c r="L58" s="10" t="s">
        <v>27</v>
      </c>
      <c r="M58" s="10"/>
      <c r="N58" s="10"/>
    </row>
    <row r="59" spans="1:14" ht="63" customHeight="1" x14ac:dyDescent="0.35">
      <c r="A59" s="4" t="s">
        <v>15</v>
      </c>
      <c r="B59" s="4" t="s">
        <v>151</v>
      </c>
      <c r="C59" s="5" t="s">
        <v>154</v>
      </c>
      <c r="D59" s="5" t="s">
        <v>155</v>
      </c>
      <c r="E59" s="6">
        <v>250000</v>
      </c>
      <c r="F59" s="5" t="s">
        <v>156</v>
      </c>
      <c r="G59" s="8" t="s">
        <v>20</v>
      </c>
      <c r="H59" s="6">
        <v>500000</v>
      </c>
      <c r="I59" s="11">
        <v>250000</v>
      </c>
      <c r="J59" s="6"/>
      <c r="K59" s="10" t="s">
        <v>26</v>
      </c>
      <c r="L59" s="10" t="s">
        <v>22</v>
      </c>
      <c r="M59" s="10"/>
      <c r="N59" s="10"/>
    </row>
    <row r="60" spans="1:14" ht="63" customHeight="1" x14ac:dyDescent="0.35">
      <c r="A60" s="4" t="s">
        <v>15</v>
      </c>
      <c r="B60" s="4" t="s">
        <v>151</v>
      </c>
      <c r="C60" s="5" t="s">
        <v>157</v>
      </c>
      <c r="D60" s="5" t="s">
        <v>158</v>
      </c>
      <c r="E60" s="6">
        <v>250000</v>
      </c>
      <c r="F60" s="7" t="s">
        <v>45</v>
      </c>
      <c r="G60" s="8" t="s">
        <v>20</v>
      </c>
      <c r="H60" s="6">
        <v>500000</v>
      </c>
      <c r="I60" s="9">
        <v>613000</v>
      </c>
      <c r="J60" s="6"/>
      <c r="K60" s="10" t="s">
        <v>21</v>
      </c>
      <c r="L60" s="10" t="s">
        <v>22</v>
      </c>
      <c r="M60" s="10"/>
      <c r="N60" s="10"/>
    </row>
    <row r="61" spans="1:14" ht="63" customHeight="1" x14ac:dyDescent="0.35">
      <c r="A61" s="4" t="s">
        <v>15</v>
      </c>
      <c r="B61" s="4" t="s">
        <v>151</v>
      </c>
      <c r="C61" s="5" t="s">
        <v>159</v>
      </c>
      <c r="D61" s="5" t="s">
        <v>160</v>
      </c>
      <c r="E61" s="6">
        <v>150000</v>
      </c>
      <c r="F61" s="7" t="s">
        <v>19</v>
      </c>
      <c r="G61" s="8" t="s">
        <v>20</v>
      </c>
      <c r="H61" s="6">
        <v>500000</v>
      </c>
      <c r="I61" s="9">
        <v>710000</v>
      </c>
      <c r="J61" s="6"/>
      <c r="K61" s="10" t="s">
        <v>21</v>
      </c>
      <c r="L61" s="10" t="s">
        <v>22</v>
      </c>
      <c r="M61" s="10"/>
      <c r="N61" s="10"/>
    </row>
    <row r="62" spans="1:14" ht="63" customHeight="1" x14ac:dyDescent="0.35">
      <c r="A62" s="4" t="s">
        <v>15</v>
      </c>
      <c r="B62" s="4" t="s">
        <v>151</v>
      </c>
      <c r="C62" s="5" t="s">
        <v>161</v>
      </c>
      <c r="D62" s="5" t="s">
        <v>162</v>
      </c>
      <c r="E62" s="6">
        <v>140000</v>
      </c>
      <c r="F62" s="5" t="s">
        <v>163</v>
      </c>
      <c r="G62" s="8" t="s">
        <v>20</v>
      </c>
      <c r="H62" s="6">
        <v>500000</v>
      </c>
      <c r="I62" s="11">
        <v>140000</v>
      </c>
      <c r="J62" s="6">
        <v>151536</v>
      </c>
      <c r="K62" s="10" t="s">
        <v>26</v>
      </c>
      <c r="L62" s="10" t="s">
        <v>27</v>
      </c>
      <c r="M62" s="10"/>
      <c r="N62" s="10"/>
    </row>
    <row r="63" spans="1:14" ht="63" customHeight="1" x14ac:dyDescent="0.35">
      <c r="A63" s="4" t="s">
        <v>15</v>
      </c>
      <c r="B63" s="4" t="s">
        <v>151</v>
      </c>
      <c r="C63" s="5" t="s">
        <v>164</v>
      </c>
      <c r="D63" s="5" t="s">
        <v>155</v>
      </c>
      <c r="E63" s="6">
        <v>250000</v>
      </c>
      <c r="F63" s="5" t="s">
        <v>25</v>
      </c>
      <c r="G63" s="8" t="s">
        <v>20</v>
      </c>
      <c r="H63" s="6">
        <v>500000</v>
      </c>
      <c r="I63" s="11">
        <v>480000</v>
      </c>
      <c r="J63" s="6"/>
      <c r="K63" s="10" t="s">
        <v>26</v>
      </c>
      <c r="L63" s="10" t="s">
        <v>27</v>
      </c>
      <c r="M63" s="10"/>
      <c r="N63" s="10"/>
    </row>
    <row r="64" spans="1:14" ht="63" customHeight="1" x14ac:dyDescent="0.35">
      <c r="A64" s="4" t="s">
        <v>15</v>
      </c>
      <c r="B64" s="4" t="s">
        <v>151</v>
      </c>
      <c r="C64" s="5" t="s">
        <v>165</v>
      </c>
      <c r="D64" s="5" t="s">
        <v>155</v>
      </c>
      <c r="E64" s="6">
        <v>300000</v>
      </c>
      <c r="F64" s="5" t="s">
        <v>39</v>
      </c>
      <c r="G64" s="8" t="s">
        <v>20</v>
      </c>
      <c r="H64" s="6">
        <v>500000</v>
      </c>
      <c r="I64" s="11">
        <v>500000</v>
      </c>
      <c r="J64" s="6"/>
      <c r="K64" s="10" t="s">
        <v>26</v>
      </c>
      <c r="L64" s="10" t="s">
        <v>27</v>
      </c>
      <c r="M64" s="10"/>
      <c r="N64" s="10"/>
    </row>
    <row r="65" spans="1:14" ht="63" customHeight="1" x14ac:dyDescent="0.35">
      <c r="A65" s="4" t="s">
        <v>15</v>
      </c>
      <c r="B65" s="4" t="s">
        <v>151</v>
      </c>
      <c r="C65" s="5" t="s">
        <v>166</v>
      </c>
      <c r="D65" s="5" t="s">
        <v>155</v>
      </c>
      <c r="E65" s="6">
        <v>150000</v>
      </c>
      <c r="F65" s="5" t="s">
        <v>37</v>
      </c>
      <c r="G65" s="8" t="s">
        <v>20</v>
      </c>
      <c r="H65" s="6">
        <v>500000</v>
      </c>
      <c r="I65" s="11">
        <v>460000</v>
      </c>
      <c r="J65" s="6"/>
      <c r="K65" s="10" t="s">
        <v>26</v>
      </c>
      <c r="L65" s="10" t="s">
        <v>27</v>
      </c>
      <c r="M65" s="10"/>
      <c r="N65" s="10"/>
    </row>
    <row r="66" spans="1:14" ht="63" customHeight="1" x14ac:dyDescent="0.35">
      <c r="A66" s="4" t="s">
        <v>15</v>
      </c>
      <c r="B66" s="4" t="s">
        <v>151</v>
      </c>
      <c r="C66" s="5" t="s">
        <v>167</v>
      </c>
      <c r="D66" s="5" t="s">
        <v>162</v>
      </c>
      <c r="E66" s="6">
        <v>100000</v>
      </c>
      <c r="F66" s="7" t="s">
        <v>45</v>
      </c>
      <c r="G66" s="8" t="s">
        <v>20</v>
      </c>
      <c r="H66" s="6">
        <v>500000</v>
      </c>
      <c r="I66" s="9">
        <v>613000</v>
      </c>
      <c r="J66" s="6"/>
      <c r="K66" s="10" t="s">
        <v>21</v>
      </c>
      <c r="L66" s="10" t="s">
        <v>22</v>
      </c>
      <c r="M66" s="10"/>
      <c r="N66" s="10"/>
    </row>
    <row r="67" spans="1:14" ht="63" customHeight="1" x14ac:dyDescent="0.35">
      <c r="A67" s="4" t="s">
        <v>15</v>
      </c>
      <c r="B67" s="4" t="s">
        <v>151</v>
      </c>
      <c r="C67" s="5" t="s">
        <v>168</v>
      </c>
      <c r="D67" s="5" t="s">
        <v>155</v>
      </c>
      <c r="E67" s="6">
        <v>30000</v>
      </c>
      <c r="F67" s="7" t="s">
        <v>45</v>
      </c>
      <c r="G67" s="8" t="s">
        <v>20</v>
      </c>
      <c r="H67" s="6">
        <v>500000</v>
      </c>
      <c r="I67" s="9">
        <v>613000</v>
      </c>
      <c r="J67" s="6"/>
      <c r="K67" s="10" t="s">
        <v>21</v>
      </c>
      <c r="L67" s="10" t="s">
        <v>22</v>
      </c>
      <c r="M67" s="10"/>
      <c r="N67" s="10"/>
    </row>
    <row r="68" spans="1:14" ht="63" customHeight="1" x14ac:dyDescent="0.35">
      <c r="A68" s="4" t="s">
        <v>15</v>
      </c>
      <c r="B68" s="4" t="s">
        <v>151</v>
      </c>
      <c r="C68" s="5" t="s">
        <v>169</v>
      </c>
      <c r="D68" s="5" t="s">
        <v>155</v>
      </c>
      <c r="E68" s="6">
        <v>50000</v>
      </c>
      <c r="F68" s="7" t="s">
        <v>19</v>
      </c>
      <c r="G68" s="8" t="s">
        <v>20</v>
      </c>
      <c r="H68" s="6">
        <v>500000</v>
      </c>
      <c r="I68" s="9">
        <v>710000</v>
      </c>
      <c r="J68" s="6"/>
      <c r="K68" s="10" t="s">
        <v>21</v>
      </c>
      <c r="L68" s="10" t="s">
        <v>22</v>
      </c>
      <c r="M68" s="10"/>
      <c r="N68" s="10"/>
    </row>
    <row r="69" spans="1:14" ht="63" customHeight="1" x14ac:dyDescent="0.35">
      <c r="A69" s="4" t="s">
        <v>15</v>
      </c>
      <c r="B69" s="4" t="s">
        <v>151</v>
      </c>
      <c r="C69" s="5" t="s">
        <v>170</v>
      </c>
      <c r="D69" s="5" t="s">
        <v>153</v>
      </c>
      <c r="E69" s="6">
        <v>30000</v>
      </c>
      <c r="F69" s="5" t="s">
        <v>25</v>
      </c>
      <c r="G69" s="8" t="s">
        <v>20</v>
      </c>
      <c r="H69" s="6">
        <v>500000</v>
      </c>
      <c r="I69" s="11">
        <v>480000</v>
      </c>
      <c r="J69" s="6"/>
      <c r="K69" s="10" t="s">
        <v>26</v>
      </c>
      <c r="L69" s="10" t="s">
        <v>27</v>
      </c>
      <c r="M69" s="10"/>
      <c r="N69" s="10"/>
    </row>
    <row r="70" spans="1:14" ht="63" customHeight="1" x14ac:dyDescent="0.35">
      <c r="A70" s="4" t="s">
        <v>15</v>
      </c>
      <c r="B70" s="4" t="s">
        <v>171</v>
      </c>
      <c r="C70" s="5" t="s">
        <v>172</v>
      </c>
      <c r="D70" s="5" t="s">
        <v>173</v>
      </c>
      <c r="E70" s="6">
        <v>250000</v>
      </c>
      <c r="F70" s="7" t="s">
        <v>69</v>
      </c>
      <c r="G70" s="8" t="s">
        <v>20</v>
      </c>
      <c r="H70" s="6">
        <v>500000</v>
      </c>
      <c r="I70" s="9">
        <v>534000</v>
      </c>
      <c r="J70" s="6"/>
      <c r="K70" s="10" t="s">
        <v>21</v>
      </c>
      <c r="L70" s="10" t="s">
        <v>27</v>
      </c>
      <c r="M70" s="10"/>
      <c r="N70" s="10"/>
    </row>
    <row r="71" spans="1:14" ht="63" customHeight="1" x14ac:dyDescent="0.35">
      <c r="A71" s="4" t="s">
        <v>15</v>
      </c>
      <c r="B71" s="4" t="s">
        <v>171</v>
      </c>
      <c r="C71" s="5" t="s">
        <v>174</v>
      </c>
      <c r="D71" s="5" t="s">
        <v>175</v>
      </c>
      <c r="E71" s="6">
        <v>150000</v>
      </c>
      <c r="F71" s="5" t="s">
        <v>78</v>
      </c>
      <c r="G71" s="8" t="s">
        <v>20</v>
      </c>
      <c r="H71" s="6">
        <v>2000000</v>
      </c>
      <c r="I71" s="11">
        <v>1322100</v>
      </c>
      <c r="J71" s="6"/>
      <c r="K71" s="10" t="s">
        <v>26</v>
      </c>
      <c r="L71" s="10" t="s">
        <v>27</v>
      </c>
      <c r="M71" s="10" t="s">
        <v>176</v>
      </c>
      <c r="N71" s="10"/>
    </row>
    <row r="72" spans="1:14" ht="63" customHeight="1" x14ac:dyDescent="0.35">
      <c r="A72" s="4" t="s">
        <v>15</v>
      </c>
      <c r="B72" s="4" t="s">
        <v>171</v>
      </c>
      <c r="C72" s="5" t="s">
        <v>177</v>
      </c>
      <c r="D72" s="5" t="s">
        <v>175</v>
      </c>
      <c r="E72" s="6">
        <v>150000</v>
      </c>
      <c r="F72" s="5" t="s">
        <v>78</v>
      </c>
      <c r="G72" s="8" t="s">
        <v>20</v>
      </c>
      <c r="H72" s="6">
        <v>2000000</v>
      </c>
      <c r="I72" s="11">
        <v>1322100</v>
      </c>
      <c r="J72" s="6"/>
      <c r="K72" s="10" t="s">
        <v>26</v>
      </c>
      <c r="L72" s="10" t="s">
        <v>27</v>
      </c>
      <c r="M72" s="10" t="s">
        <v>176</v>
      </c>
      <c r="N72" s="10"/>
    </row>
    <row r="73" spans="1:14" ht="63" customHeight="1" x14ac:dyDescent="0.35">
      <c r="A73" s="4" t="s">
        <v>15</v>
      </c>
      <c r="B73" s="4" t="s">
        <v>178</v>
      </c>
      <c r="C73" s="5" t="s">
        <v>179</v>
      </c>
      <c r="D73" s="5"/>
      <c r="E73" s="6">
        <v>90000</v>
      </c>
      <c r="F73" s="7" t="s">
        <v>86</v>
      </c>
      <c r="G73" s="8" t="s">
        <v>20</v>
      </c>
      <c r="H73" s="6">
        <v>500000</v>
      </c>
      <c r="I73" s="9">
        <v>520000</v>
      </c>
      <c r="J73" s="6"/>
      <c r="K73" s="10" t="s">
        <v>21</v>
      </c>
      <c r="L73" s="10" t="s">
        <v>27</v>
      </c>
      <c r="M73" s="10"/>
      <c r="N73" s="10"/>
    </row>
    <row r="74" spans="1:14" ht="63" customHeight="1" x14ac:dyDescent="0.35">
      <c r="A74" s="4" t="s">
        <v>15</v>
      </c>
      <c r="B74" s="4" t="s">
        <v>178</v>
      </c>
      <c r="C74" s="5" t="s">
        <v>180</v>
      </c>
      <c r="D74" s="5"/>
      <c r="E74" s="6">
        <v>80000</v>
      </c>
      <c r="F74" s="5" t="s">
        <v>83</v>
      </c>
      <c r="G74" s="8" t="s">
        <v>20</v>
      </c>
      <c r="H74" s="6">
        <v>1200000</v>
      </c>
      <c r="I74" s="11">
        <v>1150000</v>
      </c>
      <c r="J74" s="6"/>
      <c r="K74" s="10" t="s">
        <v>75</v>
      </c>
      <c r="L74" s="10" t="s">
        <v>27</v>
      </c>
      <c r="M74" s="10"/>
      <c r="N74" s="10"/>
    </row>
    <row r="75" spans="1:14" ht="63" customHeight="1" x14ac:dyDescent="0.35">
      <c r="A75" s="4" t="s">
        <v>15</v>
      </c>
      <c r="B75" s="4" t="s">
        <v>178</v>
      </c>
      <c r="C75" s="5" t="s">
        <v>181</v>
      </c>
      <c r="D75" s="5"/>
      <c r="E75" s="6">
        <v>50000</v>
      </c>
      <c r="F75" s="5" t="s">
        <v>32</v>
      </c>
      <c r="G75" s="8" t="s">
        <v>20</v>
      </c>
      <c r="H75" s="6">
        <v>1200000</v>
      </c>
      <c r="I75" s="11">
        <v>350000</v>
      </c>
      <c r="J75" s="6"/>
      <c r="K75" s="10" t="s">
        <v>26</v>
      </c>
      <c r="L75" s="10" t="s">
        <v>27</v>
      </c>
      <c r="M75" s="10"/>
      <c r="N75" s="10"/>
    </row>
    <row r="76" spans="1:14" ht="63" customHeight="1" x14ac:dyDescent="0.35">
      <c r="A76" s="4" t="s">
        <v>15</v>
      </c>
      <c r="B76" s="4" t="s">
        <v>178</v>
      </c>
      <c r="C76" s="5" t="s">
        <v>182</v>
      </c>
      <c r="D76" s="5"/>
      <c r="E76" s="6">
        <v>500000</v>
      </c>
      <c r="F76" s="7" t="s">
        <v>183</v>
      </c>
      <c r="G76" s="8" t="s">
        <v>20</v>
      </c>
      <c r="H76" s="6">
        <v>500000</v>
      </c>
      <c r="I76" s="9">
        <v>620000</v>
      </c>
      <c r="J76" s="6"/>
      <c r="K76" s="10" t="s">
        <v>75</v>
      </c>
      <c r="L76" s="10" t="s">
        <v>27</v>
      </c>
      <c r="M76" s="10"/>
      <c r="N76" s="10"/>
    </row>
    <row r="77" spans="1:14" ht="63" customHeight="1" x14ac:dyDescent="0.35">
      <c r="A77" s="4" t="s">
        <v>15</v>
      </c>
      <c r="B77" s="4" t="s">
        <v>178</v>
      </c>
      <c r="C77" s="5" t="s">
        <v>184</v>
      </c>
      <c r="D77" s="5"/>
      <c r="E77" s="6">
        <v>200000</v>
      </c>
      <c r="F77" s="5" t="s">
        <v>185</v>
      </c>
      <c r="G77" s="8" t="s">
        <v>20</v>
      </c>
      <c r="H77" s="6">
        <v>500000</v>
      </c>
      <c r="I77" s="11">
        <v>200000</v>
      </c>
      <c r="J77" s="6"/>
      <c r="K77" s="10" t="s">
        <v>75</v>
      </c>
      <c r="L77" s="10" t="s">
        <v>27</v>
      </c>
      <c r="M77" s="10"/>
      <c r="N77" s="10"/>
    </row>
    <row r="78" spans="1:14" ht="63" customHeight="1" x14ac:dyDescent="0.35">
      <c r="A78" s="4" t="s">
        <v>15</v>
      </c>
      <c r="B78" s="4" t="s">
        <v>178</v>
      </c>
      <c r="C78" s="5" t="s">
        <v>186</v>
      </c>
      <c r="D78" s="5"/>
      <c r="E78" s="6">
        <v>60000</v>
      </c>
      <c r="F78" s="5" t="s">
        <v>187</v>
      </c>
      <c r="G78" s="8" t="s">
        <v>20</v>
      </c>
      <c r="H78" s="6">
        <v>1600000</v>
      </c>
      <c r="I78" s="11">
        <v>522339.93</v>
      </c>
      <c r="J78" s="6"/>
      <c r="K78" s="10" t="s">
        <v>75</v>
      </c>
      <c r="L78" s="10" t="s">
        <v>27</v>
      </c>
      <c r="M78" s="10"/>
      <c r="N78" s="10"/>
    </row>
    <row r="79" spans="1:14" ht="63" customHeight="1" x14ac:dyDescent="0.35">
      <c r="A79" s="4" t="s">
        <v>15</v>
      </c>
      <c r="B79" s="4" t="s">
        <v>178</v>
      </c>
      <c r="C79" s="5" t="s">
        <v>188</v>
      </c>
      <c r="D79" s="5"/>
      <c r="E79" s="6">
        <v>80000</v>
      </c>
      <c r="F79" s="7" t="s">
        <v>145</v>
      </c>
      <c r="G79" s="8" t="s">
        <v>20</v>
      </c>
      <c r="H79" s="6">
        <v>500000</v>
      </c>
      <c r="I79" s="9">
        <v>930000</v>
      </c>
      <c r="J79" s="6"/>
      <c r="K79" s="10" t="s">
        <v>21</v>
      </c>
      <c r="L79" s="10" t="s">
        <v>22</v>
      </c>
      <c r="M79" s="10"/>
      <c r="N79" s="10"/>
    </row>
    <row r="80" spans="1:14" ht="63" customHeight="1" x14ac:dyDescent="0.35">
      <c r="A80" s="4" t="s">
        <v>15</v>
      </c>
      <c r="B80" s="4" t="s">
        <v>178</v>
      </c>
      <c r="C80" s="5" t="s">
        <v>189</v>
      </c>
      <c r="D80" s="5"/>
      <c r="E80" s="6">
        <v>120000</v>
      </c>
      <c r="F80" s="5" t="s">
        <v>142</v>
      </c>
      <c r="G80" s="8" t="s">
        <v>20</v>
      </c>
      <c r="H80" s="6">
        <v>1400000</v>
      </c>
      <c r="I80" s="11">
        <v>1180000</v>
      </c>
      <c r="J80" s="6"/>
      <c r="K80" s="10"/>
      <c r="L80" s="10"/>
      <c r="M80" s="10"/>
      <c r="N80" s="10"/>
    </row>
    <row r="81" spans="1:14" ht="63" customHeight="1" x14ac:dyDescent="0.35">
      <c r="A81" s="4" t="s">
        <v>15</v>
      </c>
      <c r="B81" s="4" t="s">
        <v>190</v>
      </c>
      <c r="C81" s="5" t="s">
        <v>191</v>
      </c>
      <c r="D81" s="5"/>
      <c r="E81" s="6">
        <v>500000</v>
      </c>
      <c r="F81" s="5"/>
      <c r="G81" s="8" t="s">
        <v>20</v>
      </c>
      <c r="H81" s="6"/>
      <c r="I81" s="11"/>
      <c r="J81" s="6"/>
      <c r="K81" s="10"/>
      <c r="L81" s="10"/>
      <c r="M81" s="10"/>
      <c r="N81" s="10"/>
    </row>
    <row r="82" spans="1:14" ht="63" customHeight="1" x14ac:dyDescent="0.35">
      <c r="A82" s="4" t="s">
        <v>15</v>
      </c>
      <c r="B82" s="4" t="s">
        <v>190</v>
      </c>
      <c r="C82" s="5" t="s">
        <v>192</v>
      </c>
      <c r="D82" s="5"/>
      <c r="E82" s="6">
        <v>150000</v>
      </c>
      <c r="F82" s="5" t="s">
        <v>193</v>
      </c>
      <c r="G82" s="8" t="s">
        <v>20</v>
      </c>
      <c r="H82" s="6">
        <v>500000</v>
      </c>
      <c r="I82" s="11">
        <v>335000</v>
      </c>
      <c r="J82" s="6">
        <v>34800</v>
      </c>
      <c r="K82" s="10" t="s">
        <v>75</v>
      </c>
      <c r="L82" s="10" t="s">
        <v>27</v>
      </c>
      <c r="M82" s="10"/>
      <c r="N82" s="10"/>
    </row>
    <row r="83" spans="1:14" ht="63" customHeight="1" x14ac:dyDescent="0.35">
      <c r="A83" s="4" t="s">
        <v>15</v>
      </c>
      <c r="B83" s="4" t="s">
        <v>190</v>
      </c>
      <c r="C83" s="5" t="s">
        <v>194</v>
      </c>
      <c r="D83" s="5"/>
      <c r="E83" s="6">
        <v>394800</v>
      </c>
      <c r="F83" s="5"/>
      <c r="G83" s="8" t="s">
        <v>20</v>
      </c>
      <c r="H83" s="6"/>
      <c r="I83" s="11"/>
      <c r="J83" s="6"/>
      <c r="K83" s="10"/>
      <c r="L83" s="10"/>
      <c r="M83" s="10"/>
      <c r="N83" s="10"/>
    </row>
    <row r="84" spans="1:14" ht="63" customHeight="1" x14ac:dyDescent="0.35">
      <c r="A84" s="4" t="s">
        <v>15</v>
      </c>
      <c r="B84" s="4" t="s">
        <v>190</v>
      </c>
      <c r="C84" s="5" t="s">
        <v>195</v>
      </c>
      <c r="D84" s="5"/>
      <c r="E84" s="6">
        <v>462339.93</v>
      </c>
      <c r="F84" s="5" t="s">
        <v>187</v>
      </c>
      <c r="G84" s="8" t="s">
        <v>20</v>
      </c>
      <c r="H84" s="6">
        <v>1600000</v>
      </c>
      <c r="I84" s="11">
        <v>522339.93</v>
      </c>
      <c r="J84" s="6">
        <v>22800</v>
      </c>
      <c r="K84" s="10" t="s">
        <v>75</v>
      </c>
      <c r="L84" s="10" t="s">
        <v>27</v>
      </c>
      <c r="M84" s="10"/>
      <c r="N84" s="10"/>
    </row>
    <row r="85" spans="1:14" ht="63" customHeight="1" x14ac:dyDescent="0.35">
      <c r="A85" s="4" t="s">
        <v>15</v>
      </c>
      <c r="B85" s="4" t="s">
        <v>190</v>
      </c>
      <c r="C85" s="5" t="s">
        <v>196</v>
      </c>
      <c r="D85" s="5"/>
      <c r="E85" s="6">
        <v>150000</v>
      </c>
      <c r="F85" s="7" t="s">
        <v>86</v>
      </c>
      <c r="G85" s="8" t="s">
        <v>20</v>
      </c>
      <c r="H85" s="6">
        <v>500000</v>
      </c>
      <c r="I85" s="9">
        <v>520000</v>
      </c>
      <c r="J85" s="6"/>
      <c r="K85" s="10" t="s">
        <v>21</v>
      </c>
      <c r="L85" s="10" t="s">
        <v>27</v>
      </c>
      <c r="M85" s="10"/>
      <c r="N85" s="10"/>
    </row>
    <row r="86" spans="1:14" ht="63" customHeight="1" x14ac:dyDescent="0.35">
      <c r="A86" s="4" t="s">
        <v>15</v>
      </c>
      <c r="B86" s="4" t="s">
        <v>190</v>
      </c>
      <c r="C86" s="5" t="s">
        <v>197</v>
      </c>
      <c r="D86" s="5"/>
      <c r="E86" s="6">
        <v>54000</v>
      </c>
      <c r="F86" s="7" t="s">
        <v>69</v>
      </c>
      <c r="G86" s="8" t="s">
        <v>20</v>
      </c>
      <c r="H86" s="6">
        <v>500000</v>
      </c>
      <c r="I86" s="9">
        <v>534000</v>
      </c>
      <c r="J86" s="6"/>
      <c r="K86" s="10" t="s">
        <v>21</v>
      </c>
      <c r="L86" s="10" t="s">
        <v>27</v>
      </c>
      <c r="M86" s="10"/>
      <c r="N86" s="10"/>
    </row>
    <row r="87" spans="1:14" ht="63" customHeight="1" x14ac:dyDescent="0.35">
      <c r="A87" s="4" t="s">
        <v>15</v>
      </c>
      <c r="B87" s="4" t="s">
        <v>190</v>
      </c>
      <c r="C87" s="5" t="s">
        <v>198</v>
      </c>
      <c r="D87" s="5"/>
      <c r="E87" s="6">
        <v>82500</v>
      </c>
      <c r="F87" s="5" t="s">
        <v>78</v>
      </c>
      <c r="G87" s="8" t="s">
        <v>20</v>
      </c>
      <c r="H87" s="6">
        <v>2000000</v>
      </c>
      <c r="I87" s="11">
        <v>1322100</v>
      </c>
      <c r="J87" s="6"/>
      <c r="K87" s="10" t="s">
        <v>75</v>
      </c>
      <c r="L87" s="10" t="s">
        <v>27</v>
      </c>
      <c r="M87" s="10"/>
      <c r="N87" s="10"/>
    </row>
    <row r="88" spans="1:14" ht="63" customHeight="1" x14ac:dyDescent="0.35">
      <c r="A88" s="4" t="s">
        <v>15</v>
      </c>
      <c r="B88" s="4" t="s">
        <v>190</v>
      </c>
      <c r="C88" s="5" t="s">
        <v>199</v>
      </c>
      <c r="D88" s="5"/>
      <c r="E88" s="6">
        <v>217800</v>
      </c>
      <c r="F88" s="5" t="s">
        <v>78</v>
      </c>
      <c r="G88" s="8" t="s">
        <v>20</v>
      </c>
      <c r="H88" s="6">
        <v>2000000</v>
      </c>
      <c r="I88" s="11">
        <v>1322100</v>
      </c>
      <c r="J88" s="6"/>
      <c r="K88" s="10" t="s">
        <v>75</v>
      </c>
      <c r="L88" s="10" t="s">
        <v>27</v>
      </c>
      <c r="M88" s="10"/>
      <c r="N88" s="10"/>
    </row>
    <row r="89" spans="1:14" ht="63" customHeight="1" x14ac:dyDescent="0.35">
      <c r="A89" s="4" t="s">
        <v>15</v>
      </c>
      <c r="B89" s="4" t="s">
        <v>190</v>
      </c>
      <c r="C89" s="5" t="s">
        <v>200</v>
      </c>
      <c r="D89" s="5"/>
      <c r="E89" s="6">
        <v>66000</v>
      </c>
      <c r="F89" s="5" t="s">
        <v>78</v>
      </c>
      <c r="G89" s="8" t="s">
        <v>20</v>
      </c>
      <c r="H89" s="6">
        <v>2000000</v>
      </c>
      <c r="I89" s="11">
        <v>1322100</v>
      </c>
      <c r="J89" s="6"/>
      <c r="K89" s="10" t="s">
        <v>75</v>
      </c>
      <c r="L89" s="10" t="s">
        <v>27</v>
      </c>
      <c r="M89" s="10"/>
      <c r="N89" s="10"/>
    </row>
    <row r="90" spans="1:14" ht="63" customHeight="1" x14ac:dyDescent="0.35">
      <c r="A90" s="4" t="s">
        <v>15</v>
      </c>
      <c r="B90" s="4" t="s">
        <v>190</v>
      </c>
      <c r="C90" s="5" t="s">
        <v>201</v>
      </c>
      <c r="D90" s="5"/>
      <c r="E90" s="6">
        <v>30000</v>
      </c>
      <c r="F90" s="5" t="s">
        <v>78</v>
      </c>
      <c r="G90" s="8" t="s">
        <v>20</v>
      </c>
      <c r="H90" s="6">
        <v>2000000</v>
      </c>
      <c r="I90" s="11">
        <v>1322100</v>
      </c>
      <c r="J90" s="6"/>
      <c r="K90" s="10" t="s">
        <v>75</v>
      </c>
      <c r="L90" s="10" t="s">
        <v>27</v>
      </c>
      <c r="M90" s="10"/>
      <c r="N90" s="10"/>
    </row>
    <row r="91" spans="1:14" ht="63" customHeight="1" x14ac:dyDescent="0.35">
      <c r="A91" s="4" t="s">
        <v>15</v>
      </c>
      <c r="B91" s="4" t="s">
        <v>190</v>
      </c>
      <c r="C91" s="5" t="s">
        <v>201</v>
      </c>
      <c r="D91" s="5"/>
      <c r="E91" s="6">
        <v>45000</v>
      </c>
      <c r="F91" s="5" t="s">
        <v>78</v>
      </c>
      <c r="G91" s="8" t="s">
        <v>20</v>
      </c>
      <c r="H91" s="6">
        <v>2000000</v>
      </c>
      <c r="I91" s="11">
        <v>1322100</v>
      </c>
      <c r="J91" s="6"/>
      <c r="K91" s="10"/>
      <c r="L91" s="10"/>
      <c r="M91" s="10"/>
      <c r="N91" s="10"/>
    </row>
    <row r="92" spans="1:14" ht="63" customHeight="1" x14ac:dyDescent="0.35">
      <c r="A92" s="4" t="s">
        <v>15</v>
      </c>
      <c r="B92" s="4" t="s">
        <v>190</v>
      </c>
      <c r="C92" s="5" t="s">
        <v>202</v>
      </c>
      <c r="D92" s="5"/>
      <c r="E92" s="6">
        <v>10800</v>
      </c>
      <c r="F92" s="5" t="s">
        <v>78</v>
      </c>
      <c r="G92" s="8" t="s">
        <v>20</v>
      </c>
      <c r="H92" s="6">
        <v>2000000</v>
      </c>
      <c r="I92" s="11">
        <v>1322100</v>
      </c>
      <c r="J92" s="6"/>
      <c r="K92" s="10" t="s">
        <v>75</v>
      </c>
      <c r="L92" s="10" t="s">
        <v>27</v>
      </c>
      <c r="M92" s="10"/>
      <c r="N92" s="10"/>
    </row>
    <row r="93" spans="1:14" ht="63" customHeight="1" x14ac:dyDescent="0.35">
      <c r="A93" s="4" t="s">
        <v>15</v>
      </c>
      <c r="B93" s="4" t="s">
        <v>203</v>
      </c>
      <c r="C93" s="5" t="s">
        <v>204</v>
      </c>
      <c r="D93" s="5" t="s">
        <v>205</v>
      </c>
      <c r="E93" s="6">
        <v>240000</v>
      </c>
      <c r="F93" s="7" t="s">
        <v>206</v>
      </c>
      <c r="G93" s="13" t="s">
        <v>75</v>
      </c>
      <c r="H93" s="6">
        <v>500000</v>
      </c>
      <c r="I93" s="9">
        <v>840000</v>
      </c>
      <c r="J93" s="6"/>
      <c r="K93" s="10" t="s">
        <v>21</v>
      </c>
      <c r="L93" s="10" t="s">
        <v>27</v>
      </c>
      <c r="M93" s="10"/>
      <c r="N93" s="10"/>
    </row>
    <row r="94" spans="1:14" ht="63" customHeight="1" x14ac:dyDescent="0.35">
      <c r="A94" s="4" t="s">
        <v>15</v>
      </c>
      <c r="B94" s="4" t="s">
        <v>203</v>
      </c>
      <c r="C94" s="5" t="s">
        <v>207</v>
      </c>
      <c r="D94" s="5" t="s">
        <v>205</v>
      </c>
      <c r="E94" s="6">
        <v>100000</v>
      </c>
      <c r="F94" s="7" t="s">
        <v>206</v>
      </c>
      <c r="G94" s="13" t="s">
        <v>75</v>
      </c>
      <c r="H94" s="6">
        <v>500000</v>
      </c>
      <c r="I94" s="9">
        <v>840000</v>
      </c>
      <c r="J94" s="6"/>
      <c r="K94" s="10" t="s">
        <v>21</v>
      </c>
      <c r="L94" s="10" t="s">
        <v>27</v>
      </c>
      <c r="M94" s="10"/>
      <c r="N94" s="10"/>
    </row>
    <row r="95" spans="1:14" ht="63" customHeight="1" x14ac:dyDescent="0.35">
      <c r="A95" s="4" t="s">
        <v>15</v>
      </c>
      <c r="B95" s="4" t="s">
        <v>208</v>
      </c>
      <c r="C95" s="5" t="s">
        <v>209</v>
      </c>
      <c r="D95" s="5" t="s">
        <v>210</v>
      </c>
      <c r="E95" s="6">
        <v>200000</v>
      </c>
      <c r="F95" s="5" t="s">
        <v>83</v>
      </c>
      <c r="G95" s="8" t="s">
        <v>21</v>
      </c>
      <c r="H95" s="6">
        <v>1200000</v>
      </c>
      <c r="I95" s="11">
        <v>1150000</v>
      </c>
      <c r="J95" s="6"/>
      <c r="K95" s="10" t="s">
        <v>75</v>
      </c>
      <c r="L95" s="10" t="s">
        <v>27</v>
      </c>
      <c r="M95" s="10"/>
      <c r="N95" s="10"/>
    </row>
    <row r="96" spans="1:14" ht="63" customHeight="1" x14ac:dyDescent="0.35">
      <c r="A96" s="4" t="s">
        <v>15</v>
      </c>
      <c r="B96" s="4" t="s">
        <v>208</v>
      </c>
      <c r="C96" s="5" t="s">
        <v>211</v>
      </c>
      <c r="D96" s="5" t="s">
        <v>210</v>
      </c>
      <c r="E96" s="6">
        <v>500000</v>
      </c>
      <c r="F96" s="5" t="s">
        <v>142</v>
      </c>
      <c r="G96" s="8" t="s">
        <v>21</v>
      </c>
      <c r="H96" s="6">
        <v>1400000</v>
      </c>
      <c r="I96" s="11">
        <v>1180000</v>
      </c>
      <c r="J96" s="6"/>
      <c r="K96" s="10" t="s">
        <v>75</v>
      </c>
      <c r="L96" s="10" t="s">
        <v>22</v>
      </c>
      <c r="M96" s="10"/>
      <c r="N96" s="10"/>
    </row>
    <row r="97" spans="1:14" ht="63" customHeight="1" x14ac:dyDescent="0.35">
      <c r="A97" s="4" t="s">
        <v>15</v>
      </c>
      <c r="B97" s="4" t="s">
        <v>208</v>
      </c>
      <c r="C97" s="5" t="s">
        <v>212</v>
      </c>
      <c r="D97" s="5" t="s">
        <v>210</v>
      </c>
      <c r="E97" s="6">
        <v>100000</v>
      </c>
      <c r="F97" s="7" t="s">
        <v>86</v>
      </c>
      <c r="G97" s="8" t="s">
        <v>21</v>
      </c>
      <c r="H97" s="6">
        <v>500000</v>
      </c>
      <c r="I97" s="9">
        <v>520000</v>
      </c>
      <c r="J97" s="6"/>
      <c r="K97" s="10" t="s">
        <v>21</v>
      </c>
      <c r="L97" s="10" t="s">
        <v>27</v>
      </c>
      <c r="M97" s="10"/>
      <c r="N97" s="10"/>
    </row>
    <row r="98" spans="1:14" ht="63" customHeight="1" x14ac:dyDescent="0.35">
      <c r="A98" s="4" t="s">
        <v>15</v>
      </c>
      <c r="B98" s="4" t="s">
        <v>208</v>
      </c>
      <c r="C98" s="5" t="s">
        <v>213</v>
      </c>
      <c r="D98" s="5" t="s">
        <v>210</v>
      </c>
      <c r="E98" s="6">
        <v>15000</v>
      </c>
      <c r="F98" s="7" t="s">
        <v>69</v>
      </c>
      <c r="G98" s="8" t="s">
        <v>21</v>
      </c>
      <c r="H98" s="6">
        <v>500000</v>
      </c>
      <c r="I98" s="9">
        <v>534000</v>
      </c>
      <c r="J98" s="6"/>
      <c r="K98" s="10" t="s">
        <v>21</v>
      </c>
      <c r="L98" s="10" t="s">
        <v>27</v>
      </c>
      <c r="M98" s="10"/>
      <c r="N98" s="10"/>
    </row>
    <row r="99" spans="1:14" ht="63" customHeight="1" x14ac:dyDescent="0.35">
      <c r="A99" s="4" t="s">
        <v>15</v>
      </c>
      <c r="B99" s="4" t="s">
        <v>214</v>
      </c>
      <c r="C99" s="5" t="s">
        <v>215</v>
      </c>
      <c r="D99" s="5" t="s">
        <v>216</v>
      </c>
      <c r="E99" s="6">
        <v>500000</v>
      </c>
      <c r="F99" s="7" t="s">
        <v>206</v>
      </c>
      <c r="G99" s="8" t="s">
        <v>21</v>
      </c>
      <c r="H99" s="6">
        <v>500000</v>
      </c>
      <c r="I99" s="9">
        <v>840000</v>
      </c>
      <c r="J99" s="6"/>
      <c r="K99" s="10" t="s">
        <v>21</v>
      </c>
      <c r="L99" s="10" t="s">
        <v>27</v>
      </c>
      <c r="M99" s="10"/>
      <c r="N99" s="10"/>
    </row>
    <row r="100" spans="1:14" ht="63" customHeight="1" x14ac:dyDescent="0.35">
      <c r="A100" s="4" t="s">
        <v>15</v>
      </c>
      <c r="B100" s="4" t="s">
        <v>217</v>
      </c>
      <c r="C100" s="5" t="s">
        <v>218</v>
      </c>
      <c r="D100" s="5"/>
      <c r="E100" s="6">
        <v>50000</v>
      </c>
      <c r="F100" s="5" t="s">
        <v>78</v>
      </c>
      <c r="G100" s="13" t="s">
        <v>75</v>
      </c>
      <c r="H100" s="6">
        <v>2000000</v>
      </c>
      <c r="I100" s="11">
        <v>1322100</v>
      </c>
      <c r="J100" s="6"/>
      <c r="K100" s="10" t="s">
        <v>75</v>
      </c>
      <c r="L100" s="10" t="s">
        <v>27</v>
      </c>
      <c r="M100" s="10"/>
      <c r="N100" s="10"/>
    </row>
    <row r="101" spans="1:14" ht="63" customHeight="1" x14ac:dyDescent="0.35">
      <c r="A101" s="4" t="s">
        <v>15</v>
      </c>
      <c r="B101" s="4" t="s">
        <v>217</v>
      </c>
      <c r="C101" s="5" t="s">
        <v>219</v>
      </c>
      <c r="D101" s="5"/>
      <c r="E101" s="6">
        <v>150000</v>
      </c>
      <c r="F101" s="5" t="s">
        <v>78</v>
      </c>
      <c r="G101" s="13" t="s">
        <v>75</v>
      </c>
      <c r="H101" s="6">
        <v>2000000</v>
      </c>
      <c r="I101" s="11">
        <v>1322100</v>
      </c>
      <c r="J101" s="6"/>
      <c r="K101" s="10" t="s">
        <v>75</v>
      </c>
      <c r="L101" s="10" t="s">
        <v>27</v>
      </c>
      <c r="M101" s="10"/>
      <c r="N101" s="10"/>
    </row>
    <row r="102" spans="1:14" ht="63" customHeight="1" x14ac:dyDescent="0.35">
      <c r="A102" s="4" t="s">
        <v>15</v>
      </c>
      <c r="B102" s="4" t="s">
        <v>217</v>
      </c>
      <c r="C102" s="5" t="s">
        <v>220</v>
      </c>
      <c r="D102" s="5"/>
      <c r="E102" s="6">
        <v>150000</v>
      </c>
      <c r="F102" s="7"/>
      <c r="G102" s="8" t="s">
        <v>21</v>
      </c>
      <c r="H102" s="6"/>
      <c r="I102" s="11"/>
      <c r="J102" s="6"/>
      <c r="K102" s="10"/>
      <c r="L102" s="10"/>
      <c r="M102" s="10"/>
      <c r="N102" s="10"/>
    </row>
    <row r="103" spans="1:14" ht="63" customHeight="1" x14ac:dyDescent="0.35">
      <c r="A103" s="4" t="s">
        <v>15</v>
      </c>
      <c r="B103" s="4" t="s">
        <v>217</v>
      </c>
      <c r="C103" s="5" t="s">
        <v>221</v>
      </c>
      <c r="D103" s="5"/>
      <c r="E103" s="6">
        <v>150000</v>
      </c>
      <c r="F103" s="5" t="s">
        <v>193</v>
      </c>
      <c r="G103" s="8" t="s">
        <v>21</v>
      </c>
      <c r="H103" s="6">
        <v>500000</v>
      </c>
      <c r="I103" s="11">
        <v>335000</v>
      </c>
      <c r="J103" s="6"/>
      <c r="K103" s="10" t="s">
        <v>75</v>
      </c>
      <c r="L103" s="10" t="s">
        <v>27</v>
      </c>
      <c r="M103" s="10"/>
      <c r="N103" s="10"/>
    </row>
    <row r="104" spans="1:14" ht="63" customHeight="1" x14ac:dyDescent="0.35">
      <c r="A104" s="4" t="s">
        <v>15</v>
      </c>
      <c r="B104" s="4" t="s">
        <v>217</v>
      </c>
      <c r="C104" s="5" t="s">
        <v>222</v>
      </c>
      <c r="D104" s="5"/>
      <c r="E104" s="6">
        <v>60000</v>
      </c>
      <c r="F104" s="5" t="s">
        <v>142</v>
      </c>
      <c r="G104" s="8" t="s">
        <v>21</v>
      </c>
      <c r="H104" s="6">
        <v>1400000</v>
      </c>
      <c r="I104" s="11">
        <v>1180000</v>
      </c>
      <c r="J104" s="6"/>
      <c r="K104" s="10" t="s">
        <v>75</v>
      </c>
      <c r="L104" s="10" t="s">
        <v>22</v>
      </c>
      <c r="M104" s="10"/>
      <c r="N104" s="10"/>
    </row>
    <row r="105" spans="1:14" ht="63" customHeight="1" x14ac:dyDescent="0.35">
      <c r="A105" s="4" t="s">
        <v>15</v>
      </c>
      <c r="B105" s="4" t="s">
        <v>223</v>
      </c>
      <c r="C105" s="5" t="s">
        <v>224</v>
      </c>
      <c r="D105" s="5" t="s">
        <v>225</v>
      </c>
      <c r="E105" s="6">
        <v>360000</v>
      </c>
      <c r="F105" s="5" t="s">
        <v>90</v>
      </c>
      <c r="G105" s="8" t="s">
        <v>21</v>
      </c>
      <c r="H105" s="6">
        <v>500000</v>
      </c>
      <c r="I105" s="11">
        <v>470000</v>
      </c>
      <c r="J105" s="6">
        <v>83649.19</v>
      </c>
      <c r="K105" s="10" t="s">
        <v>75</v>
      </c>
      <c r="L105" s="10" t="s">
        <v>22</v>
      </c>
      <c r="M105" s="10"/>
      <c r="N105" s="10"/>
    </row>
    <row r="106" spans="1:14" ht="63" customHeight="1" x14ac:dyDescent="0.35">
      <c r="A106" s="4" t="s">
        <v>15</v>
      </c>
      <c r="B106" s="4" t="s">
        <v>223</v>
      </c>
      <c r="C106" s="5" t="s">
        <v>226</v>
      </c>
      <c r="D106" s="5" t="s">
        <v>225</v>
      </c>
      <c r="E106" s="6">
        <v>120000</v>
      </c>
      <c r="F106" s="5" t="s">
        <v>110</v>
      </c>
      <c r="G106" s="8" t="s">
        <v>21</v>
      </c>
      <c r="H106" s="6">
        <v>500000</v>
      </c>
      <c r="I106" s="11">
        <v>320000</v>
      </c>
      <c r="J106" s="6"/>
      <c r="K106" s="10" t="s">
        <v>26</v>
      </c>
      <c r="L106" s="10" t="s">
        <v>22</v>
      </c>
      <c r="M106" s="10"/>
      <c r="N106" s="10"/>
    </row>
    <row r="107" spans="1:14" ht="63" customHeight="1" x14ac:dyDescent="0.35">
      <c r="A107" s="4" t="s">
        <v>15</v>
      </c>
      <c r="B107" s="4" t="s">
        <v>223</v>
      </c>
      <c r="C107" s="5" t="s">
        <v>227</v>
      </c>
      <c r="D107" s="5" t="s">
        <v>228</v>
      </c>
      <c r="E107" s="6">
        <v>180000</v>
      </c>
      <c r="F107" s="5" t="s">
        <v>229</v>
      </c>
      <c r="G107" s="8" t="s">
        <v>21</v>
      </c>
      <c r="H107" s="6">
        <v>500000</v>
      </c>
      <c r="I107" s="11">
        <v>180000</v>
      </c>
      <c r="J107" s="6"/>
      <c r="K107" s="10" t="s">
        <v>75</v>
      </c>
      <c r="L107" s="10" t="s">
        <v>27</v>
      </c>
      <c r="M107" s="10"/>
      <c r="N107" s="10"/>
    </row>
    <row r="108" spans="1:14" ht="63" customHeight="1" x14ac:dyDescent="0.35">
      <c r="A108" s="4" t="s">
        <v>15</v>
      </c>
      <c r="B108" s="4" t="s">
        <v>223</v>
      </c>
      <c r="C108" s="5" t="s">
        <v>230</v>
      </c>
      <c r="D108" s="5" t="s">
        <v>228</v>
      </c>
      <c r="E108" s="6">
        <v>180000</v>
      </c>
      <c r="F108" s="5" t="s">
        <v>29</v>
      </c>
      <c r="G108" s="8" t="s">
        <v>21</v>
      </c>
      <c r="H108" s="6">
        <v>500000</v>
      </c>
      <c r="I108" s="11">
        <v>480000</v>
      </c>
      <c r="J108" s="6"/>
      <c r="K108" s="10" t="s">
        <v>26</v>
      </c>
      <c r="L108" s="10" t="s">
        <v>27</v>
      </c>
      <c r="M108" s="10"/>
      <c r="N108" s="10"/>
    </row>
    <row r="109" spans="1:14" ht="63" customHeight="1" x14ac:dyDescent="0.35">
      <c r="A109" s="4" t="s">
        <v>15</v>
      </c>
      <c r="B109" s="4" t="s">
        <v>223</v>
      </c>
      <c r="C109" s="5" t="s">
        <v>231</v>
      </c>
      <c r="D109" s="5" t="s">
        <v>228</v>
      </c>
      <c r="E109" s="6">
        <v>120000</v>
      </c>
      <c r="F109" s="7" t="s">
        <v>183</v>
      </c>
      <c r="G109" s="8" t="s">
        <v>21</v>
      </c>
      <c r="H109" s="6">
        <v>500000</v>
      </c>
      <c r="I109" s="9">
        <v>620000</v>
      </c>
      <c r="J109" s="6"/>
      <c r="K109" s="10"/>
      <c r="L109" s="10"/>
      <c r="M109" s="10"/>
      <c r="N109" s="10"/>
    </row>
    <row r="110" spans="1:14" ht="63" customHeight="1" x14ac:dyDescent="0.35">
      <c r="A110" s="4" t="s">
        <v>15</v>
      </c>
      <c r="B110" s="4" t="s">
        <v>223</v>
      </c>
      <c r="C110" s="5" t="s">
        <v>232</v>
      </c>
      <c r="D110" s="5" t="s">
        <v>233</v>
      </c>
      <c r="E110" s="6">
        <v>124338</v>
      </c>
      <c r="F110" s="5" t="s">
        <v>63</v>
      </c>
      <c r="G110" s="8" t="s">
        <v>21</v>
      </c>
      <c r="H110" s="6">
        <v>2000000</v>
      </c>
      <c r="I110" s="11">
        <v>1185338</v>
      </c>
      <c r="J110" s="6"/>
      <c r="K110" s="10" t="s">
        <v>26</v>
      </c>
      <c r="L110" s="10" t="s">
        <v>27</v>
      </c>
      <c r="M110" s="10"/>
      <c r="N110" s="10"/>
    </row>
    <row r="111" spans="1:14" ht="63" customHeight="1" x14ac:dyDescent="0.35">
      <c r="A111" s="4" t="s">
        <v>15</v>
      </c>
      <c r="B111" s="4" t="s">
        <v>223</v>
      </c>
      <c r="C111" s="5" t="s">
        <v>234</v>
      </c>
      <c r="D111" s="5" t="s">
        <v>228</v>
      </c>
      <c r="E111" s="6">
        <v>360000</v>
      </c>
      <c r="F111" s="7" t="s">
        <v>19</v>
      </c>
      <c r="G111" s="8" t="s">
        <v>21</v>
      </c>
      <c r="H111" s="6">
        <v>500000</v>
      </c>
      <c r="I111" s="9">
        <v>710000</v>
      </c>
      <c r="J111" s="6"/>
      <c r="K111" s="10" t="s">
        <v>21</v>
      </c>
      <c r="L111" s="10" t="s">
        <v>22</v>
      </c>
      <c r="M111" s="10"/>
      <c r="N111" s="10"/>
    </row>
    <row r="112" spans="1:14" ht="63" customHeight="1" x14ac:dyDescent="0.35">
      <c r="A112" s="15" t="s">
        <v>15</v>
      </c>
      <c r="B112" s="15" t="s">
        <v>223</v>
      </c>
      <c r="C112" s="16" t="s">
        <v>235</v>
      </c>
      <c r="D112" s="16" t="s">
        <v>236</v>
      </c>
      <c r="E112" s="17">
        <v>295662</v>
      </c>
      <c r="F112" s="16" t="s">
        <v>237</v>
      </c>
      <c r="G112" s="18" t="s">
        <v>21</v>
      </c>
      <c r="H112" s="17">
        <v>500000</v>
      </c>
      <c r="I112" s="19">
        <v>445662</v>
      </c>
      <c r="J112" s="17">
        <v>295662</v>
      </c>
      <c r="K112" s="20" t="s">
        <v>26</v>
      </c>
      <c r="L112" s="20" t="s">
        <v>27</v>
      </c>
      <c r="M112" s="20"/>
      <c r="N112" s="20"/>
    </row>
    <row r="113" spans="1:14" ht="63" customHeight="1" x14ac:dyDescent="0.35">
      <c r="A113" s="15" t="s">
        <v>15</v>
      </c>
      <c r="B113" s="15" t="s">
        <v>223</v>
      </c>
      <c r="C113" s="16" t="s">
        <v>238</v>
      </c>
      <c r="D113" s="16"/>
      <c r="E113" s="17">
        <v>480000</v>
      </c>
      <c r="F113" s="16" t="s">
        <v>63</v>
      </c>
      <c r="G113" s="18" t="s">
        <v>21</v>
      </c>
      <c r="H113" s="17">
        <v>2000000</v>
      </c>
      <c r="I113" s="19">
        <v>1185338</v>
      </c>
      <c r="J113" s="17">
        <v>412077.07199999999</v>
      </c>
      <c r="K113" s="20" t="s">
        <v>26</v>
      </c>
      <c r="L113" s="20" t="s">
        <v>22</v>
      </c>
      <c r="M113" s="20"/>
      <c r="N113" s="20"/>
    </row>
    <row r="114" spans="1:14" ht="63" customHeight="1" x14ac:dyDescent="0.35">
      <c r="A114" s="15" t="s">
        <v>15</v>
      </c>
      <c r="B114" s="15" t="s">
        <v>223</v>
      </c>
      <c r="C114" s="16" t="s">
        <v>239</v>
      </c>
      <c r="D114" s="16"/>
      <c r="E114" s="17">
        <v>200000</v>
      </c>
      <c r="F114" s="16" t="s">
        <v>240</v>
      </c>
      <c r="G114" s="18" t="s">
        <v>21</v>
      </c>
      <c r="H114" s="17">
        <v>500000</v>
      </c>
      <c r="I114" s="19">
        <v>450000</v>
      </c>
      <c r="J114" s="17"/>
      <c r="K114" s="20" t="s">
        <v>26</v>
      </c>
      <c r="L114" s="20" t="s">
        <v>27</v>
      </c>
      <c r="M114" s="20"/>
      <c r="N114" s="20"/>
    </row>
    <row r="115" spans="1:14" ht="300" x14ac:dyDescent="0.35">
      <c r="A115" s="4" t="s">
        <v>15</v>
      </c>
      <c r="B115" s="4" t="s">
        <v>241</v>
      </c>
      <c r="C115" s="5" t="s">
        <v>242</v>
      </c>
      <c r="D115" s="5" t="s">
        <v>243</v>
      </c>
      <c r="E115" s="6">
        <v>100000</v>
      </c>
      <c r="F115" s="5" t="s">
        <v>240</v>
      </c>
      <c r="G115" s="8" t="s">
        <v>21</v>
      </c>
      <c r="H115" s="6">
        <v>500000</v>
      </c>
      <c r="I115" s="11">
        <v>450000</v>
      </c>
      <c r="J115" s="6"/>
      <c r="K115" s="10" t="s">
        <v>75</v>
      </c>
      <c r="L115" s="10" t="s">
        <v>27</v>
      </c>
      <c r="M115" s="10"/>
      <c r="N115" s="10"/>
    </row>
    <row r="116" spans="1:14" ht="63" customHeight="1" x14ac:dyDescent="0.35">
      <c r="A116" s="4" t="s">
        <v>15</v>
      </c>
      <c r="B116" s="4" t="s">
        <v>241</v>
      </c>
      <c r="C116" s="5" t="s">
        <v>244</v>
      </c>
      <c r="D116" s="5" t="s">
        <v>245</v>
      </c>
      <c r="E116" s="6">
        <v>35000</v>
      </c>
      <c r="F116" s="13"/>
      <c r="G116" s="8" t="s">
        <v>21</v>
      </c>
      <c r="H116" s="6"/>
      <c r="I116" s="11"/>
      <c r="J116" s="6"/>
      <c r="K116" s="10"/>
      <c r="L116" s="10"/>
      <c r="M116" s="10"/>
      <c r="N116" s="10"/>
    </row>
    <row r="117" spans="1:14" ht="63" customHeight="1" x14ac:dyDescent="0.35">
      <c r="A117" s="4" t="s">
        <v>15</v>
      </c>
      <c r="B117" s="4" t="s">
        <v>241</v>
      </c>
      <c r="C117" s="5" t="s">
        <v>246</v>
      </c>
      <c r="D117" s="5" t="s">
        <v>247</v>
      </c>
      <c r="E117" s="6">
        <v>35000</v>
      </c>
      <c r="F117" s="5" t="s">
        <v>193</v>
      </c>
      <c r="G117" s="8" t="s">
        <v>21</v>
      </c>
      <c r="H117" s="6">
        <v>500000</v>
      </c>
      <c r="I117" s="11">
        <v>335000</v>
      </c>
      <c r="J117" s="6"/>
      <c r="K117" s="10" t="s">
        <v>75</v>
      </c>
      <c r="L117" s="10" t="s">
        <v>27</v>
      </c>
      <c r="M117" s="10"/>
      <c r="N117" s="10"/>
    </row>
    <row r="118" spans="1:14" ht="63" customHeight="1" x14ac:dyDescent="0.35">
      <c r="A118" s="4" t="s">
        <v>15</v>
      </c>
      <c r="B118" s="4" t="s">
        <v>241</v>
      </c>
      <c r="C118" s="5" t="s">
        <v>248</v>
      </c>
      <c r="D118" s="5" t="s">
        <v>249</v>
      </c>
      <c r="E118" s="6">
        <v>20000</v>
      </c>
      <c r="F118" s="5" t="s">
        <v>63</v>
      </c>
      <c r="G118" s="8" t="s">
        <v>21</v>
      </c>
      <c r="H118" s="6">
        <v>2000000</v>
      </c>
      <c r="I118" s="11">
        <v>1185338</v>
      </c>
      <c r="J118" s="6"/>
      <c r="K118" s="10" t="s">
        <v>26</v>
      </c>
      <c r="L118" s="10" t="s">
        <v>27</v>
      </c>
      <c r="M118" s="10"/>
      <c r="N118" s="10"/>
    </row>
    <row r="119" spans="1:14" ht="63" customHeight="1" x14ac:dyDescent="0.35">
      <c r="A119" s="4" t="s">
        <v>15</v>
      </c>
      <c r="B119" s="4" t="s">
        <v>241</v>
      </c>
      <c r="C119" s="5" t="s">
        <v>250</v>
      </c>
      <c r="D119" s="5"/>
      <c r="E119" s="6">
        <v>150000</v>
      </c>
      <c r="F119" s="5" t="s">
        <v>237</v>
      </c>
      <c r="G119" s="8" t="s">
        <v>21</v>
      </c>
      <c r="H119" s="6">
        <v>500000</v>
      </c>
      <c r="I119" s="11">
        <v>445662</v>
      </c>
      <c r="J119" s="6"/>
      <c r="K119" s="10"/>
      <c r="L119" s="10"/>
      <c r="M119" s="10"/>
      <c r="N119" s="10"/>
    </row>
    <row r="120" spans="1:14" ht="212.5" x14ac:dyDescent="0.35">
      <c r="A120" s="4" t="s">
        <v>15</v>
      </c>
      <c r="B120" s="4" t="s">
        <v>241</v>
      </c>
      <c r="C120" s="5" t="s">
        <v>251</v>
      </c>
      <c r="D120" s="5" t="s">
        <v>252</v>
      </c>
      <c r="E120" s="6">
        <v>150000</v>
      </c>
      <c r="F120" s="5" t="s">
        <v>63</v>
      </c>
      <c r="G120" s="8" t="s">
        <v>21</v>
      </c>
      <c r="H120" s="6">
        <v>2000000</v>
      </c>
      <c r="I120" s="11">
        <v>1185338</v>
      </c>
      <c r="J120" s="6"/>
      <c r="K120" s="10" t="s">
        <v>26</v>
      </c>
      <c r="L120" s="10" t="s">
        <v>27</v>
      </c>
      <c r="M120" s="10"/>
      <c r="N120" s="10"/>
    </row>
    <row r="121" spans="1:14" ht="75" x14ac:dyDescent="0.35">
      <c r="A121" s="4" t="s">
        <v>15</v>
      </c>
      <c r="B121" s="4" t="s">
        <v>241</v>
      </c>
      <c r="C121" s="5" t="s">
        <v>253</v>
      </c>
      <c r="D121" s="5" t="s">
        <v>254</v>
      </c>
      <c r="E121" s="6">
        <v>61000</v>
      </c>
      <c r="F121" s="5" t="s">
        <v>63</v>
      </c>
      <c r="G121" s="8" t="s">
        <v>21</v>
      </c>
      <c r="H121" s="6">
        <v>2000000</v>
      </c>
      <c r="I121" s="11">
        <v>1185338</v>
      </c>
      <c r="J121" s="6"/>
      <c r="K121" s="10" t="s">
        <v>26</v>
      </c>
      <c r="L121" s="10" t="s">
        <v>27</v>
      </c>
      <c r="M121" s="10"/>
      <c r="N121" s="10"/>
    </row>
    <row r="122" spans="1:14" ht="63" customHeight="1" x14ac:dyDescent="0.35">
      <c r="A122" s="4" t="s">
        <v>15</v>
      </c>
      <c r="B122" s="4" t="s">
        <v>241</v>
      </c>
      <c r="C122" s="5" t="s">
        <v>255</v>
      </c>
      <c r="D122" s="5" t="s">
        <v>256</v>
      </c>
      <c r="E122" s="6">
        <v>40000</v>
      </c>
      <c r="F122" s="7" t="s">
        <v>124</v>
      </c>
      <c r="G122" s="8" t="s">
        <v>20</v>
      </c>
      <c r="H122" s="6">
        <v>500000</v>
      </c>
      <c r="I122" s="9">
        <v>540000</v>
      </c>
      <c r="J122" s="6"/>
      <c r="K122" s="10" t="s">
        <v>21</v>
      </c>
      <c r="L122" s="10" t="s">
        <v>27</v>
      </c>
      <c r="M122" s="10"/>
      <c r="N122" s="10"/>
    </row>
    <row r="123" spans="1:14" ht="63" customHeight="1" x14ac:dyDescent="0.35">
      <c r="A123" s="4" t="s">
        <v>15</v>
      </c>
      <c r="B123" s="4" t="s">
        <v>241</v>
      </c>
      <c r="C123" s="5" t="s">
        <v>257</v>
      </c>
      <c r="D123" s="5"/>
      <c r="E123" s="6">
        <v>50000</v>
      </c>
      <c r="F123" s="5" t="s">
        <v>129</v>
      </c>
      <c r="G123" s="8" t="s">
        <v>20</v>
      </c>
      <c r="H123" s="6">
        <v>500000</v>
      </c>
      <c r="I123" s="11">
        <v>450000</v>
      </c>
      <c r="J123" s="6"/>
      <c r="K123" s="10" t="s">
        <v>26</v>
      </c>
      <c r="L123" s="10" t="s">
        <v>27</v>
      </c>
      <c r="M123" s="10"/>
      <c r="N123" s="10"/>
    </row>
    <row r="124" spans="1:14" ht="63" customHeight="1" x14ac:dyDescent="0.35">
      <c r="A124" s="4" t="s">
        <v>15</v>
      </c>
      <c r="B124" s="4" t="s">
        <v>241</v>
      </c>
      <c r="C124" s="5" t="s">
        <v>258</v>
      </c>
      <c r="D124" s="5"/>
      <c r="E124" s="6">
        <v>150000</v>
      </c>
      <c r="F124" s="5" t="s">
        <v>240</v>
      </c>
      <c r="G124" s="8" t="s">
        <v>20</v>
      </c>
      <c r="H124" s="6">
        <v>500000</v>
      </c>
      <c r="I124" s="11">
        <v>450000</v>
      </c>
      <c r="J124" s="6"/>
      <c r="K124" s="10" t="s">
        <v>75</v>
      </c>
      <c r="L124" s="10" t="s">
        <v>27</v>
      </c>
      <c r="M124" s="10"/>
      <c r="N124" s="10"/>
    </row>
    <row r="125" spans="1:14" ht="63" customHeight="1" x14ac:dyDescent="0.35">
      <c r="A125" s="4" t="s">
        <v>15</v>
      </c>
      <c r="B125" s="4" t="s">
        <v>241</v>
      </c>
      <c r="C125" s="5" t="s">
        <v>259</v>
      </c>
      <c r="D125" s="5"/>
      <c r="E125" s="6">
        <v>150000</v>
      </c>
      <c r="F125" s="5" t="s">
        <v>63</v>
      </c>
      <c r="G125" s="8" t="s">
        <v>20</v>
      </c>
      <c r="H125" s="6">
        <v>2000000</v>
      </c>
      <c r="I125" s="11">
        <v>1185338</v>
      </c>
      <c r="J125" s="6"/>
      <c r="K125" s="10" t="s">
        <v>26</v>
      </c>
      <c r="L125" s="10" t="s">
        <v>27</v>
      </c>
      <c r="M125" s="10"/>
      <c r="N125" s="10"/>
    </row>
    <row r="126" spans="1:14" ht="63" customHeight="1" x14ac:dyDescent="0.35">
      <c r="A126" s="4" t="s">
        <v>15</v>
      </c>
      <c r="B126" s="4" t="s">
        <v>241</v>
      </c>
      <c r="C126" s="5" t="s">
        <v>260</v>
      </c>
      <c r="D126" s="5"/>
      <c r="E126" s="6">
        <v>60000</v>
      </c>
      <c r="F126" s="5" t="s">
        <v>78</v>
      </c>
      <c r="G126" s="8" t="s">
        <v>20</v>
      </c>
      <c r="H126" s="6">
        <v>2000000</v>
      </c>
      <c r="I126" s="11">
        <v>1322100</v>
      </c>
      <c r="J126" s="6"/>
      <c r="K126" s="10" t="s">
        <v>75</v>
      </c>
      <c r="L126" s="10" t="s">
        <v>27</v>
      </c>
      <c r="M126" s="10"/>
      <c r="N126" s="10"/>
    </row>
    <row r="127" spans="1:14" ht="63" customHeight="1" x14ac:dyDescent="0.35">
      <c r="A127" s="4" t="s">
        <v>15</v>
      </c>
      <c r="B127" s="4" t="s">
        <v>261</v>
      </c>
      <c r="C127" s="21" t="s">
        <v>262</v>
      </c>
      <c r="D127" s="5"/>
      <c r="E127" s="6">
        <v>90000</v>
      </c>
      <c r="F127" s="7"/>
      <c r="G127" s="8"/>
      <c r="H127" s="6"/>
      <c r="I127" s="11"/>
      <c r="J127" s="6"/>
      <c r="K127" s="10"/>
      <c r="L127" s="10"/>
      <c r="M127" s="22" t="s">
        <v>263</v>
      </c>
      <c r="N127" s="10"/>
    </row>
    <row r="128" spans="1:14" ht="63" customHeight="1" x14ac:dyDescent="0.35">
      <c r="A128" s="4" t="s">
        <v>15</v>
      </c>
      <c r="B128" s="4" t="s">
        <v>264</v>
      </c>
      <c r="C128" s="5" t="s">
        <v>265</v>
      </c>
      <c r="D128" s="5" t="s">
        <v>266</v>
      </c>
      <c r="E128" s="6">
        <v>100000</v>
      </c>
      <c r="F128" s="5" t="s">
        <v>83</v>
      </c>
      <c r="G128" s="8" t="s">
        <v>20</v>
      </c>
      <c r="H128" s="6">
        <v>1200000</v>
      </c>
      <c r="I128" s="11">
        <v>1150000</v>
      </c>
      <c r="J128" s="6"/>
      <c r="K128" s="10"/>
      <c r="L128" s="10"/>
      <c r="M128" s="22"/>
      <c r="N128" s="10"/>
    </row>
    <row r="129" spans="1:14" ht="63" customHeight="1" x14ac:dyDescent="0.35">
      <c r="A129" s="4" t="s">
        <v>15</v>
      </c>
      <c r="B129" s="4" t="s">
        <v>264</v>
      </c>
      <c r="C129" s="5" t="s">
        <v>267</v>
      </c>
      <c r="D129" s="5" t="s">
        <v>268</v>
      </c>
      <c r="E129" s="6">
        <v>80000</v>
      </c>
      <c r="F129" s="7" t="s">
        <v>86</v>
      </c>
      <c r="G129" s="8" t="s">
        <v>20</v>
      </c>
      <c r="H129" s="6">
        <v>500000</v>
      </c>
      <c r="I129" s="9">
        <v>520000</v>
      </c>
      <c r="J129" s="6"/>
      <c r="K129" s="10" t="s">
        <v>21</v>
      </c>
      <c r="L129" s="10" t="s">
        <v>27</v>
      </c>
      <c r="M129" s="22"/>
      <c r="N129" s="10"/>
    </row>
    <row r="130" spans="1:14" ht="63" customHeight="1" x14ac:dyDescent="0.35">
      <c r="A130" s="4" t="s">
        <v>15</v>
      </c>
      <c r="B130" s="4" t="s">
        <v>264</v>
      </c>
      <c r="C130" s="5" t="s">
        <v>269</v>
      </c>
      <c r="D130" s="5" t="s">
        <v>270</v>
      </c>
      <c r="E130" s="6">
        <v>200000</v>
      </c>
      <c r="F130" s="7" t="s">
        <v>102</v>
      </c>
      <c r="G130" s="13" t="s">
        <v>75</v>
      </c>
      <c r="H130" s="6">
        <v>500000</v>
      </c>
      <c r="I130" s="11">
        <v>240000</v>
      </c>
      <c r="J130" s="6"/>
      <c r="K130" s="10"/>
      <c r="L130" s="10"/>
      <c r="M130" s="22" t="s">
        <v>92</v>
      </c>
      <c r="N130" s="10"/>
    </row>
    <row r="131" spans="1:14" ht="63" customHeight="1" x14ac:dyDescent="0.35">
      <c r="A131" s="4" t="s">
        <v>15</v>
      </c>
      <c r="B131" s="4" t="s">
        <v>264</v>
      </c>
      <c r="C131" s="5" t="s">
        <v>271</v>
      </c>
      <c r="D131" s="5" t="s">
        <v>272</v>
      </c>
      <c r="E131" s="6">
        <v>90000</v>
      </c>
      <c r="F131" s="7"/>
      <c r="G131" s="13" t="s">
        <v>75</v>
      </c>
      <c r="H131" s="6"/>
      <c r="I131" s="11"/>
      <c r="J131" s="6"/>
      <c r="K131" s="10"/>
      <c r="L131" s="10"/>
      <c r="M131" s="22" t="s">
        <v>92</v>
      </c>
      <c r="N131" s="10"/>
    </row>
    <row r="132" spans="1:14" ht="63" customHeight="1" x14ac:dyDescent="0.35">
      <c r="A132" s="4" t="s">
        <v>15</v>
      </c>
      <c r="B132" s="4" t="s">
        <v>264</v>
      </c>
      <c r="C132" s="5" t="s">
        <v>273</v>
      </c>
      <c r="D132" s="5"/>
      <c r="E132" s="6">
        <v>100000</v>
      </c>
      <c r="F132" s="7" t="s">
        <v>78</v>
      </c>
      <c r="G132" s="13" t="s">
        <v>75</v>
      </c>
      <c r="H132" s="6">
        <v>2000000</v>
      </c>
      <c r="I132" s="11"/>
      <c r="J132" s="6"/>
      <c r="K132" s="10"/>
      <c r="L132" s="10"/>
      <c r="M132" s="22" t="s">
        <v>92</v>
      </c>
      <c r="N132" s="10"/>
    </row>
    <row r="133" spans="1:14" ht="63" customHeight="1" x14ac:dyDescent="0.35">
      <c r="A133" s="4" t="s">
        <v>15</v>
      </c>
      <c r="B133" s="4" t="s">
        <v>264</v>
      </c>
      <c r="C133" s="5" t="s">
        <v>274</v>
      </c>
      <c r="D133" s="5"/>
      <c r="E133" s="6">
        <v>50000</v>
      </c>
      <c r="F133" s="7" t="s">
        <v>78</v>
      </c>
      <c r="G133" s="13" t="s">
        <v>75</v>
      </c>
      <c r="H133" s="6">
        <v>2000000</v>
      </c>
      <c r="I133" s="11"/>
      <c r="J133" s="6"/>
      <c r="K133" s="10"/>
      <c r="L133" s="10"/>
      <c r="M133" s="22" t="s">
        <v>92</v>
      </c>
      <c r="N133" s="10"/>
    </row>
    <row r="134" spans="1:14" ht="63" customHeight="1" x14ac:dyDescent="0.35">
      <c r="A134" s="4" t="s">
        <v>15</v>
      </c>
      <c r="B134" s="4" t="s">
        <v>264</v>
      </c>
      <c r="C134" s="5" t="s">
        <v>275</v>
      </c>
      <c r="D134" s="5"/>
      <c r="E134" s="6">
        <v>200000</v>
      </c>
      <c r="F134" s="7"/>
      <c r="G134" s="8"/>
      <c r="H134" s="6"/>
      <c r="I134" s="11"/>
      <c r="J134" s="6"/>
      <c r="K134" s="10"/>
      <c r="L134" s="10"/>
      <c r="M134" s="22"/>
      <c r="N134" s="10"/>
    </row>
    <row r="135" spans="1:14" ht="63" customHeight="1" x14ac:dyDescent="0.35">
      <c r="A135" s="15" t="s">
        <v>15</v>
      </c>
      <c r="B135" s="15" t="s">
        <v>276</v>
      </c>
      <c r="C135" s="16" t="s">
        <v>277</v>
      </c>
      <c r="D135" s="16"/>
      <c r="E135" s="17">
        <v>9600</v>
      </c>
      <c r="F135" s="16" t="s">
        <v>278</v>
      </c>
      <c r="G135" s="18" t="s">
        <v>21</v>
      </c>
      <c r="H135" s="17">
        <v>500000</v>
      </c>
      <c r="I135" s="19">
        <v>9600</v>
      </c>
      <c r="J135" s="17">
        <v>9600</v>
      </c>
      <c r="K135" s="20" t="s">
        <v>75</v>
      </c>
      <c r="L135" s="20" t="s">
        <v>27</v>
      </c>
      <c r="M135" s="23"/>
      <c r="N135" s="20"/>
    </row>
    <row r="137" spans="1:14" ht="42" customHeight="1" x14ac:dyDescent="0.45">
      <c r="E137" s="24">
        <f>SUM(E4:E135)</f>
        <v>22423839.93</v>
      </c>
      <c r="J137" s="25">
        <f>SUM(J4:J135)</f>
        <v>1899914.1759999997</v>
      </c>
    </row>
    <row r="139" spans="1:14" x14ac:dyDescent="0.35">
      <c r="K139" s="26"/>
    </row>
    <row r="140" spans="1:14" ht="72.75" customHeight="1" x14ac:dyDescent="0.35">
      <c r="I140" s="27" t="s">
        <v>279</v>
      </c>
      <c r="J140" s="28">
        <f>J137+'[1]PPA DPMG 2026'!J20</f>
        <v>3889316.4959999998</v>
      </c>
      <c r="M140" s="26"/>
    </row>
    <row r="142" spans="1:14" x14ac:dyDescent="0.35">
      <c r="F142" s="26"/>
    </row>
    <row r="143" spans="1:14" x14ac:dyDescent="0.35">
      <c r="D143" s="26"/>
      <c r="E143" s="26"/>
    </row>
    <row r="144" spans="1:14" x14ac:dyDescent="0.35">
      <c r="F144" s="26"/>
    </row>
    <row r="145" spans="6:10" x14ac:dyDescent="0.35">
      <c r="F145" s="26"/>
    </row>
    <row r="146" spans="6:10" x14ac:dyDescent="0.35">
      <c r="F146" s="26"/>
    </row>
    <row r="147" spans="6:10" x14ac:dyDescent="0.35">
      <c r="I147" s="26"/>
      <c r="J147" s="26"/>
    </row>
  </sheetData>
  <autoFilter ref="A3:N135" xr:uid="{00000000-0009-0000-0000-000000000000}"/>
  <mergeCells count="1">
    <mergeCell ref="A1:N1"/>
  </mergeCells>
  <pageMargins left="0.70866141732283472" right="0.70866141732283472" top="0.74803149606299213" bottom="0.74803149606299213" header="0.31496062992125984" footer="0.31496062992125984"/>
  <pageSetup paperSize="9" scale="45"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1:M34"/>
  <sheetViews>
    <sheetView zoomScale="70" zoomScaleNormal="70" workbookViewId="0">
      <selection activeCell="J20" sqref="J20"/>
    </sheetView>
  </sheetViews>
  <sheetFormatPr baseColWidth="10" defaultRowHeight="14.5" x14ac:dyDescent="0.35"/>
  <cols>
    <col min="2" max="2" width="13.1796875" customWidth="1"/>
    <col min="3" max="3" width="35.81640625" customWidth="1"/>
    <col min="4" max="4" width="32.81640625" customWidth="1"/>
    <col min="5" max="5" width="23.54296875" customWidth="1"/>
    <col min="6" max="6" width="39.7265625" customWidth="1"/>
    <col min="8" max="9" width="17" customWidth="1"/>
    <col min="10" max="10" width="18" customWidth="1"/>
    <col min="11" max="11" width="13.7265625" customWidth="1"/>
    <col min="12" max="12" width="14" customWidth="1"/>
    <col min="13" max="13" width="18.81640625" customWidth="1"/>
  </cols>
  <sheetData>
    <row r="1" spans="1:13" ht="33.75" customHeight="1" x14ac:dyDescent="0.35">
      <c r="A1" s="47" t="s">
        <v>0</v>
      </c>
      <c r="B1" s="47"/>
      <c r="C1" s="47"/>
      <c r="D1" s="47"/>
      <c r="E1" s="47"/>
      <c r="F1" s="47"/>
      <c r="G1" s="47"/>
      <c r="H1" s="47"/>
      <c r="I1" s="47"/>
      <c r="J1" s="47"/>
      <c r="K1" s="47"/>
      <c r="L1" s="47"/>
      <c r="M1" s="47"/>
    </row>
    <row r="3" spans="1:13" ht="73.5" customHeight="1" x14ac:dyDescent="0.35">
      <c r="A3" s="27" t="s">
        <v>1</v>
      </c>
      <c r="B3" s="29" t="s">
        <v>2</v>
      </c>
      <c r="C3" s="29" t="s">
        <v>3</v>
      </c>
      <c r="D3" s="29" t="s">
        <v>4</v>
      </c>
      <c r="E3" s="30" t="s">
        <v>5</v>
      </c>
      <c r="F3" s="27" t="s">
        <v>6</v>
      </c>
      <c r="G3" s="30" t="s">
        <v>7</v>
      </c>
      <c r="H3" s="27" t="s">
        <v>8</v>
      </c>
      <c r="I3" s="27" t="s">
        <v>9</v>
      </c>
      <c r="J3" s="27" t="s">
        <v>10</v>
      </c>
      <c r="K3" s="29" t="s">
        <v>11</v>
      </c>
      <c r="L3" s="29" t="s">
        <v>12</v>
      </c>
      <c r="M3" s="29" t="s">
        <v>13</v>
      </c>
    </row>
    <row r="4" spans="1:13" ht="51.75" customHeight="1" x14ac:dyDescent="0.35">
      <c r="A4" s="31" t="s">
        <v>92</v>
      </c>
      <c r="B4" s="31" t="s">
        <v>92</v>
      </c>
      <c r="C4" s="32" t="s">
        <v>280</v>
      </c>
      <c r="D4" s="32" t="s">
        <v>281</v>
      </c>
      <c r="E4" s="33">
        <v>800000</v>
      </c>
      <c r="F4" s="32" t="s">
        <v>78</v>
      </c>
      <c r="G4" s="34" t="s">
        <v>20</v>
      </c>
      <c r="H4" s="35">
        <v>2000000</v>
      </c>
      <c r="I4" s="35">
        <v>1420000</v>
      </c>
      <c r="J4" s="28">
        <v>490050</v>
      </c>
      <c r="K4" s="36" t="s">
        <v>26</v>
      </c>
      <c r="L4" s="36" t="s">
        <v>27</v>
      </c>
      <c r="M4" s="37"/>
    </row>
    <row r="5" spans="1:13" ht="51.75" customHeight="1" x14ac:dyDescent="0.35">
      <c r="A5" s="31" t="s">
        <v>92</v>
      </c>
      <c r="B5" s="31" t="s">
        <v>92</v>
      </c>
      <c r="C5" s="32" t="s">
        <v>282</v>
      </c>
      <c r="D5" s="32" t="s">
        <v>283</v>
      </c>
      <c r="E5" s="28">
        <v>380000</v>
      </c>
      <c r="F5" s="32" t="s">
        <v>35</v>
      </c>
      <c r="G5" s="34" t="s">
        <v>20</v>
      </c>
      <c r="H5" s="35">
        <v>500000</v>
      </c>
      <c r="I5" s="35">
        <v>380000</v>
      </c>
      <c r="J5" s="28">
        <v>297000</v>
      </c>
      <c r="K5" s="36" t="s">
        <v>26</v>
      </c>
      <c r="L5" s="36" t="s">
        <v>27</v>
      </c>
      <c r="M5" s="37"/>
    </row>
    <row r="6" spans="1:13" ht="51.75" customHeight="1" x14ac:dyDescent="0.35">
      <c r="A6" s="31" t="s">
        <v>92</v>
      </c>
      <c r="B6" s="31" t="s">
        <v>92</v>
      </c>
      <c r="C6" s="32" t="s">
        <v>284</v>
      </c>
      <c r="D6" s="32" t="s">
        <v>285</v>
      </c>
      <c r="E6" s="28">
        <v>150000</v>
      </c>
      <c r="F6" s="32" t="s">
        <v>193</v>
      </c>
      <c r="G6" s="34" t="s">
        <v>20</v>
      </c>
      <c r="H6" s="35">
        <v>500000</v>
      </c>
      <c r="I6" s="35">
        <v>150000</v>
      </c>
      <c r="J6" s="28"/>
      <c r="K6" s="36" t="s">
        <v>26</v>
      </c>
      <c r="L6" s="36" t="s">
        <v>27</v>
      </c>
      <c r="M6" s="37"/>
    </row>
    <row r="7" spans="1:13" ht="51.75" customHeight="1" x14ac:dyDescent="0.35">
      <c r="A7" s="31" t="s">
        <v>92</v>
      </c>
      <c r="B7" s="31" t="s">
        <v>92</v>
      </c>
      <c r="C7" s="32" t="s">
        <v>286</v>
      </c>
      <c r="D7" s="32" t="s">
        <v>285</v>
      </c>
      <c r="E7" s="28">
        <v>500000</v>
      </c>
      <c r="F7" s="32" t="s">
        <v>78</v>
      </c>
      <c r="G7" s="34" t="s">
        <v>20</v>
      </c>
      <c r="H7" s="35">
        <v>2000000</v>
      </c>
      <c r="I7" s="35">
        <v>1420000</v>
      </c>
      <c r="J7" s="28">
        <v>120000.32000000001</v>
      </c>
      <c r="K7" s="36" t="s">
        <v>26</v>
      </c>
      <c r="L7" s="36" t="s">
        <v>27</v>
      </c>
      <c r="M7" s="37"/>
    </row>
    <row r="8" spans="1:13" ht="51.75" customHeight="1" x14ac:dyDescent="0.35">
      <c r="A8" s="31" t="s">
        <v>92</v>
      </c>
      <c r="B8" s="31" t="s">
        <v>92</v>
      </c>
      <c r="C8" s="32" t="s">
        <v>287</v>
      </c>
      <c r="D8" s="32" t="s">
        <v>285</v>
      </c>
      <c r="E8" s="28">
        <v>40000</v>
      </c>
      <c r="F8" s="32" t="s">
        <v>69</v>
      </c>
      <c r="G8" s="34" t="s">
        <v>20</v>
      </c>
      <c r="H8" s="35">
        <v>500000</v>
      </c>
      <c r="I8" s="35">
        <v>500000</v>
      </c>
      <c r="J8" s="28"/>
      <c r="K8" s="36" t="s">
        <v>26</v>
      </c>
      <c r="L8" s="36" t="s">
        <v>27</v>
      </c>
      <c r="M8" s="37"/>
    </row>
    <row r="9" spans="1:13" ht="51.75" customHeight="1" x14ac:dyDescent="0.35">
      <c r="A9" s="31" t="s">
        <v>92</v>
      </c>
      <c r="B9" s="31" t="s">
        <v>92</v>
      </c>
      <c r="C9" s="32" t="s">
        <v>288</v>
      </c>
      <c r="D9" s="32" t="s">
        <v>285</v>
      </c>
      <c r="E9" s="28">
        <v>120000</v>
      </c>
      <c r="F9" s="32" t="s">
        <v>78</v>
      </c>
      <c r="G9" s="34" t="s">
        <v>20</v>
      </c>
      <c r="H9" s="35">
        <v>2000000</v>
      </c>
      <c r="I9" s="35">
        <v>1420000</v>
      </c>
      <c r="J9" s="28">
        <v>65592</v>
      </c>
      <c r="K9" s="36" t="s">
        <v>26</v>
      </c>
      <c r="L9" s="36" t="s">
        <v>27</v>
      </c>
      <c r="M9" s="37"/>
    </row>
    <row r="10" spans="1:13" ht="51.75" customHeight="1" x14ac:dyDescent="0.35">
      <c r="A10" s="31" t="s">
        <v>92</v>
      </c>
      <c r="B10" s="31" t="s">
        <v>92</v>
      </c>
      <c r="C10" s="32" t="s">
        <v>289</v>
      </c>
      <c r="D10" s="32" t="s">
        <v>285</v>
      </c>
      <c r="E10" s="28">
        <v>200000</v>
      </c>
      <c r="F10" s="32" t="s">
        <v>32</v>
      </c>
      <c r="G10" s="34" t="s">
        <v>20</v>
      </c>
      <c r="H10" s="35">
        <v>1200000</v>
      </c>
      <c r="I10" s="35">
        <v>200000</v>
      </c>
      <c r="J10" s="28">
        <v>183252</v>
      </c>
      <c r="K10" s="36" t="s">
        <v>26</v>
      </c>
      <c r="L10" s="36" t="s">
        <v>27</v>
      </c>
      <c r="M10" s="37"/>
    </row>
    <row r="11" spans="1:13" ht="63" customHeight="1" x14ac:dyDescent="0.35">
      <c r="A11" s="31" t="s">
        <v>92</v>
      </c>
      <c r="B11" s="31" t="s">
        <v>92</v>
      </c>
      <c r="C11" s="32" t="s">
        <v>81</v>
      </c>
      <c r="D11" s="32" t="s">
        <v>285</v>
      </c>
      <c r="E11" s="28">
        <v>500000</v>
      </c>
      <c r="F11" s="32" t="s">
        <v>83</v>
      </c>
      <c r="G11" s="34" t="s">
        <v>20</v>
      </c>
      <c r="H11" s="35">
        <v>1200000</v>
      </c>
      <c r="I11" s="35">
        <v>500000</v>
      </c>
      <c r="J11" s="28"/>
      <c r="K11" s="36" t="s">
        <v>26</v>
      </c>
      <c r="L11" s="36" t="s">
        <v>27</v>
      </c>
      <c r="M11" s="37"/>
    </row>
    <row r="12" spans="1:13" ht="63" customHeight="1" x14ac:dyDescent="0.35">
      <c r="A12" s="31" t="s">
        <v>92</v>
      </c>
      <c r="B12" s="31" t="s">
        <v>92</v>
      </c>
      <c r="C12" s="32" t="s">
        <v>290</v>
      </c>
      <c r="D12" s="32" t="s">
        <v>285</v>
      </c>
      <c r="E12" s="28">
        <v>500000</v>
      </c>
      <c r="F12" s="32" t="s">
        <v>42</v>
      </c>
      <c r="G12" s="34" t="s">
        <v>20</v>
      </c>
      <c r="H12" s="35">
        <v>1400000</v>
      </c>
      <c r="I12" s="35">
        <v>500000</v>
      </c>
      <c r="J12" s="28">
        <v>458400</v>
      </c>
      <c r="K12" s="36" t="s">
        <v>26</v>
      </c>
      <c r="L12" s="36" t="s">
        <v>27</v>
      </c>
      <c r="M12" s="37"/>
    </row>
    <row r="13" spans="1:13" ht="63" customHeight="1" x14ac:dyDescent="0.35">
      <c r="A13" s="31" t="s">
        <v>92</v>
      </c>
      <c r="B13" s="31" t="s">
        <v>92</v>
      </c>
      <c r="C13" s="32" t="s">
        <v>291</v>
      </c>
      <c r="D13" s="32" t="s">
        <v>285</v>
      </c>
      <c r="E13" s="28">
        <v>500000</v>
      </c>
      <c r="F13" s="32" t="s">
        <v>292</v>
      </c>
      <c r="G13" s="34" t="s">
        <v>20</v>
      </c>
      <c r="H13" s="35">
        <v>500000</v>
      </c>
      <c r="I13" s="35">
        <v>500000</v>
      </c>
      <c r="J13" s="28"/>
      <c r="K13" s="36" t="s">
        <v>26</v>
      </c>
      <c r="L13" s="36" t="s">
        <v>27</v>
      </c>
      <c r="M13" s="37"/>
    </row>
    <row r="14" spans="1:13" ht="63" customHeight="1" x14ac:dyDescent="0.35">
      <c r="A14" s="31" t="s">
        <v>92</v>
      </c>
      <c r="B14" s="31" t="s">
        <v>92</v>
      </c>
      <c r="C14" s="32" t="s">
        <v>293</v>
      </c>
      <c r="D14" s="32" t="s">
        <v>294</v>
      </c>
      <c r="E14" s="28">
        <v>450000</v>
      </c>
      <c r="F14" s="32" t="s">
        <v>69</v>
      </c>
      <c r="G14" s="34" t="s">
        <v>20</v>
      </c>
      <c r="H14" s="35">
        <v>500000</v>
      </c>
      <c r="I14" s="35">
        <v>500000</v>
      </c>
      <c r="J14" s="28">
        <v>57000</v>
      </c>
      <c r="K14" s="36" t="s">
        <v>21</v>
      </c>
      <c r="L14" s="36" t="s">
        <v>27</v>
      </c>
      <c r="M14" s="37"/>
    </row>
    <row r="15" spans="1:13" ht="63" customHeight="1" x14ac:dyDescent="0.35">
      <c r="A15" s="31" t="s">
        <v>92</v>
      </c>
      <c r="B15" s="31" t="s">
        <v>92</v>
      </c>
      <c r="C15" s="32" t="s">
        <v>295</v>
      </c>
      <c r="D15" s="32" t="s">
        <v>285</v>
      </c>
      <c r="E15" s="28">
        <v>70000</v>
      </c>
      <c r="F15" s="32" t="s">
        <v>121</v>
      </c>
      <c r="G15" s="34" t="s">
        <v>20</v>
      </c>
      <c r="H15" s="35">
        <v>500000</v>
      </c>
      <c r="I15" s="35">
        <v>70000</v>
      </c>
      <c r="J15" s="28">
        <v>66216</v>
      </c>
      <c r="K15" s="36" t="s">
        <v>26</v>
      </c>
      <c r="L15" s="36" t="s">
        <v>27</v>
      </c>
      <c r="M15" s="37"/>
    </row>
    <row r="16" spans="1:13" ht="63" customHeight="1" x14ac:dyDescent="0.35">
      <c r="A16" s="31" t="s">
        <v>92</v>
      </c>
      <c r="B16" s="31" t="s">
        <v>92</v>
      </c>
      <c r="C16" s="32" t="s">
        <v>296</v>
      </c>
      <c r="D16" s="32" t="s">
        <v>285</v>
      </c>
      <c r="E16" s="28">
        <v>10000</v>
      </c>
      <c r="F16" s="32" t="s">
        <v>69</v>
      </c>
      <c r="G16" s="34" t="s">
        <v>20</v>
      </c>
      <c r="H16" s="35">
        <v>500000</v>
      </c>
      <c r="I16" s="35">
        <v>500000</v>
      </c>
      <c r="J16" s="28">
        <v>8754</v>
      </c>
      <c r="K16" s="36" t="s">
        <v>26</v>
      </c>
      <c r="L16" s="36" t="s">
        <v>27</v>
      </c>
      <c r="M16" s="37"/>
    </row>
    <row r="17" spans="1:13" ht="63" customHeight="1" x14ac:dyDescent="0.35">
      <c r="A17" s="38" t="s">
        <v>92</v>
      </c>
      <c r="B17" s="38" t="s">
        <v>92</v>
      </c>
      <c r="C17" s="39" t="s">
        <v>297</v>
      </c>
      <c r="D17" s="39" t="s">
        <v>298</v>
      </c>
      <c r="E17" s="40">
        <v>500000</v>
      </c>
      <c r="F17" s="39" t="s">
        <v>45</v>
      </c>
      <c r="G17" s="41" t="s">
        <v>20</v>
      </c>
      <c r="H17" s="42">
        <v>500000</v>
      </c>
      <c r="I17" s="42">
        <v>500000</v>
      </c>
      <c r="J17" s="40">
        <v>238938</v>
      </c>
      <c r="K17" s="43" t="s">
        <v>26</v>
      </c>
      <c r="L17" s="43" t="s">
        <v>22</v>
      </c>
      <c r="M17" s="44"/>
    </row>
    <row r="18" spans="1:13" ht="63" customHeight="1" x14ac:dyDescent="0.35">
      <c r="A18" s="38" t="s">
        <v>92</v>
      </c>
      <c r="B18" s="38" t="s">
        <v>92</v>
      </c>
      <c r="C18" s="39" t="s">
        <v>299</v>
      </c>
      <c r="D18" s="39"/>
      <c r="E18" s="40">
        <v>4500</v>
      </c>
      <c r="F18" s="39" t="s">
        <v>237</v>
      </c>
      <c r="G18" s="41" t="s">
        <v>20</v>
      </c>
      <c r="H18" s="42">
        <v>500000</v>
      </c>
      <c r="I18" s="42">
        <v>4500</v>
      </c>
      <c r="J18" s="40">
        <v>4200</v>
      </c>
      <c r="K18" s="43"/>
      <c r="L18" s="43"/>
      <c r="M18" s="44"/>
    </row>
    <row r="20" spans="1:13" ht="36" customHeight="1" x14ac:dyDescent="0.45">
      <c r="E20" s="25">
        <f>SUM(E4:E18)</f>
        <v>4724500</v>
      </c>
      <c r="J20" s="45">
        <f>SUM(J4:J18)</f>
        <v>1989402.32</v>
      </c>
      <c r="L20" s="46"/>
    </row>
    <row r="26" spans="1:13" x14ac:dyDescent="0.35">
      <c r="K26" s="26"/>
    </row>
    <row r="34" spans="10:10" x14ac:dyDescent="0.35">
      <c r="J34" s="26"/>
    </row>
  </sheetData>
  <autoFilter ref="A3:M18" xr:uid="{00000000-0009-0000-0000-000001000000}"/>
  <mergeCells count="1">
    <mergeCell ref="A1:M1"/>
  </mergeCells>
  <pageMargins left="0.70866141732283472" right="0.70866141732283472" top="0.74803149606299213" bottom="0.74803149606299213" header="0.31496062992125984" footer="0.31496062992125984"/>
  <pageSetup paperSize="9" scale="6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PPA ACHATS 2026</vt:lpstr>
      <vt:lpstr>PPA DPMG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Sobha AJANA</dc:creator>
  <cp:lastModifiedBy>HP</cp:lastModifiedBy>
  <dcterms:created xsi:type="dcterms:W3CDTF">2026-07-20T11:17:49Z</dcterms:created>
  <dcterms:modified xsi:type="dcterms:W3CDTF">2026-07-29T15:04:40Z</dcterms:modified>
</cp:coreProperties>
</file>