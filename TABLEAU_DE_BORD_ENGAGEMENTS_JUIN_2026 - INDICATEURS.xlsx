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200" activeTab="1"/>
  </bookViews>
  <sheets>
    <sheet name="Tableau de Bord" sheetId="1" r:id="rId1"/>
    <sheet name="Achats par Direction" sheetId="2" r:id="rId2"/>
    <sheet name="Données" sheetId="3" r:id="rId3"/>
    <sheet name="DATA_ACHATS" sheetId="4" state="hidden" r:id="rId4"/>
  </sheets>
  <definedNames>
    <definedName name="_xlnm._FilterDatabase" localSheetId="2" hidden="1">Données!$A$1:$D$599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<sst xmlns="http://schemas.openxmlformats.org/spreadsheetml/2006/main" count="4741" uniqueCount="94">
  <si>
    <t>TABLEAU DE BORD DES ENGAGEMENTS BUDGÉTAIRES 2026 — SNRT</t>
  </si>
  <si>
    <t>Montants en MAD TTC — calculés dynamiquement (SUMIFS) depuis la feuille « Données »</t>
  </si>
  <si>
    <t>DIRECTION</t>
  </si>
  <si>
    <t>FONCTIONNEMENT</t>
  </si>
  <si>
    <t>INVESTISSEMENT</t>
  </si>
  <si>
    <t>TOTAL GÉNÉRAL</t>
  </si>
  <si>
    <t>ENGAGE</t>
  </si>
  <si>
    <t>PREENGAGE</t>
  </si>
  <si>
    <t>EN COURS D'ENGAGEMENT</t>
  </si>
  <si>
    <t>EN COURS DE PREENGAGEMENT</t>
  </si>
  <si>
    <t>NON ENGAGE</t>
  </si>
  <si>
    <t>TOTAL FONC.</t>
  </si>
  <si>
    <t>TOTAL INVE.</t>
  </si>
  <si>
    <t>ARRIYADIA</t>
  </si>
  <si>
    <t>ASSADISSA</t>
  </si>
  <si>
    <t>DA</t>
  </si>
  <si>
    <t>DACG</t>
  </si>
  <si>
    <t>DAR</t>
  </si>
  <si>
    <t>DCPA</t>
  </si>
  <si>
    <t>DCRI</t>
  </si>
  <si>
    <t>DG</t>
  </si>
  <si>
    <t>DINFORADIO</t>
  </si>
  <si>
    <t>DINFOTV</t>
  </si>
  <si>
    <t>DJURIDIQUE</t>
  </si>
  <si>
    <t>DMPTV</t>
  </si>
  <si>
    <t>DPMG</t>
  </si>
  <si>
    <t>DPPR</t>
  </si>
  <si>
    <t>DRH</t>
  </si>
  <si>
    <t>DRPSD</t>
  </si>
  <si>
    <t>DTSI</t>
  </si>
  <si>
    <t>MAGHRIBIA</t>
  </si>
  <si>
    <t>TAMAZIGHT</t>
  </si>
  <si>
    <t>TDF -SITES</t>
  </si>
  <si>
    <t>TDF-EXP&amp;MAIN</t>
  </si>
  <si>
    <t>TV LAAYOUNE</t>
  </si>
  <si>
    <t>ANALYSE DES ACHATS PAR DIRECTION &amp; TYPE — SNRT · BUDGET 2026</t>
  </si>
  <si>
    <t>Nombre de lignes &amp; montants TTC (MAD) par type d'achat — calcul dynamique depuis « DATA_ACHATS ». Cliquez sur une direction pour voir sa fiche.</t>
  </si>
  <si>
    <t>LIGNES TOTALES</t>
  </si>
  <si>
    <t>MONTANT TOTAL (MAD)</t>
  </si>
  <si>
    <t>DIRECTIONS</t>
  </si>
  <si>
    <t>MONTANT ENGAGÉ</t>
  </si>
  <si>
    <t>TAUX D'ENGAGEMENT</t>
  </si>
  <si>
    <t>22</t>
  </si>
  <si>
    <t>ACCÈS RAPIDE — CLIQUEZ SUR UNE DIRECTION ▼</t>
  </si>
  <si>
    <t>MATRICE — NOMBRE DE LIGNES &amp; MONTANT (MAD) PAR TYPE D'ACHAT</t>
  </si>
  <si>
    <t>CONTRAT</t>
  </si>
  <si>
    <t>AOO-M</t>
  </si>
  <si>
    <t>AOO-CT</t>
  </si>
  <si>
    <t>BCL</t>
  </si>
  <si>
    <t>BCI</t>
  </si>
  <si>
    <t>TOTAL</t>
  </si>
  <si>
    <t>Nb</t>
  </si>
  <si>
    <t>Montant</t>
  </si>
  <si>
    <t>RÉPARTITION GLOBALE PAR TYPE D'ACHAT</t>
  </si>
  <si>
    <t>TYPE</t>
  </si>
  <si>
    <t>Nb lignes</t>
  </si>
  <si>
    <t>% lignes</t>
  </si>
  <si>
    <t>Montant (MAD)</t>
  </si>
  <si>
    <t>% montant</t>
  </si>
  <si>
    <t>Montant moyen/ligne</t>
  </si>
  <si>
    <t>▌ ARRIYADIA</t>
  </si>
  <si>
    <t>↑ Retour au menu</t>
  </si>
  <si>
    <t>Type d'achat</t>
  </si>
  <si>
    <t>% montant dir.</t>
  </si>
  <si>
    <t>TOTAL DIRECTION</t>
  </si>
  <si>
    <t>Statut →</t>
  </si>
  <si>
    <t>Taux engag.</t>
  </si>
  <si>
    <t>▌ ASSADISSA</t>
  </si>
  <si>
    <t>▌ DA</t>
  </si>
  <si>
    <t>▌ DACG</t>
  </si>
  <si>
    <t>▌ DAR</t>
  </si>
  <si>
    <t>▌ DCPA</t>
  </si>
  <si>
    <t>▌ DCRI</t>
  </si>
  <si>
    <t>▌ DG</t>
  </si>
  <si>
    <t>▌ DINFORADIO</t>
  </si>
  <si>
    <t>▌ DINFOTV</t>
  </si>
  <si>
    <t>▌ DJURIDIQUE</t>
  </si>
  <si>
    <t>▌ DMPTV</t>
  </si>
  <si>
    <t>▌ DPMG</t>
  </si>
  <si>
    <t>▌ DPPR</t>
  </si>
  <si>
    <t>▌ DRH</t>
  </si>
  <si>
    <t>▌ DRPSD</t>
  </si>
  <si>
    <t>▌ DTSI</t>
  </si>
  <si>
    <t>▌ MAGHRIBIA</t>
  </si>
  <si>
    <t>▌ TAMAZIGHT</t>
  </si>
  <si>
    <t>▌ TDF -SITES</t>
  </si>
  <si>
    <t>▌ TDF-EXP&amp;MAIN</t>
  </si>
  <si>
    <t>▌ TV LAAYOUNE</t>
  </si>
  <si>
    <t>NATURE</t>
  </si>
  <si>
    <t>STATUT ENGAGEMENT</t>
  </si>
  <si>
    <t>MONTANT TTC (MAD)</t>
  </si>
  <si>
    <t>STATUT</t>
  </si>
  <si>
    <t>TYPE_ACHAT</t>
  </si>
  <si>
    <t>MONTANT_TTC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</si>
</sst>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  <numFmt numFmtId="178" formatCode="0.0%"/>
  </numFmts>
  <fonts count="40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0"/>
      <color rgb="FFFFFFFF"/>
      <name val="Calibri"/>
      <charset val="134"/>
      <scheme val="minor"/>
    </font>
    <font>
      <b/>
      <sz val="15"/>
      <color rgb="FFFFFFFF"/>
      <name val="Calibri"/>
      <charset val="134"/>
      <scheme val="minor"/>
    </font>
    <font>
      <i/>
      <sz val="9"/>
      <color rgb="FF404040"/>
      <name val="Calibri"/>
      <charset val="134"/>
      <scheme val="minor"/>
    </font>
    <font>
      <b/>
      <sz val="9"/>
      <color rgb="FFFFFFFF"/>
      <name val="Calibri"/>
      <charset val="134"/>
      <scheme val="minor"/>
    </font>
    <font>
      <b/>
      <sz val="13"/>
      <color rgb="FF1F4E79"/>
      <name val="Calibri"/>
      <charset val="134"/>
      <scheme val="minor"/>
    </font>
    <font>
      <b/>
      <sz val="11"/>
      <color rgb="FF1F4E79"/>
      <name val="Calibri"/>
      <charset val="134"/>
      <scheme val="minor"/>
    </font>
    <font>
      <b/>
      <sz val="9"/>
      <color rgb="FF1F4E79"/>
      <name val="Calibri"/>
      <charset val="134"/>
      <scheme val="minor"/>
    </font>
    <font>
      <sz val="9"/>
      <name val="Calibri"/>
      <charset val="134"/>
      <scheme val="minor"/>
    </font>
    <font>
      <sz val="11"/>
      <name val="Calibri"/>
      <charset val="134"/>
      <scheme val="minor"/>
    </font>
    <font>
      <b/>
      <sz val="12"/>
      <color rgb="FFFFFFFF"/>
      <name val="Calibri"/>
      <charset val="134"/>
      <scheme val="minor"/>
    </font>
    <font>
      <i/>
      <sz val="11"/>
      <color rgb="FFFFFFFF"/>
      <name val="Calibri"/>
      <charset val="134"/>
      <scheme val="minor"/>
    </font>
    <font>
      <b/>
      <i/>
      <sz val="11"/>
      <color rgb="FF1F4E79"/>
      <name val="Calibri"/>
      <charset val="134"/>
      <scheme val="minor"/>
    </font>
    <font>
      <sz val="9"/>
      <color rgb="FFFFFFFF"/>
      <name val="Calibri"/>
      <charset val="134"/>
      <scheme val="minor"/>
    </font>
    <font>
      <b/>
      <sz val="14"/>
      <color rgb="FF1F4E79"/>
      <name val="Calibri"/>
      <charset val="134"/>
      <scheme val="minor"/>
    </font>
    <font>
      <b/>
      <sz val="14"/>
      <color rgb="FFFFFFFF"/>
      <name val="Calibri"/>
      <charset val="134"/>
      <scheme val="minor"/>
    </font>
    <font>
      <i/>
      <sz val="10"/>
      <color rgb="FF595959"/>
      <name val="Calibri"/>
      <charset val="134"/>
      <scheme val="minor"/>
    </font>
    <font>
      <b/>
      <sz val="10"/>
      <name val="Calibri"/>
      <charset val="134"/>
      <scheme val="minor"/>
    </font>
    <font>
      <b/>
      <sz val="8"/>
      <color rgb="FFFFFFFF"/>
      <name val="Calibri"/>
      <charset val="134"/>
      <scheme val="minor"/>
    </font>
    <font>
      <b/>
      <sz val="9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BE9D9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 style="medium">
        <color rgb="FF59595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176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177" fontId="0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0" fillId="20" borderId="6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6" fillId="0" borderId="7">
      <alignment vertical="center"/>
    </xf>
    <xf numFmtId="0" fontId="27" fillId="0" borderId="7">
      <alignment vertical="center"/>
    </xf>
    <xf numFmtId="0" fontId="28" fillId="0" borderId="8">
      <alignment vertical="center"/>
    </xf>
    <xf numFmtId="0" fontId="28" fillId="0" borderId="0">
      <alignment vertical="center"/>
    </xf>
    <xf numFmtId="0" fontId="29" fillId="21" borderId="9">
      <alignment vertical="center"/>
    </xf>
    <xf numFmtId="0" fontId="30" fillId="22" borderId="10">
      <alignment vertical="center"/>
    </xf>
    <xf numFmtId="0" fontId="31" fillId="22" borderId="9">
      <alignment vertical="center"/>
    </xf>
    <xf numFmtId="0" fontId="32" fillId="23" borderId="11">
      <alignment vertical="center"/>
    </xf>
    <xf numFmtId="0" fontId="33" fillId="0" borderId="12">
      <alignment vertical="center"/>
    </xf>
    <xf numFmtId="0" fontId="34" fillId="0" borderId="13">
      <alignment vertical="center"/>
    </xf>
    <xf numFmtId="0" fontId="35" fillId="24" borderId="0">
      <alignment vertical="center"/>
    </xf>
    <xf numFmtId="0" fontId="36" fillId="25" borderId="0">
      <alignment vertical="center"/>
    </xf>
    <xf numFmtId="0" fontId="37" fillId="26" borderId="0">
      <alignment vertical="center"/>
    </xf>
    <xf numFmtId="0" fontId="38" fillId="27" borderId="0">
      <alignment vertical="center"/>
    </xf>
    <xf numFmtId="0" fontId="39" fillId="28" borderId="0">
      <alignment vertical="center"/>
    </xf>
    <xf numFmtId="0" fontId="39" fillId="29" borderId="0">
      <alignment vertical="center"/>
    </xf>
    <xf numFmtId="0" fontId="38" fillId="30" borderId="0">
      <alignment vertical="center"/>
    </xf>
    <xf numFmtId="0" fontId="38" fillId="31" borderId="0">
      <alignment vertical="center"/>
    </xf>
    <xf numFmtId="0" fontId="39" fillId="32" borderId="0">
      <alignment vertical="center"/>
    </xf>
    <xf numFmtId="0" fontId="39" fillId="33" borderId="0">
      <alignment vertical="center"/>
    </xf>
    <xf numFmtId="0" fontId="38" fillId="34" borderId="0">
      <alignment vertical="center"/>
    </xf>
    <xf numFmtId="0" fontId="38" fillId="35" borderId="0">
      <alignment vertical="center"/>
    </xf>
    <xf numFmtId="0" fontId="39" fillId="36" borderId="0">
      <alignment vertical="center"/>
    </xf>
    <xf numFmtId="0" fontId="39" fillId="37" borderId="0">
      <alignment vertical="center"/>
    </xf>
    <xf numFmtId="0" fontId="38" fillId="38" borderId="0">
      <alignment vertical="center"/>
    </xf>
    <xf numFmtId="0" fontId="38" fillId="39" borderId="0">
      <alignment vertical="center"/>
    </xf>
    <xf numFmtId="0" fontId="39" fillId="40" borderId="0">
      <alignment vertical="center"/>
    </xf>
    <xf numFmtId="0" fontId="39" fillId="41" borderId="0">
      <alignment vertical="center"/>
    </xf>
    <xf numFmtId="0" fontId="38" fillId="42" borderId="0">
      <alignment vertical="center"/>
    </xf>
    <xf numFmtId="0" fontId="38" fillId="43" borderId="0">
      <alignment vertical="center"/>
    </xf>
    <xf numFmtId="0" fontId="39" fillId="44" borderId="0">
      <alignment vertical="center"/>
    </xf>
    <xf numFmtId="0" fontId="39" fillId="45" borderId="0">
      <alignment vertical="center"/>
    </xf>
    <xf numFmtId="0" fontId="38" fillId="46" borderId="0">
      <alignment vertical="center"/>
    </xf>
    <xf numFmtId="0" fontId="38" fillId="47" borderId="0">
      <alignment vertical="center"/>
    </xf>
    <xf numFmtId="0" fontId="39" fillId="48" borderId="0">
      <alignment vertical="center"/>
    </xf>
    <xf numFmtId="0" fontId="39" fillId="49" borderId="0">
      <alignment vertical="center"/>
    </xf>
    <xf numFmtId="0" fontId="38" fillId="50" borderId="0">
      <alignment vertical="center"/>
    </xf>
  </cellStyleXfs>
  <cellXfs count="83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4" fontId="0" fillId="0" borderId="1" xfId="0" applyNumberFormat="1" applyBorder="1"/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1" fontId="6" fillId="6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/>
    <xf numFmtId="3" fontId="6" fillId="6" borderId="1" xfId="0" applyNumberFormat="1" applyFont="1" applyFill="1" applyBorder="1" applyAlignment="1">
      <alignment horizontal="center" vertical="center" wrapText="1"/>
    </xf>
    <xf numFmtId="178" fontId="6" fillId="6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/>
    <xf numFmtId="0" fontId="1" fillId="9" borderId="1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1" fillId="10" borderId="1" xfId="0" applyFont="1" applyFill="1" applyBorder="1" applyAlignment="1">
      <alignment horizontal="center" vertical="center" wrapText="1"/>
    </xf>
    <xf numFmtId="0" fontId="0" fillId="10" borderId="1" xfId="0" applyFill="1" applyBorder="1"/>
    <xf numFmtId="0" fontId="7" fillId="11" borderId="1" xfId="0" applyFont="1" applyFill="1" applyBorder="1" applyAlignment="1">
      <alignment horizontal="center" vertical="center" wrapText="1"/>
    </xf>
    <xf numFmtId="0" fontId="0" fillId="11" borderId="1" xfId="0" applyFill="1" applyBorder="1"/>
    <xf numFmtId="0" fontId="0" fillId="0" borderId="2" xfId="0" applyBorder="1"/>
    <xf numFmtId="0" fontId="8" fillId="6" borderId="1" xfId="0" applyFont="1" applyFill="1" applyBorder="1" applyAlignment="1">
      <alignment horizontal="left" vertical="center"/>
    </xf>
    <xf numFmtId="1" fontId="9" fillId="0" borderId="1" xfId="0" applyNumberFormat="1" applyFont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right" vertical="center"/>
    </xf>
    <xf numFmtId="1" fontId="8" fillId="12" borderId="1" xfId="0" applyNumberFormat="1" applyFont="1" applyFill="1" applyBorder="1" applyAlignment="1">
      <alignment horizontal="center" vertical="center" wrapText="1"/>
    </xf>
    <xf numFmtId="3" fontId="8" fillId="12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right" vertical="center"/>
    </xf>
    <xf numFmtId="1" fontId="1" fillId="3" borderId="1" xfId="0" applyNumberFormat="1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left" vertical="center"/>
    </xf>
    <xf numFmtId="1" fontId="10" fillId="0" borderId="1" xfId="0" applyNumberFormat="1" applyFont="1" applyBorder="1" applyAlignment="1">
      <alignment horizontal="center" vertical="center" wrapText="1"/>
    </xf>
    <xf numFmtId="178" fontId="10" fillId="0" borderId="1" xfId="0" applyNumberFormat="1" applyFont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right" vertical="center"/>
    </xf>
    <xf numFmtId="0" fontId="1" fillId="7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178" fontId="1" fillId="2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left" vertical="center"/>
    </xf>
    <xf numFmtId="178" fontId="15" fillId="12" borderId="1" xfId="0" applyNumberFormat="1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left" vertical="center"/>
    </xf>
    <xf numFmtId="0" fontId="14" fillId="10" borderId="1" xfId="0" applyFont="1" applyFill="1" applyBorder="1" applyAlignment="1">
      <alignment horizontal="left" vertical="center"/>
    </xf>
    <xf numFmtId="0" fontId="14" fillId="9" borderId="1" xfId="0" applyFont="1" applyFill="1" applyBorder="1" applyAlignment="1">
      <alignment horizontal="left" vertical="center"/>
    </xf>
    <xf numFmtId="0" fontId="14" fillId="13" borderId="1" xfId="0" applyFont="1" applyFill="1" applyBorder="1" applyAlignment="1">
      <alignment horizontal="left" vertical="center"/>
    </xf>
    <xf numFmtId="0" fontId="16" fillId="3" borderId="0" xfId="0" applyFont="1" applyFill="1" applyAlignment="1">
      <alignment horizontal="center" vertical="center"/>
    </xf>
    <xf numFmtId="0" fontId="17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" fillId="9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 wrapText="1"/>
    </xf>
    <xf numFmtId="0" fontId="20" fillId="14" borderId="1" xfId="0" applyFont="1" applyFill="1" applyBorder="1" applyAlignment="1">
      <alignment vertical="center"/>
    </xf>
    <xf numFmtId="4" fontId="9" fillId="15" borderId="1" xfId="0" applyNumberFormat="1" applyFont="1" applyFill="1" applyBorder="1" applyAlignment="1">
      <alignment horizontal="right" vertical="center"/>
    </xf>
    <xf numFmtId="4" fontId="9" fillId="16" borderId="1" xfId="0" applyNumberFormat="1" applyFont="1" applyFill="1" applyBorder="1" applyAlignment="1">
      <alignment horizontal="right" vertical="center"/>
    </xf>
    <xf numFmtId="4" fontId="20" fillId="15" borderId="5" xfId="0" applyNumberFormat="1" applyFont="1" applyFill="1" applyBorder="1" applyAlignment="1">
      <alignment horizontal="right" vertical="center"/>
    </xf>
    <xf numFmtId="4" fontId="9" fillId="17" borderId="1" xfId="0" applyNumberFormat="1" applyFont="1" applyFill="1" applyBorder="1" applyAlignment="1">
      <alignment horizontal="right" vertical="center"/>
    </xf>
    <xf numFmtId="4" fontId="20" fillId="18" borderId="5" xfId="0" applyNumberFormat="1" applyFont="1" applyFill="1" applyBorder="1" applyAlignment="1">
      <alignment horizontal="right" vertical="center"/>
    </xf>
    <xf numFmtId="4" fontId="20" fillId="11" borderId="5" xfId="0" applyNumberFormat="1" applyFont="1" applyFill="1" applyBorder="1" applyAlignment="1">
      <alignment horizontal="right" vertical="center"/>
    </xf>
    <xf numFmtId="4" fontId="20" fillId="19" borderId="5" xfId="0" applyNumberFormat="1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center" vertical="center"/>
    </xf>
    <xf numFmtId="4" fontId="5" fillId="5" borderId="1" xfId="0" applyNumberFormat="1" applyFont="1" applyFill="1" applyBorder="1" applyAlignment="1">
      <alignment horizontal="right" vertical="center"/>
    </xf>
    <xf numFmtId="4" fontId="5" fillId="5" borderId="5" xfId="0" applyNumberFormat="1" applyFont="1" applyFill="1" applyBorder="1" applyAlignment="1">
      <alignment horizontal="right" vertical="center"/>
    </xf>
    <xf numFmtId="4" fontId="5" fillId="9" borderId="1" xfId="0" applyNumberFormat="1" applyFont="1" applyFill="1" applyBorder="1" applyAlignment="1">
      <alignment horizontal="right" vertical="center"/>
    </xf>
    <xf numFmtId="4" fontId="5" fillId="9" borderId="5" xfId="0" applyNumberFormat="1" applyFont="1" applyFill="1" applyBorder="1" applyAlignment="1">
      <alignment horizontal="right" vertical="center"/>
    </xf>
    <xf numFmtId="4" fontId="18" fillId="11" borderId="5" xfId="0" applyNumberFormat="1" applyFont="1" applyFill="1" applyBorder="1" applyAlignment="1">
      <alignment horizontal="right"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tabSelected="1" workbookViewId="0">
      <pane xSplit="1" ySplit="4" topLeftCell="B5" activePane="bottomRight" state="frozen"/>
      <selection/>
      <selection pane="topRight"/>
      <selection pane="bottomLeft"/>
      <selection pane="bottomRight" activeCell="B26" sqref="B26"/>
    </sheetView>
  </sheetViews>
  <sheetFormatPr defaultColWidth="9" defaultRowHeight="14.5"/>
  <cols>
    <col min="1" max="1" width="18" customWidth="1"/>
    <col min="2" max="6" width="15" customWidth="1"/>
    <col min="7" max="7" width="16" customWidth="1"/>
    <col min="8" max="12" width="15" customWidth="1"/>
    <col min="13" max="13" width="16" customWidth="1"/>
    <col min="14" max="14" width="18" customWidth="1"/>
  </cols>
  <sheetData>
    <row r="1" ht="30" customHeight="1" spans="1:14">
      <c r="A1" s="57" t="s">
        <v>0</v>
      </c>
    </row>
    <row r="2" ht="16" customHeight="1" spans="1:14">
      <c r="A2" s="58" t="s">
        <v>1</v>
      </c>
    </row>
    <row r="3" ht="22" customHeight="1" spans="1:14">
      <c r="A3" s="59" t="s">
        <v>2</v>
      </c>
      <c r="B3" s="60" t="s">
        <v>3</v>
      </c>
      <c r="C3" s="61"/>
      <c r="D3" s="61"/>
      <c r="E3" s="61"/>
      <c r="F3" s="61"/>
      <c r="G3" s="62"/>
      <c r="H3" s="63" t="s">
        <v>4</v>
      </c>
      <c r="I3" s="61"/>
      <c r="J3" s="61"/>
      <c r="K3" s="61"/>
      <c r="L3" s="61"/>
      <c r="M3" s="62"/>
      <c r="N3" s="64" t="s">
        <v>5</v>
      </c>
    </row>
    <row r="4" ht="40" customHeight="1" spans="1:14">
      <c r="B4" s="65" t="s">
        <v>6</v>
      </c>
      <c r="C4" s="65" t="s">
        <v>7</v>
      </c>
      <c r="D4" s="65" t="s">
        <v>8</v>
      </c>
      <c r="E4" s="65" t="s">
        <v>9</v>
      </c>
      <c r="F4" s="65" t="s">
        <v>10</v>
      </c>
      <c r="G4" s="66" t="s">
        <v>11</v>
      </c>
      <c r="H4" s="67" t="s">
        <v>6</v>
      </c>
      <c r="I4" s="67" t="s">
        <v>7</v>
      </c>
      <c r="J4" s="67" t="s">
        <v>8</v>
      </c>
      <c r="K4" s="67" t="s">
        <v>9</v>
      </c>
      <c r="L4" s="67" t="s">
        <v>10</v>
      </c>
      <c r="M4" s="68" t="s">
        <v>12</v>
      </c>
      <c r="N4" s="27"/>
    </row>
    <row r="5" ht="18" customHeight="1" spans="1:14">
      <c r="A5" s="69" t="s">
        <v>13</v>
      </c>
      <c r="B5" s="70">
        <f>SUMIFS(Données!$D$2:$D$599,Données!$A$2:$A$599,$A5,Données!$B$2:$B$599,"FONCTIONNEMENT",Données!$C$2:$C$599,"ENGAGE")</f>
        <v>177159086.54</v>
      </c>
      <c r="C5" s="71">
        <f>SUMIFS(Données!$D$2:$D$599,Données!$A$2:$A$599,$A5,Données!$B$2:$B$599,"FONCTIONNEMENT",Données!$C$2:$C$599,"PREENGAGE")</f>
        <v>0</v>
      </c>
      <c r="D5" s="71">
        <f>SUMIFS(Données!$D$2:$D$599,Données!$A$2:$A$599,$A5,Données!$B$2:$B$599,"FONCTIONNEMENT",Données!$C$2:$C$599,"EN COURS D'ENGAGEMENT")</f>
        <v>2776080</v>
      </c>
      <c r="E5" s="71">
        <f>SUMIFS(Données!$D$2:$D$599,Données!$A$2:$A$599,$A5,Données!$B$2:$B$599,"FONCTIONNEMENT",Données!$C$2:$C$599,"EN COURS DE PREENGAGEMENT")</f>
        <v>0</v>
      </c>
      <c r="F5" s="71">
        <f>SUMIFS(Données!$D$2:$D$599,Données!$A$2:$A$599,$A5,Données!$B$2:$B$599,"FONCTIONNEMENT",Données!$C$2:$C$599,"NON ENGAGE")</f>
        <v>0</v>
      </c>
      <c r="G5" s="72">
        <f t="shared" ref="G5:G26" si="0">SUM(B5:F5)</f>
        <v>179935166.54</v>
      </c>
      <c r="H5" s="73">
        <f>SUMIFS(Données!$D$2:$D$599,Données!$A$2:$A$599,$A5,Données!$B$2:$B$599,"INVESTISSEMENT",Données!$C$2:$C$599,"ENGAGE")</f>
        <v>0</v>
      </c>
      <c r="I5" s="73">
        <f>SUMIFS(Données!$D$2:$D$599,Données!$A$2:$A$599,$A5,Données!$B$2:$B$599,"INVESTISSEMENT",Données!$C$2:$C$599,"PREENGAGE")</f>
        <v>0</v>
      </c>
      <c r="J5" s="73">
        <f>SUMIFS(Données!$D$2:$D$599,Données!$A$2:$A$599,$A5,Données!$B$2:$B$599,"INVESTISSEMENT",Données!$C$2:$C$599,"EN COURS D'ENGAGEMENT")</f>
        <v>0</v>
      </c>
      <c r="K5" s="73">
        <f>SUMIFS(Données!$D$2:$D$599,Données!$A$2:$A$599,$A5,Données!$B$2:$B$599,"INVESTISSEMENT",Données!$C$2:$C$599,"EN COURS DE PREENGAGEMENT")</f>
        <v>0</v>
      </c>
      <c r="L5" s="73">
        <f>SUMIFS(Données!$D$2:$D$599,Données!$A$2:$A$599,$A5,Données!$B$2:$B$599,"INVESTISSEMENT",Données!$C$2:$C$599,"NON ENGAGE")</f>
        <v>0</v>
      </c>
      <c r="M5" s="74">
        <f t="shared" ref="M5:M26" si="1">SUM(H5:L5)</f>
        <v>0</v>
      </c>
      <c r="N5" s="75">
        <f t="shared" ref="N5:N26" si="2">G5+M5</f>
        <v>179935166.54</v>
      </c>
    </row>
    <row r="6" ht="18" customHeight="1" spans="1:14">
      <c r="A6" s="69" t="s">
        <v>14</v>
      </c>
      <c r="B6" s="71">
        <f>SUMIFS(Données!$D$2:$D$599,Données!$A$2:$A$599,$A6,Données!$B$2:$B$599,"FONCTIONNEMENT",Données!$C$2:$C$599,"ENGAGE")</f>
        <v>8022706.28</v>
      </c>
      <c r="C6" s="71">
        <f>SUMIFS(Données!$D$2:$D$599,Données!$A$2:$A$599,$A6,Données!$B$2:$B$599,"FONCTIONNEMENT",Données!$C$2:$C$599,"PREENGAGE")</f>
        <v>0</v>
      </c>
      <c r="D6" s="71">
        <f>SUMIFS(Données!$D$2:$D$599,Données!$A$2:$A$599,$A6,Données!$B$2:$B$599,"FONCTIONNEMENT",Données!$C$2:$C$599,"EN COURS D'ENGAGEMENT")</f>
        <v>0</v>
      </c>
      <c r="E6" s="71">
        <f>SUMIFS(Données!$D$2:$D$599,Données!$A$2:$A$599,$A6,Données!$B$2:$B$599,"FONCTIONNEMENT",Données!$C$2:$C$599,"EN COURS DE PREENGAGEMENT")</f>
        <v>0</v>
      </c>
      <c r="F6" s="71">
        <f>SUMIFS(Données!$D$2:$D$599,Données!$A$2:$A$599,$A6,Données!$B$2:$B$599,"FONCTIONNEMENT",Données!$C$2:$C$599,"NON ENGAGE")</f>
        <v>0</v>
      </c>
      <c r="G6" s="76">
        <f t="shared" si="0"/>
        <v>8022706.28</v>
      </c>
      <c r="H6" s="73">
        <f>SUMIFS(Données!$D$2:$D$599,Données!$A$2:$A$599,$A6,Données!$B$2:$B$599,"INVESTISSEMENT",Données!$C$2:$C$599,"ENGAGE")</f>
        <v>0</v>
      </c>
      <c r="I6" s="73">
        <f>SUMIFS(Données!$D$2:$D$599,Données!$A$2:$A$599,$A6,Données!$B$2:$B$599,"INVESTISSEMENT",Données!$C$2:$C$599,"PREENGAGE")</f>
        <v>0</v>
      </c>
      <c r="J6" s="73">
        <f>SUMIFS(Données!$D$2:$D$599,Données!$A$2:$A$599,$A6,Données!$B$2:$B$599,"INVESTISSEMENT",Données!$C$2:$C$599,"EN COURS D'ENGAGEMENT")</f>
        <v>0</v>
      </c>
      <c r="K6" s="73">
        <f>SUMIFS(Données!$D$2:$D$599,Données!$A$2:$A$599,$A6,Données!$B$2:$B$599,"INVESTISSEMENT",Données!$C$2:$C$599,"EN COURS DE PREENGAGEMENT")</f>
        <v>0</v>
      </c>
      <c r="L6" s="73">
        <f>SUMIFS(Données!$D$2:$D$599,Données!$A$2:$A$599,$A6,Données!$B$2:$B$599,"INVESTISSEMENT",Données!$C$2:$C$599,"NON ENGAGE")</f>
        <v>0</v>
      </c>
      <c r="M6" s="74">
        <f t="shared" si="1"/>
        <v>0</v>
      </c>
      <c r="N6" s="75">
        <f t="shared" si="2"/>
        <v>8022706.28</v>
      </c>
    </row>
    <row r="7" ht="18" customHeight="1" spans="1:14">
      <c r="A7" s="69" t="s">
        <v>15</v>
      </c>
      <c r="B7" s="71">
        <f>SUMIFS(Données!$D$2:$D$599,Données!$A$2:$A$599,$A7,Données!$B$2:$B$599,"FONCTIONNEMENT",Données!$C$2:$C$599,"ENGAGE")</f>
        <v>427760</v>
      </c>
      <c r="C7" s="71">
        <f>SUMIFS(Données!$D$2:$D$599,Données!$A$2:$A$599,$A7,Données!$B$2:$B$599,"FONCTIONNEMENT",Données!$C$2:$C$599,"PREENGAGE")</f>
        <v>0</v>
      </c>
      <c r="D7" s="71">
        <f>SUMIFS(Données!$D$2:$D$599,Données!$A$2:$A$599,$A7,Données!$B$2:$B$599,"FONCTIONNEMENT",Données!$C$2:$C$599,"EN COURS D'ENGAGEMENT")</f>
        <v>0</v>
      </c>
      <c r="E7" s="71">
        <f>SUMIFS(Données!$D$2:$D$599,Données!$A$2:$A$599,$A7,Données!$B$2:$B$599,"FONCTIONNEMENT",Données!$C$2:$C$599,"EN COURS DE PREENGAGEMENT")</f>
        <v>0</v>
      </c>
      <c r="F7" s="71">
        <f>SUMIFS(Données!$D$2:$D$599,Données!$A$2:$A$599,$A7,Données!$B$2:$B$599,"FONCTIONNEMENT",Données!$C$2:$C$599,"NON ENGAGE")</f>
        <v>0</v>
      </c>
      <c r="G7" s="76">
        <f t="shared" si="0"/>
        <v>427760</v>
      </c>
      <c r="H7" s="73">
        <f>SUMIFS(Données!$D$2:$D$599,Données!$A$2:$A$599,$A7,Données!$B$2:$B$599,"INVESTISSEMENT",Données!$C$2:$C$599,"ENGAGE")</f>
        <v>0</v>
      </c>
      <c r="I7" s="73">
        <f>SUMIFS(Données!$D$2:$D$599,Données!$A$2:$A$599,$A7,Données!$B$2:$B$599,"INVESTISSEMENT",Données!$C$2:$C$599,"PREENGAGE")</f>
        <v>0</v>
      </c>
      <c r="J7" s="73">
        <f>SUMIFS(Données!$D$2:$D$599,Données!$A$2:$A$599,$A7,Données!$B$2:$B$599,"INVESTISSEMENT",Données!$C$2:$C$599,"EN COURS D'ENGAGEMENT")</f>
        <v>0</v>
      </c>
      <c r="K7" s="73">
        <f>SUMIFS(Données!$D$2:$D$599,Données!$A$2:$A$599,$A7,Données!$B$2:$B$599,"INVESTISSEMENT",Données!$C$2:$C$599,"EN COURS DE PREENGAGEMENT")</f>
        <v>0</v>
      </c>
      <c r="L7" s="73">
        <f>SUMIFS(Données!$D$2:$D$599,Données!$A$2:$A$599,$A7,Données!$B$2:$B$599,"INVESTISSEMENT",Données!$C$2:$C$599,"NON ENGAGE")</f>
        <v>0</v>
      </c>
      <c r="M7" s="74">
        <f t="shared" si="1"/>
        <v>0</v>
      </c>
      <c r="N7" s="75">
        <f t="shared" si="2"/>
        <v>427760</v>
      </c>
    </row>
    <row r="8" ht="18" customHeight="1" spans="1:14">
      <c r="A8" s="69" t="s">
        <v>16</v>
      </c>
      <c r="B8" s="71">
        <f>SUMIFS(Données!$D$2:$D$599,Données!$A$2:$A$599,$A8,Données!$B$2:$B$599,"FONCTIONNEMENT",Données!$C$2:$C$599,"ENGAGE")</f>
        <v>318500</v>
      </c>
      <c r="C8" s="71">
        <f>SUMIFS(Données!$D$2:$D$599,Données!$A$2:$A$599,$A8,Données!$B$2:$B$599,"FONCTIONNEMENT",Données!$C$2:$C$599,"PREENGAGE")</f>
        <v>0</v>
      </c>
      <c r="D8" s="71">
        <f>SUMIFS(Données!$D$2:$D$599,Données!$A$2:$A$599,$A8,Données!$B$2:$B$599,"FONCTIONNEMENT",Données!$C$2:$C$599,"EN COURS D'ENGAGEMENT")</f>
        <v>0</v>
      </c>
      <c r="E8" s="71">
        <f>SUMIFS(Données!$D$2:$D$599,Données!$A$2:$A$599,$A8,Données!$B$2:$B$599,"FONCTIONNEMENT",Données!$C$2:$C$599,"EN COURS DE PREENGAGEMENT")</f>
        <v>0</v>
      </c>
      <c r="F8" s="71">
        <f>SUMIFS(Données!$D$2:$D$599,Données!$A$2:$A$599,$A8,Données!$B$2:$B$599,"FONCTIONNEMENT",Données!$C$2:$C$599,"NON ENGAGE")</f>
        <v>0</v>
      </c>
      <c r="G8" s="76">
        <f t="shared" si="0"/>
        <v>318500</v>
      </c>
      <c r="H8" s="73">
        <f>SUMIFS(Données!$D$2:$D$599,Données!$A$2:$A$599,$A8,Données!$B$2:$B$599,"INVESTISSEMENT",Données!$C$2:$C$599,"ENGAGE")</f>
        <v>0</v>
      </c>
      <c r="I8" s="73">
        <f>SUMIFS(Données!$D$2:$D$599,Données!$A$2:$A$599,$A8,Données!$B$2:$B$599,"INVESTISSEMENT",Données!$C$2:$C$599,"PREENGAGE")</f>
        <v>0</v>
      </c>
      <c r="J8" s="73">
        <f>SUMIFS(Données!$D$2:$D$599,Données!$A$2:$A$599,$A8,Données!$B$2:$B$599,"INVESTISSEMENT",Données!$C$2:$C$599,"EN COURS D'ENGAGEMENT")</f>
        <v>0</v>
      </c>
      <c r="K8" s="73">
        <f>SUMIFS(Données!$D$2:$D$599,Données!$A$2:$A$599,$A8,Données!$B$2:$B$599,"INVESTISSEMENT",Données!$C$2:$C$599,"EN COURS DE PREENGAGEMENT")</f>
        <v>0</v>
      </c>
      <c r="L8" s="73">
        <f>SUMIFS(Données!$D$2:$D$599,Données!$A$2:$A$599,$A8,Données!$B$2:$B$599,"INVESTISSEMENT",Données!$C$2:$C$599,"NON ENGAGE")</f>
        <v>0</v>
      </c>
      <c r="M8" s="74">
        <f t="shared" si="1"/>
        <v>0</v>
      </c>
      <c r="N8" s="75">
        <f t="shared" si="2"/>
        <v>318500</v>
      </c>
    </row>
    <row r="9" ht="18" customHeight="1" spans="1:14">
      <c r="A9" s="69" t="s">
        <v>17</v>
      </c>
      <c r="B9" s="71">
        <f>SUMIFS(Données!$D$2:$D$599,Données!$A$2:$A$599,$A9,Données!$B$2:$B$599,"FONCTIONNEMENT",Données!$C$2:$C$599,"ENGAGE")</f>
        <v>108000</v>
      </c>
      <c r="C9" s="71">
        <f>SUMIFS(Données!$D$2:$D$599,Données!$A$2:$A$599,$A9,Données!$B$2:$B$599,"FONCTIONNEMENT",Données!$C$2:$C$599,"PREENGAGE")</f>
        <v>0</v>
      </c>
      <c r="D9" s="71">
        <f>SUMIFS(Données!$D$2:$D$599,Données!$A$2:$A$599,$A9,Données!$B$2:$B$599,"FONCTIONNEMENT",Données!$C$2:$C$599,"EN COURS D'ENGAGEMENT")</f>
        <v>0</v>
      </c>
      <c r="E9" s="71">
        <f>SUMIFS(Données!$D$2:$D$599,Données!$A$2:$A$599,$A9,Données!$B$2:$B$599,"FONCTIONNEMENT",Données!$C$2:$C$599,"EN COURS DE PREENGAGEMENT")</f>
        <v>0</v>
      </c>
      <c r="F9" s="71">
        <f>SUMIFS(Données!$D$2:$D$599,Données!$A$2:$A$599,$A9,Données!$B$2:$B$599,"FONCTIONNEMENT",Données!$C$2:$C$599,"NON ENGAGE")</f>
        <v>0</v>
      </c>
      <c r="G9" s="76">
        <f t="shared" si="0"/>
        <v>108000</v>
      </c>
      <c r="H9" s="73">
        <f>SUMIFS(Données!$D$2:$D$599,Données!$A$2:$A$599,$A9,Données!$B$2:$B$599,"INVESTISSEMENT",Données!$C$2:$C$599,"ENGAGE")</f>
        <v>0</v>
      </c>
      <c r="I9" s="73">
        <f>SUMIFS(Données!$D$2:$D$599,Données!$A$2:$A$599,$A9,Données!$B$2:$B$599,"INVESTISSEMENT",Données!$C$2:$C$599,"PREENGAGE")</f>
        <v>0</v>
      </c>
      <c r="J9" s="73">
        <f>SUMIFS(Données!$D$2:$D$599,Données!$A$2:$A$599,$A9,Données!$B$2:$B$599,"INVESTISSEMENT",Données!$C$2:$C$599,"EN COURS D'ENGAGEMENT")</f>
        <v>0</v>
      </c>
      <c r="K9" s="73">
        <f>SUMIFS(Données!$D$2:$D$599,Données!$A$2:$A$599,$A9,Données!$B$2:$B$599,"INVESTISSEMENT",Données!$C$2:$C$599,"EN COURS DE PREENGAGEMENT")</f>
        <v>0</v>
      </c>
      <c r="L9" s="73">
        <f>SUMIFS(Données!$D$2:$D$599,Données!$A$2:$A$599,$A9,Données!$B$2:$B$599,"INVESTISSEMENT",Données!$C$2:$C$599,"NON ENGAGE")</f>
        <v>0</v>
      </c>
      <c r="M9" s="74">
        <f t="shared" si="1"/>
        <v>0</v>
      </c>
      <c r="N9" s="75">
        <f t="shared" si="2"/>
        <v>108000</v>
      </c>
    </row>
    <row r="10" ht="18" customHeight="1" spans="1:14">
      <c r="A10" s="69" t="s">
        <v>18</v>
      </c>
      <c r="B10" s="71">
        <f>SUMIFS(Données!$D$2:$D$599,Données!$A$2:$A$599,$A10,Données!$B$2:$B$599,"FONCTIONNEMENT",Données!$C$2:$C$599,"ENGAGE")</f>
        <v>17321793.52</v>
      </c>
      <c r="C10" s="71">
        <f>SUMIFS(Données!$D$2:$D$599,Données!$A$2:$A$599,$A10,Données!$B$2:$B$599,"FONCTIONNEMENT",Données!$C$2:$C$599,"PREENGAGE")</f>
        <v>0</v>
      </c>
      <c r="D10" s="71">
        <f>SUMIFS(Données!$D$2:$D$599,Données!$A$2:$A$599,$A10,Données!$B$2:$B$599,"FONCTIONNEMENT",Données!$C$2:$C$599,"EN COURS D'ENGAGEMENT")</f>
        <v>0</v>
      </c>
      <c r="E10" s="71">
        <f>SUMIFS(Données!$D$2:$D$599,Données!$A$2:$A$599,$A10,Données!$B$2:$B$599,"FONCTIONNEMENT",Données!$C$2:$C$599,"EN COURS DE PREENGAGEMENT")</f>
        <v>0</v>
      </c>
      <c r="F10" s="71">
        <f>SUMIFS(Données!$D$2:$D$599,Données!$A$2:$A$599,$A10,Données!$B$2:$B$599,"FONCTIONNEMENT",Données!$C$2:$C$599,"NON ENGAGE")</f>
        <v>0</v>
      </c>
      <c r="G10" s="76">
        <f t="shared" si="0"/>
        <v>17321793.52</v>
      </c>
      <c r="H10" s="73">
        <f>SUMIFS(Données!$D$2:$D$599,Données!$A$2:$A$599,$A10,Données!$B$2:$B$599,"INVESTISSEMENT",Données!$C$2:$C$599,"ENGAGE")</f>
        <v>0</v>
      </c>
      <c r="I10" s="73">
        <f>SUMIFS(Données!$D$2:$D$599,Données!$A$2:$A$599,$A10,Données!$B$2:$B$599,"INVESTISSEMENT",Données!$C$2:$C$599,"PREENGAGE")</f>
        <v>0</v>
      </c>
      <c r="J10" s="73">
        <f>SUMIFS(Données!$D$2:$D$599,Données!$A$2:$A$599,$A10,Données!$B$2:$B$599,"INVESTISSEMENT",Données!$C$2:$C$599,"EN COURS D'ENGAGEMENT")</f>
        <v>0</v>
      </c>
      <c r="K10" s="73">
        <f>SUMIFS(Données!$D$2:$D$599,Données!$A$2:$A$599,$A10,Données!$B$2:$B$599,"INVESTISSEMENT",Données!$C$2:$C$599,"EN COURS DE PREENGAGEMENT")</f>
        <v>0</v>
      </c>
      <c r="L10" s="73">
        <f>SUMIFS(Données!$D$2:$D$599,Données!$A$2:$A$599,$A10,Données!$B$2:$B$599,"INVESTISSEMENT",Données!$C$2:$C$599,"NON ENGAGE")</f>
        <v>0</v>
      </c>
      <c r="M10" s="74">
        <f t="shared" si="1"/>
        <v>0</v>
      </c>
      <c r="N10" s="75">
        <f t="shared" si="2"/>
        <v>17321793.52</v>
      </c>
    </row>
    <row r="11" ht="18" customHeight="1" spans="1:14">
      <c r="A11" s="69" t="s">
        <v>19</v>
      </c>
      <c r="B11" s="71">
        <f>SUMIFS(Données!$D$2:$D$599,Données!$A$2:$A$599,$A11,Données!$B$2:$B$599,"FONCTIONNEMENT",Données!$C$2:$C$599,"ENGAGE")</f>
        <v>318240</v>
      </c>
      <c r="C11" s="71">
        <f>SUMIFS(Données!$D$2:$D$599,Données!$A$2:$A$599,$A11,Données!$B$2:$B$599,"FONCTIONNEMENT",Données!$C$2:$C$599,"PREENGAGE")</f>
        <v>0</v>
      </c>
      <c r="D11" s="71">
        <f>SUMIFS(Données!$D$2:$D$599,Données!$A$2:$A$599,$A11,Données!$B$2:$B$599,"FONCTIONNEMENT",Données!$C$2:$C$599,"EN COURS D'ENGAGEMENT")</f>
        <v>0</v>
      </c>
      <c r="E11" s="71">
        <f>SUMIFS(Données!$D$2:$D$599,Données!$A$2:$A$599,$A11,Données!$B$2:$B$599,"FONCTIONNEMENT",Données!$C$2:$C$599,"EN COURS DE PREENGAGEMENT")</f>
        <v>0</v>
      </c>
      <c r="F11" s="71">
        <f>SUMIFS(Données!$D$2:$D$599,Données!$A$2:$A$599,$A11,Données!$B$2:$B$599,"FONCTIONNEMENT",Données!$C$2:$C$599,"NON ENGAGE")</f>
        <v>0</v>
      </c>
      <c r="G11" s="76">
        <f t="shared" si="0"/>
        <v>318240</v>
      </c>
      <c r="H11" s="73">
        <f>SUMIFS(Données!$D$2:$D$599,Données!$A$2:$A$599,$A11,Données!$B$2:$B$599,"INVESTISSEMENT",Données!$C$2:$C$599,"ENGAGE")</f>
        <v>0</v>
      </c>
      <c r="I11" s="73">
        <f>SUMIFS(Données!$D$2:$D$599,Données!$A$2:$A$599,$A11,Données!$B$2:$B$599,"INVESTISSEMENT",Données!$C$2:$C$599,"PREENGAGE")</f>
        <v>0</v>
      </c>
      <c r="J11" s="73">
        <f>SUMIFS(Données!$D$2:$D$599,Données!$A$2:$A$599,$A11,Données!$B$2:$B$599,"INVESTISSEMENT",Données!$C$2:$C$599,"EN COURS D'ENGAGEMENT")</f>
        <v>0</v>
      </c>
      <c r="K11" s="73">
        <f>SUMIFS(Données!$D$2:$D$599,Données!$A$2:$A$599,$A11,Données!$B$2:$B$599,"INVESTISSEMENT",Données!$C$2:$C$599,"EN COURS DE PREENGAGEMENT")</f>
        <v>0</v>
      </c>
      <c r="L11" s="73">
        <f>SUMIFS(Données!$D$2:$D$599,Données!$A$2:$A$599,$A11,Données!$B$2:$B$599,"INVESTISSEMENT",Données!$C$2:$C$599,"NON ENGAGE")</f>
        <v>0</v>
      </c>
      <c r="M11" s="74">
        <f t="shared" si="1"/>
        <v>0</v>
      </c>
      <c r="N11" s="75">
        <f t="shared" si="2"/>
        <v>318240</v>
      </c>
    </row>
    <row r="12" ht="18" customHeight="1" spans="1:14">
      <c r="A12" s="69" t="s">
        <v>20</v>
      </c>
      <c r="B12" s="71">
        <f>SUMIFS(Données!$D$2:$D$599,Données!$A$2:$A$599,$A12,Données!$B$2:$B$599,"FONCTIONNEMENT",Données!$C$2:$C$599,"ENGAGE")</f>
        <v>576000</v>
      </c>
      <c r="C12" s="71">
        <f>SUMIFS(Données!$D$2:$D$599,Données!$A$2:$A$599,$A12,Données!$B$2:$B$599,"FONCTIONNEMENT",Données!$C$2:$C$599,"PREENGAGE")</f>
        <v>0</v>
      </c>
      <c r="D12" s="71">
        <f>SUMIFS(Données!$D$2:$D$599,Données!$A$2:$A$599,$A12,Données!$B$2:$B$599,"FONCTIONNEMENT",Données!$C$2:$C$599,"EN COURS D'ENGAGEMENT")</f>
        <v>0</v>
      </c>
      <c r="E12" s="71">
        <f>SUMIFS(Données!$D$2:$D$599,Données!$A$2:$A$599,$A12,Données!$B$2:$B$599,"FONCTIONNEMENT",Données!$C$2:$C$599,"EN COURS DE PREENGAGEMENT")</f>
        <v>0</v>
      </c>
      <c r="F12" s="71">
        <f>SUMIFS(Données!$D$2:$D$599,Données!$A$2:$A$599,$A12,Données!$B$2:$B$599,"FONCTIONNEMENT",Données!$C$2:$C$599,"NON ENGAGE")</f>
        <v>0</v>
      </c>
      <c r="G12" s="76">
        <f t="shared" si="0"/>
        <v>576000</v>
      </c>
      <c r="H12" s="73">
        <f>SUMIFS(Données!$D$2:$D$599,Données!$A$2:$A$599,$A12,Données!$B$2:$B$599,"INVESTISSEMENT",Données!$C$2:$C$599,"ENGAGE")</f>
        <v>0</v>
      </c>
      <c r="I12" s="73">
        <f>SUMIFS(Données!$D$2:$D$599,Données!$A$2:$A$599,$A12,Données!$B$2:$B$599,"INVESTISSEMENT",Données!$C$2:$C$599,"PREENGAGE")</f>
        <v>0</v>
      </c>
      <c r="J12" s="73">
        <f>SUMIFS(Données!$D$2:$D$599,Données!$A$2:$A$599,$A12,Données!$B$2:$B$599,"INVESTISSEMENT",Données!$C$2:$C$599,"EN COURS D'ENGAGEMENT")</f>
        <v>0</v>
      </c>
      <c r="K12" s="73">
        <f>SUMIFS(Données!$D$2:$D$599,Données!$A$2:$A$599,$A12,Données!$B$2:$B$599,"INVESTISSEMENT",Données!$C$2:$C$599,"EN COURS DE PREENGAGEMENT")</f>
        <v>0</v>
      </c>
      <c r="L12" s="73">
        <f>SUMIFS(Données!$D$2:$D$599,Données!$A$2:$A$599,$A12,Données!$B$2:$B$599,"INVESTISSEMENT",Données!$C$2:$C$599,"NON ENGAGE")</f>
        <v>0</v>
      </c>
      <c r="M12" s="74">
        <f t="shared" si="1"/>
        <v>0</v>
      </c>
      <c r="N12" s="75">
        <f t="shared" si="2"/>
        <v>576000</v>
      </c>
    </row>
    <row r="13" ht="18" customHeight="1" spans="1:14">
      <c r="A13" s="69" t="s">
        <v>21</v>
      </c>
      <c r="B13" s="70">
        <f>SUMIFS(Données!$D$2:$D$599,Données!$A$2:$A$599,$A13,Données!$B$2:$B$599,"FONCTIONNEMENT",Données!$C$2:$C$599,"ENGAGE")</f>
        <v>2648832.52</v>
      </c>
      <c r="C13" s="71">
        <f>SUMIFS(Données!$D$2:$D$599,Données!$A$2:$A$599,$A13,Données!$B$2:$B$599,"FONCTIONNEMENT",Données!$C$2:$C$599,"PREENGAGE")</f>
        <v>0</v>
      </c>
      <c r="D13" s="71">
        <f>SUMIFS(Données!$D$2:$D$599,Données!$A$2:$A$599,$A13,Données!$B$2:$B$599,"FONCTIONNEMENT",Données!$C$2:$C$599,"EN COURS D'ENGAGEMENT")</f>
        <v>0</v>
      </c>
      <c r="E13" s="71">
        <f>SUMIFS(Données!$D$2:$D$599,Données!$A$2:$A$599,$A13,Données!$B$2:$B$599,"FONCTIONNEMENT",Données!$C$2:$C$599,"EN COURS DE PREENGAGEMENT")</f>
        <v>0</v>
      </c>
      <c r="F13" s="71">
        <f>SUMIFS(Données!$D$2:$D$599,Données!$A$2:$A$599,$A13,Données!$B$2:$B$599,"FONCTIONNEMENT",Données!$C$2:$C$599,"NON ENGAGE")</f>
        <v>0</v>
      </c>
      <c r="G13" s="76">
        <f t="shared" si="0"/>
        <v>2648832.52</v>
      </c>
      <c r="H13" s="73">
        <f>SUMIFS(Données!$D$2:$D$599,Données!$A$2:$A$599,$A13,Données!$B$2:$B$599,"INVESTISSEMENT",Données!$C$2:$C$599,"ENGAGE")</f>
        <v>0</v>
      </c>
      <c r="I13" s="73">
        <f>SUMIFS(Données!$D$2:$D$599,Données!$A$2:$A$599,$A13,Données!$B$2:$B$599,"INVESTISSEMENT",Données!$C$2:$C$599,"PREENGAGE")</f>
        <v>0</v>
      </c>
      <c r="J13" s="73">
        <f>SUMIFS(Données!$D$2:$D$599,Données!$A$2:$A$599,$A13,Données!$B$2:$B$599,"INVESTISSEMENT",Données!$C$2:$C$599,"EN COURS D'ENGAGEMENT")</f>
        <v>0</v>
      </c>
      <c r="K13" s="73">
        <f>SUMIFS(Données!$D$2:$D$599,Données!$A$2:$A$599,$A13,Données!$B$2:$B$599,"INVESTISSEMENT",Données!$C$2:$C$599,"EN COURS DE PREENGAGEMENT")</f>
        <v>0</v>
      </c>
      <c r="L13" s="73">
        <f>SUMIFS(Données!$D$2:$D$599,Données!$A$2:$A$599,$A13,Données!$B$2:$B$599,"INVESTISSEMENT",Données!$C$2:$C$599,"NON ENGAGE")</f>
        <v>0</v>
      </c>
      <c r="M13" s="74">
        <f t="shared" si="1"/>
        <v>0</v>
      </c>
      <c r="N13" s="75">
        <f t="shared" si="2"/>
        <v>2648832.52</v>
      </c>
    </row>
    <row r="14" ht="18" customHeight="1" spans="1:14">
      <c r="A14" s="69" t="s">
        <v>22</v>
      </c>
      <c r="B14" s="70">
        <f>SUMIFS(Données!$D$2:$D$599,Données!$A$2:$A$599,$A14,Données!$B$2:$B$599,"FONCTIONNEMENT",Données!$C$2:$C$599,"ENGAGE")</f>
        <v>10711701.33</v>
      </c>
      <c r="C14" s="70">
        <f>SUMIFS(Données!$D$2:$D$599,Données!$A$2:$A$599,$A14,Données!$B$2:$B$599,"FONCTIONNEMENT",Données!$C$2:$C$599,"PREENGAGE")</f>
        <v>76464</v>
      </c>
      <c r="D14" s="71">
        <f>SUMIFS(Données!$D$2:$D$599,Données!$A$2:$A$599,$A14,Données!$B$2:$B$599,"FONCTIONNEMENT",Données!$C$2:$C$599,"EN COURS D'ENGAGEMENT")</f>
        <v>0</v>
      </c>
      <c r="E14" s="71">
        <f>SUMIFS(Données!$D$2:$D$599,Données!$A$2:$A$599,$A14,Données!$B$2:$B$599,"FONCTIONNEMENT",Données!$C$2:$C$599,"EN COURS DE PREENGAGEMENT")</f>
        <v>0</v>
      </c>
      <c r="F14" s="71">
        <f>SUMIFS(Données!$D$2:$D$599,Données!$A$2:$A$599,$A14,Données!$B$2:$B$599,"FONCTIONNEMENT",Données!$C$2:$C$599,"NON ENGAGE")</f>
        <v>0</v>
      </c>
      <c r="G14" s="76">
        <f t="shared" si="0"/>
        <v>10788165.33</v>
      </c>
      <c r="H14" s="73">
        <f>SUMIFS(Données!$D$2:$D$599,Données!$A$2:$A$599,$A14,Données!$B$2:$B$599,"INVESTISSEMENT",Données!$C$2:$C$599,"ENGAGE")</f>
        <v>0</v>
      </c>
      <c r="I14" s="73">
        <f>SUMIFS(Données!$D$2:$D$599,Données!$A$2:$A$599,$A14,Données!$B$2:$B$599,"INVESTISSEMENT",Données!$C$2:$C$599,"PREENGAGE")</f>
        <v>0</v>
      </c>
      <c r="J14" s="73">
        <f>SUMIFS(Données!$D$2:$D$599,Données!$A$2:$A$599,$A14,Données!$B$2:$B$599,"INVESTISSEMENT",Données!$C$2:$C$599,"EN COURS D'ENGAGEMENT")</f>
        <v>0</v>
      </c>
      <c r="K14" s="73">
        <f>SUMIFS(Données!$D$2:$D$599,Données!$A$2:$A$599,$A14,Données!$B$2:$B$599,"INVESTISSEMENT",Données!$C$2:$C$599,"EN COURS DE PREENGAGEMENT")</f>
        <v>0</v>
      </c>
      <c r="L14" s="73">
        <f>SUMIFS(Données!$D$2:$D$599,Données!$A$2:$A$599,$A14,Données!$B$2:$B$599,"INVESTISSEMENT",Données!$C$2:$C$599,"NON ENGAGE")</f>
        <v>0</v>
      </c>
      <c r="M14" s="74">
        <f t="shared" si="1"/>
        <v>0</v>
      </c>
      <c r="N14" s="75">
        <f t="shared" si="2"/>
        <v>10788165.33</v>
      </c>
    </row>
    <row r="15" ht="18" customHeight="1" spans="1:14">
      <c r="A15" s="69" t="s">
        <v>23</v>
      </c>
      <c r="B15" s="71">
        <f>SUMIFS(Données!$D$2:$D$599,Données!$A$2:$A$599,$A15,Données!$B$2:$B$599,"FONCTIONNEMENT",Données!$C$2:$C$599,"ENGAGE")</f>
        <v>8551887.69</v>
      </c>
      <c r="C15" s="71">
        <f>SUMIFS(Données!$D$2:$D$599,Données!$A$2:$A$599,$A15,Données!$B$2:$B$599,"FONCTIONNEMENT",Données!$C$2:$C$599,"PREENGAGE")</f>
        <v>0</v>
      </c>
      <c r="D15" s="71">
        <f>SUMIFS(Données!$D$2:$D$599,Données!$A$2:$A$599,$A15,Données!$B$2:$B$599,"FONCTIONNEMENT",Données!$C$2:$C$599,"EN COURS D'ENGAGEMENT")</f>
        <v>0</v>
      </c>
      <c r="E15" s="71">
        <f>SUMIFS(Données!$D$2:$D$599,Données!$A$2:$A$599,$A15,Données!$B$2:$B$599,"FONCTIONNEMENT",Données!$C$2:$C$599,"EN COURS DE PREENGAGEMENT")</f>
        <v>0</v>
      </c>
      <c r="F15" s="71">
        <f>SUMIFS(Données!$D$2:$D$599,Données!$A$2:$A$599,$A15,Données!$B$2:$B$599,"FONCTIONNEMENT",Données!$C$2:$C$599,"NON ENGAGE")</f>
        <v>0</v>
      </c>
      <c r="G15" s="76">
        <f t="shared" si="0"/>
        <v>8551887.69</v>
      </c>
      <c r="H15" s="73">
        <f>SUMIFS(Données!$D$2:$D$599,Données!$A$2:$A$599,$A15,Données!$B$2:$B$599,"INVESTISSEMENT",Données!$C$2:$C$599,"ENGAGE")</f>
        <v>0</v>
      </c>
      <c r="I15" s="73">
        <f>SUMIFS(Données!$D$2:$D$599,Données!$A$2:$A$599,$A15,Données!$B$2:$B$599,"INVESTISSEMENT",Données!$C$2:$C$599,"PREENGAGE")</f>
        <v>0</v>
      </c>
      <c r="J15" s="73">
        <f>SUMIFS(Données!$D$2:$D$599,Données!$A$2:$A$599,$A15,Données!$B$2:$B$599,"INVESTISSEMENT",Données!$C$2:$C$599,"EN COURS D'ENGAGEMENT")</f>
        <v>0</v>
      </c>
      <c r="K15" s="73">
        <f>SUMIFS(Données!$D$2:$D$599,Données!$A$2:$A$599,$A15,Données!$B$2:$B$599,"INVESTISSEMENT",Données!$C$2:$C$599,"EN COURS DE PREENGAGEMENT")</f>
        <v>0</v>
      </c>
      <c r="L15" s="73">
        <f>SUMIFS(Données!$D$2:$D$599,Données!$A$2:$A$599,$A15,Données!$B$2:$B$599,"INVESTISSEMENT",Données!$C$2:$C$599,"NON ENGAGE")</f>
        <v>0</v>
      </c>
      <c r="M15" s="74">
        <f t="shared" si="1"/>
        <v>0</v>
      </c>
      <c r="N15" s="75">
        <f t="shared" si="2"/>
        <v>8551887.69</v>
      </c>
    </row>
    <row r="16" ht="18" customHeight="1" spans="1:14">
      <c r="A16" s="69" t="s">
        <v>24</v>
      </c>
      <c r="B16" s="71">
        <f>SUMIFS(Données!$D$2:$D$599,Données!$A$2:$A$599,$A16,Données!$B$2:$B$599,"FONCTIONNEMENT",Données!$C$2:$C$599,"ENGAGE")</f>
        <v>23694428.21</v>
      </c>
      <c r="C16" s="70">
        <f>SUMIFS(Données!$D$2:$D$599,Données!$A$2:$A$599,$A16,Données!$B$2:$B$599,"FONCTIONNEMENT",Données!$C$2:$C$599,"PREENGAGE")</f>
        <v>0</v>
      </c>
      <c r="D16" s="71">
        <f>SUMIFS(Données!$D$2:$D$599,Données!$A$2:$A$599,$A16,Données!$B$2:$B$599,"FONCTIONNEMENT",Données!$C$2:$C$599,"EN COURS D'ENGAGEMENT")</f>
        <v>0</v>
      </c>
      <c r="E16" s="71">
        <f>SUMIFS(Données!$D$2:$D$599,Données!$A$2:$A$599,$A16,Données!$B$2:$B$599,"FONCTIONNEMENT",Données!$C$2:$C$599,"EN COURS DE PREENGAGEMENT")</f>
        <v>0</v>
      </c>
      <c r="F16" s="71">
        <f>SUMIFS(Données!$D$2:$D$599,Données!$A$2:$A$599,$A16,Données!$B$2:$B$599,"FONCTIONNEMENT",Données!$C$2:$C$599,"NON ENGAGE")</f>
        <v>0</v>
      </c>
      <c r="G16" s="76">
        <f t="shared" si="0"/>
        <v>23694428.21</v>
      </c>
      <c r="H16" s="73">
        <f>SUMIFS(Données!$D$2:$D$599,Données!$A$2:$A$599,$A16,Données!$B$2:$B$599,"INVESTISSEMENT",Données!$C$2:$C$599,"ENGAGE")</f>
        <v>198971.91</v>
      </c>
      <c r="I16" s="73">
        <f>SUMIFS(Données!$D$2:$D$599,Données!$A$2:$A$599,$A16,Données!$B$2:$B$599,"INVESTISSEMENT",Données!$C$2:$C$599,"PREENGAGE")</f>
        <v>0</v>
      </c>
      <c r="J16" s="73">
        <f>SUMIFS(Données!$D$2:$D$599,Données!$A$2:$A$599,$A16,Données!$B$2:$B$599,"INVESTISSEMENT",Données!$C$2:$C$599,"EN COURS D'ENGAGEMENT")</f>
        <v>0</v>
      </c>
      <c r="K16" s="73">
        <f>SUMIFS(Données!$D$2:$D$599,Données!$A$2:$A$599,$A16,Données!$B$2:$B$599,"INVESTISSEMENT",Données!$C$2:$C$599,"EN COURS DE PREENGAGEMENT")</f>
        <v>0</v>
      </c>
      <c r="L16" s="73">
        <f>SUMIFS(Données!$D$2:$D$599,Données!$A$2:$A$599,$A16,Données!$B$2:$B$599,"INVESTISSEMENT",Données!$C$2:$C$599,"NON ENGAGE")</f>
        <v>0</v>
      </c>
      <c r="M16" s="74">
        <f t="shared" si="1"/>
        <v>198971.91</v>
      </c>
      <c r="N16" s="75">
        <f t="shared" si="2"/>
        <v>23893400.12</v>
      </c>
    </row>
    <row r="17" ht="18" customHeight="1" spans="1:14">
      <c r="A17" s="69" t="s">
        <v>25</v>
      </c>
      <c r="B17" s="70">
        <f>SUMIFS(Données!$D$2:$D$599,Données!$A$2:$A$599,$A17,Données!$B$2:$B$599,"FONCTIONNEMENT",Données!$C$2:$C$599,"ENGAGE")</f>
        <v>127717443.56</v>
      </c>
      <c r="C17" s="71">
        <f>SUMIFS(Données!$D$2:$D$599,Données!$A$2:$A$599,$A17,Données!$B$2:$B$599,"FONCTIONNEMENT",Données!$C$2:$C$599,"PREENGAGE")</f>
        <v>0</v>
      </c>
      <c r="D17" s="71">
        <f>SUMIFS(Données!$D$2:$D$599,Données!$A$2:$A$599,$A17,Données!$B$2:$B$599,"FONCTIONNEMENT",Données!$C$2:$C$599,"EN COURS D'ENGAGEMENT")</f>
        <v>304057.2</v>
      </c>
      <c r="E17" s="71">
        <f>SUMIFS(Données!$D$2:$D$599,Données!$A$2:$A$599,$A17,Données!$B$2:$B$599,"FONCTIONNEMENT",Données!$C$2:$C$599,"EN COURS DE PREENGAGEMENT")</f>
        <v>0</v>
      </c>
      <c r="F17" s="71">
        <f>SUMIFS(Données!$D$2:$D$599,Données!$A$2:$A$599,$A17,Données!$B$2:$B$599,"FONCTIONNEMENT",Données!$C$2:$C$599,"NON ENGAGE")</f>
        <v>0</v>
      </c>
      <c r="G17" s="76">
        <f t="shared" si="0"/>
        <v>128021500.76</v>
      </c>
      <c r="H17" s="73">
        <f>SUMIFS(Données!$D$2:$D$599,Données!$A$2:$A$599,$A17,Données!$B$2:$B$599,"INVESTISSEMENT",Données!$C$2:$C$599,"ENGAGE")</f>
        <v>2627305.2</v>
      </c>
      <c r="I17" s="73">
        <f>SUMIFS(Données!$D$2:$D$599,Données!$A$2:$A$599,$A17,Données!$B$2:$B$599,"INVESTISSEMENT",Données!$C$2:$C$599,"PREENGAGE")</f>
        <v>0</v>
      </c>
      <c r="J17" s="73">
        <f>SUMIFS(Données!$D$2:$D$599,Données!$A$2:$A$599,$A17,Données!$B$2:$B$599,"INVESTISSEMENT",Données!$C$2:$C$599,"EN COURS D'ENGAGEMENT")</f>
        <v>111000</v>
      </c>
      <c r="K17" s="73">
        <f>SUMIFS(Données!$D$2:$D$599,Données!$A$2:$A$599,$A17,Données!$B$2:$B$599,"INVESTISSEMENT",Données!$C$2:$C$599,"EN COURS DE PREENGAGEMENT")</f>
        <v>0</v>
      </c>
      <c r="L17" s="73">
        <f>SUMIFS(Données!$D$2:$D$599,Données!$A$2:$A$599,$A17,Données!$B$2:$B$599,"INVESTISSEMENT",Données!$C$2:$C$599,"NON ENGAGE")</f>
        <v>0</v>
      </c>
      <c r="M17" s="74">
        <f t="shared" si="1"/>
        <v>2738305.2</v>
      </c>
      <c r="N17" s="75">
        <f t="shared" si="2"/>
        <v>130759805.96</v>
      </c>
    </row>
    <row r="18" ht="18" customHeight="1" spans="1:14">
      <c r="A18" s="69" t="s">
        <v>26</v>
      </c>
      <c r="B18" s="71">
        <f>SUMIFS(Données!$D$2:$D$599,Données!$A$2:$A$599,$A18,Données!$B$2:$B$599,"FONCTIONNEMENT",Données!$C$2:$C$599,"ENGAGE")</f>
        <v>4202000</v>
      </c>
      <c r="C18" s="71">
        <f>SUMIFS(Données!$D$2:$D$599,Données!$A$2:$A$599,$A18,Données!$B$2:$B$599,"FONCTIONNEMENT",Données!$C$2:$C$599,"PREENGAGE")</f>
        <v>0</v>
      </c>
      <c r="D18" s="71">
        <f>SUMIFS(Données!$D$2:$D$599,Données!$A$2:$A$599,$A18,Données!$B$2:$B$599,"FONCTIONNEMENT",Données!$C$2:$C$599,"EN COURS D'ENGAGEMENT")</f>
        <v>0</v>
      </c>
      <c r="E18" s="71">
        <f>SUMIFS(Données!$D$2:$D$599,Données!$A$2:$A$599,$A18,Données!$B$2:$B$599,"FONCTIONNEMENT",Données!$C$2:$C$599,"EN COURS DE PREENGAGEMENT")</f>
        <v>0</v>
      </c>
      <c r="F18" s="71">
        <f>SUMIFS(Données!$D$2:$D$599,Données!$A$2:$A$599,$A18,Données!$B$2:$B$599,"FONCTIONNEMENT",Données!$C$2:$C$599,"NON ENGAGE")</f>
        <v>0</v>
      </c>
      <c r="G18" s="76">
        <f t="shared" si="0"/>
        <v>4202000</v>
      </c>
      <c r="H18" s="73">
        <f>SUMIFS(Données!$D$2:$D$599,Données!$A$2:$A$599,$A18,Données!$B$2:$B$599,"INVESTISSEMENT",Données!$C$2:$C$599,"ENGAGE")</f>
        <v>0</v>
      </c>
      <c r="I18" s="73">
        <f>SUMIFS(Données!$D$2:$D$599,Données!$A$2:$A$599,$A18,Données!$B$2:$B$599,"INVESTISSEMENT",Données!$C$2:$C$599,"PREENGAGE")</f>
        <v>0</v>
      </c>
      <c r="J18" s="73">
        <f>SUMIFS(Données!$D$2:$D$599,Données!$A$2:$A$599,$A18,Données!$B$2:$B$599,"INVESTISSEMENT",Données!$C$2:$C$599,"EN COURS D'ENGAGEMENT")</f>
        <v>0</v>
      </c>
      <c r="K18" s="73">
        <f>SUMIFS(Données!$D$2:$D$599,Données!$A$2:$A$599,$A18,Données!$B$2:$B$599,"INVESTISSEMENT",Données!$C$2:$C$599,"EN COURS DE PREENGAGEMENT")</f>
        <v>0</v>
      </c>
      <c r="L18" s="73">
        <f>SUMIFS(Données!$D$2:$D$599,Données!$A$2:$A$599,$A18,Données!$B$2:$B$599,"INVESTISSEMENT",Données!$C$2:$C$599,"NON ENGAGE")</f>
        <v>0</v>
      </c>
      <c r="M18" s="74">
        <f t="shared" si="1"/>
        <v>0</v>
      </c>
      <c r="N18" s="75">
        <f t="shared" si="2"/>
        <v>4202000</v>
      </c>
    </row>
    <row r="19" ht="18" customHeight="1" spans="1:14">
      <c r="A19" s="69" t="s">
        <v>27</v>
      </c>
      <c r="B19" s="71">
        <f>SUMIFS(Données!$D$2:$D$599,Données!$A$2:$A$599,$A19,Données!$B$2:$B$599,"FONCTIONNEMENT",Données!$C$2:$C$599,"ENGAGE")</f>
        <v>6948426.1</v>
      </c>
      <c r="C19" s="71">
        <f>SUMIFS(Données!$D$2:$D$599,Données!$A$2:$A$599,$A19,Données!$B$2:$B$599,"FONCTIONNEMENT",Données!$C$2:$C$599,"PREENGAGE")</f>
        <v>0</v>
      </c>
      <c r="D19" s="71">
        <f>SUMIFS(Données!$D$2:$D$599,Données!$A$2:$A$599,$A19,Données!$B$2:$B$599,"FONCTIONNEMENT",Données!$C$2:$C$599,"EN COURS D'ENGAGEMENT")</f>
        <v>0</v>
      </c>
      <c r="E19" s="71">
        <f>SUMIFS(Données!$D$2:$D$599,Données!$A$2:$A$599,$A19,Données!$B$2:$B$599,"FONCTIONNEMENT",Données!$C$2:$C$599,"EN COURS DE PREENGAGEMENT")</f>
        <v>0</v>
      </c>
      <c r="F19" s="71">
        <f>SUMIFS(Données!$D$2:$D$599,Données!$A$2:$A$599,$A19,Données!$B$2:$B$599,"FONCTIONNEMENT",Données!$C$2:$C$599,"NON ENGAGE")</f>
        <v>0</v>
      </c>
      <c r="G19" s="76">
        <f t="shared" si="0"/>
        <v>6948426.1</v>
      </c>
      <c r="H19" s="73">
        <f>SUMIFS(Données!$D$2:$D$599,Données!$A$2:$A$599,$A19,Données!$B$2:$B$599,"INVESTISSEMENT",Données!$C$2:$C$599,"ENGAGE")</f>
        <v>0</v>
      </c>
      <c r="I19" s="73">
        <f>SUMIFS(Données!$D$2:$D$599,Données!$A$2:$A$599,$A19,Données!$B$2:$B$599,"INVESTISSEMENT",Données!$C$2:$C$599,"PREENGAGE")</f>
        <v>0</v>
      </c>
      <c r="J19" s="73">
        <f>SUMIFS(Données!$D$2:$D$599,Données!$A$2:$A$599,$A19,Données!$B$2:$B$599,"INVESTISSEMENT",Données!$C$2:$C$599,"EN COURS D'ENGAGEMENT")</f>
        <v>0</v>
      </c>
      <c r="K19" s="73">
        <f>SUMIFS(Données!$D$2:$D$599,Données!$A$2:$A$599,$A19,Données!$B$2:$B$599,"INVESTISSEMENT",Données!$C$2:$C$599,"EN COURS DE PREENGAGEMENT")</f>
        <v>0</v>
      </c>
      <c r="L19" s="73">
        <f>SUMIFS(Données!$D$2:$D$599,Données!$A$2:$A$599,$A19,Données!$B$2:$B$599,"INVESTISSEMENT",Données!$C$2:$C$599,"NON ENGAGE")</f>
        <v>0</v>
      </c>
      <c r="M19" s="74">
        <f t="shared" si="1"/>
        <v>0</v>
      </c>
      <c r="N19" s="75">
        <f t="shared" si="2"/>
        <v>6948426.1</v>
      </c>
    </row>
    <row r="20" ht="18" customHeight="1" spans="1:14">
      <c r="A20" s="69" t="s">
        <v>28</v>
      </c>
      <c r="B20" s="70">
        <f>SUMIFS(Données!$D$2:$D$599,Données!$A$2:$A$599,$A20,Données!$B$2:$B$599,"FONCTIONNEMENT",Données!$C$2:$C$599,"ENGAGE")</f>
        <v>14382451.23</v>
      </c>
      <c r="C20" s="71">
        <f>SUMIFS(Données!$D$2:$D$599,Données!$A$2:$A$599,$A20,Données!$B$2:$B$599,"FONCTIONNEMENT",Données!$C$2:$C$599,"PREENGAGE")</f>
        <v>0</v>
      </c>
      <c r="D20" s="71">
        <f>SUMIFS(Données!$D$2:$D$599,Données!$A$2:$A$599,$A20,Données!$B$2:$B$599,"FONCTIONNEMENT",Données!$C$2:$C$599,"EN COURS D'ENGAGEMENT")</f>
        <v>350000</v>
      </c>
      <c r="E20" s="71">
        <f>SUMIFS(Données!$D$2:$D$599,Données!$A$2:$A$599,$A20,Données!$B$2:$B$599,"FONCTIONNEMENT",Données!$C$2:$C$599,"EN COURS DE PREENGAGEMENT")</f>
        <v>0</v>
      </c>
      <c r="F20" s="71">
        <f>SUMIFS(Données!$D$2:$D$599,Données!$A$2:$A$599,$A20,Données!$B$2:$B$599,"FONCTIONNEMENT",Données!$C$2:$C$599,"NON ENGAGE")</f>
        <v>0</v>
      </c>
      <c r="G20" s="76">
        <f t="shared" si="0"/>
        <v>14732451.23</v>
      </c>
      <c r="H20" s="73">
        <f>SUMIFS(Données!$D$2:$D$599,Données!$A$2:$A$599,$A20,Données!$B$2:$B$599,"INVESTISSEMENT",Données!$C$2:$C$599,"ENGAGE")</f>
        <v>0</v>
      </c>
      <c r="I20" s="73">
        <f>SUMIFS(Données!$D$2:$D$599,Données!$A$2:$A$599,$A20,Données!$B$2:$B$599,"INVESTISSEMENT",Données!$C$2:$C$599,"PREENGAGE")</f>
        <v>0</v>
      </c>
      <c r="J20" s="73">
        <f>SUMIFS(Données!$D$2:$D$599,Données!$A$2:$A$599,$A20,Données!$B$2:$B$599,"INVESTISSEMENT",Données!$C$2:$C$599,"EN COURS D'ENGAGEMENT")</f>
        <v>0</v>
      </c>
      <c r="K20" s="73">
        <f>SUMIFS(Données!$D$2:$D$599,Données!$A$2:$A$599,$A20,Données!$B$2:$B$599,"INVESTISSEMENT",Données!$C$2:$C$599,"EN COURS DE PREENGAGEMENT")</f>
        <v>0</v>
      </c>
      <c r="L20" s="73">
        <f>SUMIFS(Données!$D$2:$D$599,Données!$A$2:$A$599,$A20,Données!$B$2:$B$599,"INVESTISSEMENT",Données!$C$2:$C$599,"NON ENGAGE")</f>
        <v>0</v>
      </c>
      <c r="M20" s="74">
        <f t="shared" si="1"/>
        <v>0</v>
      </c>
      <c r="N20" s="75">
        <f t="shared" si="2"/>
        <v>14732451.23</v>
      </c>
    </row>
    <row r="21" ht="18" customHeight="1" spans="1:14">
      <c r="A21" s="69" t="s">
        <v>29</v>
      </c>
      <c r="B21" s="70">
        <f>SUMIFS(Données!$D$2:$D$599,Données!$A$2:$A$599,$A21,Données!$B$2:$B$599,"FONCTIONNEMENT",Données!$C$2:$C$599,"ENGAGE")</f>
        <v>8247242.26</v>
      </c>
      <c r="C21" s="71">
        <f>SUMIFS(Données!$D$2:$D$599,Données!$A$2:$A$599,$A21,Données!$B$2:$B$599,"FONCTIONNEMENT",Données!$C$2:$C$599,"PREENGAGE")</f>
        <v>307526.4</v>
      </c>
      <c r="D21" s="71">
        <f>SUMIFS(Données!$D$2:$D$599,Données!$A$2:$A$599,$A21,Données!$B$2:$B$599,"FONCTIONNEMENT",Données!$C$2:$C$599,"EN COURS D'ENGAGEMENT")</f>
        <v>0</v>
      </c>
      <c r="E21" s="71">
        <f>SUMIFS(Données!$D$2:$D$599,Données!$A$2:$A$599,$A21,Données!$B$2:$B$599,"FONCTIONNEMENT",Données!$C$2:$C$599,"EN COURS DE PREENGAGEMENT")</f>
        <v>0</v>
      </c>
      <c r="F21" s="71">
        <f>SUMIFS(Données!$D$2:$D$599,Données!$A$2:$A$599,$A21,Données!$B$2:$B$599,"FONCTIONNEMENT",Données!$C$2:$C$599,"NON ENGAGE")</f>
        <v>96000</v>
      </c>
      <c r="G21" s="76">
        <f t="shared" si="0"/>
        <v>8650768.66</v>
      </c>
      <c r="H21" s="73">
        <f>SUMIFS(Données!$D$2:$D$599,Données!$A$2:$A$599,$A21,Données!$B$2:$B$599,"INVESTISSEMENT",Données!$C$2:$C$599,"ENGAGE")</f>
        <v>2939085.19</v>
      </c>
      <c r="I21" s="73">
        <f>SUMIFS(Données!$D$2:$D$599,Données!$A$2:$A$599,$A21,Données!$B$2:$B$599,"INVESTISSEMENT",Données!$C$2:$C$599,"PREENGAGE")</f>
        <v>2017741.2</v>
      </c>
      <c r="J21" s="73">
        <f>SUMIFS(Données!$D$2:$D$599,Données!$A$2:$A$599,$A21,Données!$B$2:$B$599,"INVESTISSEMENT",Données!$C$2:$C$599,"EN COURS D'ENGAGEMENT")</f>
        <v>412077.77</v>
      </c>
      <c r="K21" s="73">
        <f>SUMIFS(Données!$D$2:$D$599,Données!$A$2:$A$599,$A21,Données!$B$2:$B$599,"INVESTISSEMENT",Données!$C$2:$C$599,"EN COURS DE PREENGAGEMENT")</f>
        <v>0</v>
      </c>
      <c r="L21" s="73">
        <f>SUMIFS(Données!$D$2:$D$599,Données!$A$2:$A$599,$A21,Données!$B$2:$B$599,"INVESTISSEMENT",Données!$C$2:$C$599,"NON ENGAGE")</f>
        <v>0</v>
      </c>
      <c r="M21" s="74">
        <f t="shared" si="1"/>
        <v>5368904.16</v>
      </c>
      <c r="N21" s="75">
        <f t="shared" si="2"/>
        <v>14019672.82</v>
      </c>
    </row>
    <row r="22" ht="18" customHeight="1" spans="1:14">
      <c r="A22" s="69" t="s">
        <v>30</v>
      </c>
      <c r="B22" s="71">
        <f>SUMIFS(Données!$D$2:$D$599,Données!$A$2:$A$599,$A22,Données!$B$2:$B$599,"FONCTIONNEMENT",Données!$C$2:$C$599,"ENGAGE")</f>
        <v>1051200</v>
      </c>
      <c r="C22" s="71">
        <f>SUMIFS(Données!$D$2:$D$599,Données!$A$2:$A$599,$A22,Données!$B$2:$B$599,"FONCTIONNEMENT",Données!$C$2:$C$599,"PREENGAGE")</f>
        <v>0</v>
      </c>
      <c r="D22" s="71">
        <f>SUMIFS(Données!$D$2:$D$599,Données!$A$2:$A$599,$A22,Données!$B$2:$B$599,"FONCTIONNEMENT",Données!$C$2:$C$599,"EN COURS D'ENGAGEMENT")</f>
        <v>0</v>
      </c>
      <c r="E22" s="71">
        <f>SUMIFS(Données!$D$2:$D$599,Données!$A$2:$A$599,$A22,Données!$B$2:$B$599,"FONCTIONNEMENT",Données!$C$2:$C$599,"EN COURS DE PREENGAGEMENT")</f>
        <v>0</v>
      </c>
      <c r="F22" s="71">
        <f>SUMIFS(Données!$D$2:$D$599,Données!$A$2:$A$599,$A22,Données!$B$2:$B$599,"FONCTIONNEMENT",Données!$C$2:$C$599,"NON ENGAGE")</f>
        <v>0</v>
      </c>
      <c r="G22" s="76">
        <f t="shared" si="0"/>
        <v>1051200</v>
      </c>
      <c r="H22" s="73">
        <f>SUMIFS(Données!$D$2:$D$599,Données!$A$2:$A$599,$A22,Données!$B$2:$B$599,"INVESTISSEMENT",Données!$C$2:$C$599,"ENGAGE")</f>
        <v>0</v>
      </c>
      <c r="I22" s="73">
        <f>SUMIFS(Données!$D$2:$D$599,Données!$A$2:$A$599,$A22,Données!$B$2:$B$599,"INVESTISSEMENT",Données!$C$2:$C$599,"PREENGAGE")</f>
        <v>0</v>
      </c>
      <c r="J22" s="73">
        <f>SUMIFS(Données!$D$2:$D$599,Données!$A$2:$A$599,$A22,Données!$B$2:$B$599,"INVESTISSEMENT",Données!$C$2:$C$599,"EN COURS D'ENGAGEMENT")</f>
        <v>0</v>
      </c>
      <c r="K22" s="73">
        <f>SUMIFS(Données!$D$2:$D$599,Données!$A$2:$A$599,$A22,Données!$B$2:$B$599,"INVESTISSEMENT",Données!$C$2:$C$599,"EN COURS DE PREENGAGEMENT")</f>
        <v>0</v>
      </c>
      <c r="L22" s="73">
        <f>SUMIFS(Données!$D$2:$D$599,Données!$A$2:$A$599,$A22,Données!$B$2:$B$599,"INVESTISSEMENT",Données!$C$2:$C$599,"NON ENGAGE")</f>
        <v>0</v>
      </c>
      <c r="M22" s="74">
        <f t="shared" si="1"/>
        <v>0</v>
      </c>
      <c r="N22" s="75">
        <f t="shared" si="2"/>
        <v>1051200</v>
      </c>
    </row>
    <row r="23" ht="18" customHeight="1" spans="1:14">
      <c r="A23" s="69" t="s">
        <v>31</v>
      </c>
      <c r="B23" s="71">
        <f>SUMIFS(Données!$D$2:$D$599,Données!$A$2:$A$599,$A23,Données!$B$2:$B$599,"FONCTIONNEMENT",Données!$C$2:$C$599,"ENGAGE")</f>
        <v>5680171.24</v>
      </c>
      <c r="C23" s="71">
        <f>SUMIFS(Données!$D$2:$D$599,Données!$A$2:$A$599,$A23,Données!$B$2:$B$599,"FONCTIONNEMENT",Données!$C$2:$C$599,"PREENGAGE")</f>
        <v>0</v>
      </c>
      <c r="D23" s="71">
        <f>SUMIFS(Données!$D$2:$D$599,Données!$A$2:$A$599,$A23,Données!$B$2:$B$599,"FONCTIONNEMENT",Données!$C$2:$C$599,"EN COURS D'ENGAGEMENT")</f>
        <v>0</v>
      </c>
      <c r="E23" s="71">
        <f>SUMIFS(Données!$D$2:$D$599,Données!$A$2:$A$599,$A23,Données!$B$2:$B$599,"FONCTIONNEMENT",Données!$C$2:$C$599,"EN COURS DE PREENGAGEMENT")</f>
        <v>0</v>
      </c>
      <c r="F23" s="71">
        <f>SUMIFS(Données!$D$2:$D$599,Données!$A$2:$A$599,$A23,Données!$B$2:$B$599,"FONCTIONNEMENT",Données!$C$2:$C$599,"NON ENGAGE")</f>
        <v>0</v>
      </c>
      <c r="G23" s="76">
        <f t="shared" si="0"/>
        <v>5680171.24</v>
      </c>
      <c r="H23" s="73">
        <f>SUMIFS(Données!$D$2:$D$599,Données!$A$2:$A$599,$A23,Données!$B$2:$B$599,"INVESTISSEMENT",Données!$C$2:$C$599,"ENGAGE")</f>
        <v>0</v>
      </c>
      <c r="I23" s="73">
        <f>SUMIFS(Données!$D$2:$D$599,Données!$A$2:$A$599,$A23,Données!$B$2:$B$599,"INVESTISSEMENT",Données!$C$2:$C$599,"PREENGAGE")</f>
        <v>0</v>
      </c>
      <c r="J23" s="73">
        <f>SUMIFS(Données!$D$2:$D$599,Données!$A$2:$A$599,$A23,Données!$B$2:$B$599,"INVESTISSEMENT",Données!$C$2:$C$599,"EN COURS D'ENGAGEMENT")</f>
        <v>0</v>
      </c>
      <c r="K23" s="73">
        <f>SUMIFS(Données!$D$2:$D$599,Données!$A$2:$A$599,$A23,Données!$B$2:$B$599,"INVESTISSEMENT",Données!$C$2:$C$599,"EN COURS DE PREENGAGEMENT")</f>
        <v>0</v>
      </c>
      <c r="L23" s="73">
        <f>SUMIFS(Données!$D$2:$D$599,Données!$A$2:$A$599,$A23,Données!$B$2:$B$599,"INVESTISSEMENT",Données!$C$2:$C$599,"NON ENGAGE")</f>
        <v>0</v>
      </c>
      <c r="M23" s="74">
        <f t="shared" si="1"/>
        <v>0</v>
      </c>
      <c r="N23" s="75">
        <f t="shared" si="2"/>
        <v>5680171.24</v>
      </c>
    </row>
    <row r="24" ht="18" customHeight="1" spans="1:14">
      <c r="A24" s="69" t="s">
        <v>32</v>
      </c>
      <c r="B24" s="70">
        <f>SUMIFS(Données!$D$2:$D$599,Données!$A$2:$A$599,$A24,Données!$B$2:$B$599,"FONCTIONNEMENT",Données!$C$2:$C$599,"ENGAGE")</f>
        <v>108052693.35</v>
      </c>
      <c r="C24" s="71">
        <f>SUMIFS(Données!$D$2:$D$599,Données!$A$2:$A$599,$A24,Données!$B$2:$B$599,"FONCTIONNEMENT",Données!$C$2:$C$599,"PREENGAGE")</f>
        <v>0</v>
      </c>
      <c r="D24" s="71">
        <f>SUMIFS(Données!$D$2:$D$599,Données!$A$2:$A$599,$A24,Données!$B$2:$B$599,"FONCTIONNEMENT",Données!$C$2:$C$599,"EN COURS D'ENGAGEMENT")</f>
        <v>14000</v>
      </c>
      <c r="E24" s="71">
        <f>SUMIFS(Données!$D$2:$D$599,Données!$A$2:$A$599,$A24,Données!$B$2:$B$599,"FONCTIONNEMENT",Données!$C$2:$C$599,"EN COURS DE PREENGAGEMENT")</f>
        <v>0</v>
      </c>
      <c r="F24" s="71">
        <f>SUMIFS(Données!$D$2:$D$599,Données!$A$2:$A$599,$A24,Données!$B$2:$B$599,"FONCTIONNEMENT",Données!$C$2:$C$599,"NON ENGAGE")</f>
        <v>0</v>
      </c>
      <c r="G24" s="76">
        <f t="shared" si="0"/>
        <v>108066693.35</v>
      </c>
      <c r="H24" s="73">
        <f>SUMIFS(Données!$D$2:$D$599,Données!$A$2:$A$599,$A24,Données!$B$2:$B$599,"INVESTISSEMENT",Données!$C$2:$C$599,"ENGAGE")</f>
        <v>13082365.14</v>
      </c>
      <c r="I24" s="73">
        <f>SUMIFS(Données!$D$2:$D$599,Données!$A$2:$A$599,$A24,Données!$B$2:$B$599,"INVESTISSEMENT",Données!$C$2:$C$599,"PREENGAGE")</f>
        <v>978972</v>
      </c>
      <c r="J24" s="73">
        <f>SUMIFS(Données!$D$2:$D$599,Données!$A$2:$A$599,$A24,Données!$B$2:$B$599,"INVESTISSEMENT",Données!$C$2:$C$599,"EN COURS D'ENGAGEMENT")</f>
        <v>89976</v>
      </c>
      <c r="K24" s="73">
        <f>SUMIFS(Données!$D$2:$D$599,Données!$A$2:$A$599,$A24,Données!$B$2:$B$599,"INVESTISSEMENT",Données!$C$2:$C$599,"EN COURS DE PREENGAGEMENT")</f>
        <v>0</v>
      </c>
      <c r="L24" s="73">
        <f>SUMIFS(Données!$D$2:$D$599,Données!$A$2:$A$599,$A24,Données!$B$2:$B$599,"INVESTISSEMENT",Données!$C$2:$C$599,"NON ENGAGE")</f>
        <v>0</v>
      </c>
      <c r="M24" s="74">
        <f t="shared" si="1"/>
        <v>14151313.14</v>
      </c>
      <c r="N24" s="75">
        <f t="shared" si="2"/>
        <v>122218006.49</v>
      </c>
    </row>
    <row r="25" ht="18" customHeight="1" spans="1:14">
      <c r="A25" s="69" t="s">
        <v>33</v>
      </c>
      <c r="B25" s="70">
        <f>SUMIFS(Données!$D$2:$D$599,Données!$A$2:$A$599,$A25,Données!$B$2:$B$599,"FONCTIONNEMENT",Données!$C$2:$C$599,"ENGAGE")</f>
        <v>0</v>
      </c>
      <c r="C25" s="70">
        <f>SUMIFS(Données!$D$2:$D$599,Données!$A$2:$A$599,$A25,Données!$B$2:$B$599,"FONCTIONNEMENT",Données!$C$2:$C$599,"PREENGAGE")</f>
        <v>832134</v>
      </c>
      <c r="D25" s="70">
        <f>SUMIFS(Données!$D$2:$D$599,Données!$A$2:$A$599,$A25,Données!$B$2:$B$599,"FONCTIONNEMENT",Données!$C$2:$C$599,"EN COURS D'ENGAGEMENT")</f>
        <v>125616</v>
      </c>
      <c r="E25" s="71">
        <f>SUMIFS(Données!$D$2:$D$599,Données!$A$2:$A$599,$A25,Données!$B$2:$B$599,"FONCTIONNEMENT",Données!$C$2:$C$599,"EN COURS DE PREENGAGEMENT")</f>
        <v>0</v>
      </c>
      <c r="F25" s="71">
        <f>SUMIFS(Données!$D$2:$D$599,Données!$A$2:$A$599,$A25,Données!$B$2:$B$599,"FONCTIONNEMENT",Données!$C$2:$C$599,"NON ENGAGE")</f>
        <v>0</v>
      </c>
      <c r="G25" s="76">
        <f t="shared" si="0"/>
        <v>957750</v>
      </c>
      <c r="H25" s="73">
        <f>SUMIFS(Données!$D$2:$D$599,Données!$A$2:$A$599,$A25,Données!$B$2:$B$599,"INVESTISSEMENT",Données!$C$2:$C$599,"ENGAGE")</f>
        <v>2958360</v>
      </c>
      <c r="I25" s="73">
        <f>SUMIFS(Données!$D$2:$D$599,Données!$A$2:$A$599,$A25,Données!$B$2:$B$599,"INVESTISSEMENT",Données!$C$2:$C$599,"PREENGAGE")</f>
        <v>0</v>
      </c>
      <c r="J25" s="73">
        <f>SUMIFS(Données!$D$2:$D$599,Données!$A$2:$A$599,$A25,Données!$B$2:$B$599,"INVESTISSEMENT",Données!$C$2:$C$599,"EN COURS D'ENGAGEMENT")</f>
        <v>0</v>
      </c>
      <c r="K25" s="73">
        <f>SUMIFS(Données!$D$2:$D$599,Données!$A$2:$A$599,$A25,Données!$B$2:$B$599,"INVESTISSEMENT",Données!$C$2:$C$599,"EN COURS DE PREENGAGEMENT")</f>
        <v>0</v>
      </c>
      <c r="L25" s="73">
        <f>SUMIFS(Données!$D$2:$D$599,Données!$A$2:$A$599,$A25,Données!$B$2:$B$599,"INVESTISSEMENT",Données!$C$2:$C$599,"NON ENGAGE")</f>
        <v>0</v>
      </c>
      <c r="M25" s="74">
        <f t="shared" si="1"/>
        <v>2958360</v>
      </c>
      <c r="N25" s="75">
        <f t="shared" si="2"/>
        <v>3916110</v>
      </c>
    </row>
    <row r="26" ht="18" customHeight="1" spans="1:14">
      <c r="A26" s="69" t="s">
        <v>34</v>
      </c>
      <c r="B26" s="71">
        <f>SUMIFS(Données!$D$2:$D$599,Données!$A$2:$A$599,$A26,Données!$B$2:$B$599,"FONCTIONNEMENT",Données!$C$2:$C$599,"ENGAGE")</f>
        <v>22592635.92</v>
      </c>
      <c r="C26" s="71">
        <f>SUMIFS(Données!$D$2:$D$599,Données!$A$2:$A$599,$A26,Données!$B$2:$B$599,"FONCTIONNEMENT",Données!$C$2:$C$599,"PREENGAGE")</f>
        <v>0</v>
      </c>
      <c r="D26" s="71">
        <f>SUMIFS(Données!$D$2:$D$599,Données!$A$2:$A$599,$A26,Données!$B$2:$B$599,"FONCTIONNEMENT",Données!$C$2:$C$599,"EN COURS D'ENGAGEMENT")</f>
        <v>0</v>
      </c>
      <c r="E26" s="71">
        <f>SUMIFS(Données!$D$2:$D$599,Données!$A$2:$A$599,$A26,Données!$B$2:$B$599,"FONCTIONNEMENT",Données!$C$2:$C$599,"EN COURS DE PREENGAGEMENT")</f>
        <v>0</v>
      </c>
      <c r="F26" s="71">
        <f>SUMIFS(Données!$D$2:$D$599,Données!$A$2:$A$599,$A26,Données!$B$2:$B$599,"FONCTIONNEMENT",Données!$C$2:$C$599,"NON ENGAGE")</f>
        <v>0</v>
      </c>
      <c r="G26" s="76">
        <f t="shared" si="0"/>
        <v>22592635.92</v>
      </c>
      <c r="H26" s="73">
        <f>SUMIFS(Données!$D$2:$D$599,Données!$A$2:$A$599,$A26,Données!$B$2:$B$599,"INVESTISSEMENT",Données!$C$2:$C$599,"ENGAGE")</f>
        <v>0</v>
      </c>
      <c r="I26" s="73">
        <f>SUMIFS(Données!$D$2:$D$599,Données!$A$2:$A$599,$A26,Données!$B$2:$B$599,"INVESTISSEMENT",Données!$C$2:$C$599,"PREENGAGE")</f>
        <v>0</v>
      </c>
      <c r="J26" s="73">
        <f>SUMIFS(Données!$D$2:$D$599,Données!$A$2:$A$599,$A26,Données!$B$2:$B$599,"INVESTISSEMENT",Données!$C$2:$C$599,"EN COURS D'ENGAGEMENT")</f>
        <v>0</v>
      </c>
      <c r="K26" s="73">
        <f>SUMIFS(Données!$D$2:$D$599,Données!$A$2:$A$599,$A26,Données!$B$2:$B$599,"INVESTISSEMENT",Données!$C$2:$C$599,"EN COURS DE PREENGAGEMENT")</f>
        <v>0</v>
      </c>
      <c r="L26" s="73">
        <f>SUMIFS(Données!$D$2:$D$599,Données!$A$2:$A$599,$A26,Données!$B$2:$B$599,"INVESTISSEMENT",Données!$C$2:$C$599,"NON ENGAGE")</f>
        <v>0</v>
      </c>
      <c r="M26" s="74">
        <f t="shared" si="1"/>
        <v>0</v>
      </c>
      <c r="N26" s="75">
        <f t="shared" si="2"/>
        <v>22592635.92</v>
      </c>
    </row>
    <row r="27" ht="22" customHeight="1" spans="1:14">
      <c r="A27" s="77" t="s">
        <v>5</v>
      </c>
      <c r="B27" s="78">
        <f t="shared" ref="B27:N27" si="3">SUM(B5:B26)</f>
        <v>548733199.75</v>
      </c>
      <c r="C27" s="78">
        <f t="shared" si="3"/>
        <v>1216124.4</v>
      </c>
      <c r="D27" s="78">
        <f t="shared" si="3"/>
        <v>3569753.2</v>
      </c>
      <c r="E27" s="78">
        <f t="shared" si="3"/>
        <v>0</v>
      </c>
      <c r="F27" s="78">
        <f t="shared" si="3"/>
        <v>96000</v>
      </c>
      <c r="G27" s="79">
        <f t="shared" si="3"/>
        <v>553615077.35</v>
      </c>
      <c r="H27" s="80">
        <f t="shared" si="3"/>
        <v>21806087.44</v>
      </c>
      <c r="I27" s="80">
        <f t="shared" si="3"/>
        <v>2996713.2</v>
      </c>
      <c r="J27" s="80">
        <f t="shared" si="3"/>
        <v>613053.77</v>
      </c>
      <c r="K27" s="80">
        <f t="shared" si="3"/>
        <v>0</v>
      </c>
      <c r="L27" s="80">
        <f t="shared" si="3"/>
        <v>0</v>
      </c>
      <c r="M27" s="81">
        <f t="shared" si="3"/>
        <v>25415854.41</v>
      </c>
      <c r="N27" s="82">
        <f t="shared" si="3"/>
        <v>579030931.76</v>
      </c>
    </row>
  </sheetData>
  <mergeCells count="6">
    <mergeCell ref="A1:N1"/>
    <mergeCell ref="A2:N2"/>
    <mergeCell ref="B3:G3"/>
    <mergeCell ref="H3:M3"/>
    <mergeCell ref="A3:A4"/>
    <mergeCell ref="N3:N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1"/>
  <sheetViews>
    <sheetView showGridLines="0" tabSelected="1" workbookViewId="0">
      <pane ySplit="2" topLeftCell="A3" activePane="bottomLeft" state="frozen"/>
      <selection/>
      <selection pane="bottomLeft" activeCell="A1" sqref="A1:N1"/>
    </sheetView>
  </sheetViews>
  <sheetFormatPr defaultColWidth="9" defaultRowHeight="14.5"/>
  <cols>
    <col min="1" max="1" width="20" customWidth="1"/>
    <col min="2" max="14" width="12" customWidth="1"/>
  </cols>
  <sheetData>
    <row r="1" ht="30" customHeight="1" spans="1:14">
      <c r="A1" s="5" t="s">
        <v>35</v>
      </c>
    </row>
    <row r="2" ht="16" customHeight="1" spans="1:14">
      <c r="A2" s="6" t="s">
        <v>36</v>
      </c>
    </row>
    <row r="4" ht="18" customHeight="1" spans="1:14">
      <c r="A4" s="7" t="s">
        <v>37</v>
      </c>
      <c r="B4" s="8"/>
      <c r="D4" s="7" t="s">
        <v>38</v>
      </c>
      <c r="E4" s="8"/>
      <c r="G4" s="7" t="s">
        <v>39</v>
      </c>
      <c r="H4" s="8"/>
      <c r="J4" s="7" t="s">
        <v>40</v>
      </c>
      <c r="K4" s="8"/>
      <c r="M4" s="7" t="s">
        <v>41</v>
      </c>
      <c r="N4" s="8"/>
    </row>
    <row r="5" ht="26" customHeight="1" spans="1:14">
      <c r="A5" s="9">
        <f>COUNTA(DATA_ACHATS!A2:A599)</f>
        <v>598</v>
      </c>
      <c r="B5" s="10"/>
      <c r="D5" s="11">
        <f>SUM(DATA_ACHATS!E2:E599)</f>
        <v>579030931.753867</v>
      </c>
      <c r="E5" s="10"/>
      <c r="G5" s="9" t="s">
        <v>42</v>
      </c>
      <c r="H5" s="10"/>
      <c r="J5" s="11">
        <f>SUMIFS(DATA_ACHATS!E:E,DATA_ACHATS!C:C,"ENGAGE")</f>
        <v>570539287.183867</v>
      </c>
      <c r="K5" s="10"/>
      <c r="M5" s="12">
        <f>IFERROR(SUMIFS(DATA_ACHATS!E:E,DATA_ACHATS!C:C,"ENGAGE")/SUM(DATA_ACHATS!E2:E599),0)</f>
        <v>0.985334730660625</v>
      </c>
      <c r="N5" s="10"/>
    </row>
    <row r="7" ht="20" customHeight="1" spans="1:14">
      <c r="A7" s="13" t="s">
        <v>43</v>
      </c>
    </row>
    <row r="8" ht="18" customHeight="1" spans="1:14">
      <c r="A8" s="14" t="s">
        <v>13</v>
      </c>
      <c r="D8" s="14" t="s">
        <v>14</v>
      </c>
      <c r="G8" s="14" t="s">
        <v>15</v>
      </c>
      <c r="J8" s="14" t="s">
        <v>16</v>
      </c>
    </row>
    <row r="9" ht="18" customHeight="1" spans="1:14">
      <c r="A9" s="14" t="s">
        <v>17</v>
      </c>
      <c r="D9" s="14" t="s">
        <v>18</v>
      </c>
      <c r="G9" s="14" t="s">
        <v>19</v>
      </c>
      <c r="J9" s="14" t="s">
        <v>20</v>
      </c>
    </row>
    <row r="10" ht="18" customHeight="1" spans="1:14">
      <c r="A10" s="14" t="s">
        <v>21</v>
      </c>
      <c r="D10" s="14" t="s">
        <v>22</v>
      </c>
      <c r="G10" s="14" t="s">
        <v>23</v>
      </c>
      <c r="J10" s="14" t="s">
        <v>24</v>
      </c>
    </row>
    <row r="11" ht="18" customHeight="1" spans="1:14">
      <c r="A11" s="14" t="s">
        <v>25</v>
      </c>
      <c r="D11" s="14" t="s">
        <v>26</v>
      </c>
      <c r="G11" s="14" t="s">
        <v>27</v>
      </c>
      <c r="J11" s="14" t="s">
        <v>28</v>
      </c>
    </row>
    <row r="12" ht="18" customHeight="1" spans="1:14">
      <c r="A12" s="14" t="s">
        <v>29</v>
      </c>
      <c r="D12" s="14" t="s">
        <v>30</v>
      </c>
      <c r="G12" s="14" t="s">
        <v>31</v>
      </c>
      <c r="J12" s="14" t="s">
        <v>32</v>
      </c>
    </row>
    <row r="13" ht="18" customHeight="1" spans="1:14">
      <c r="A13" s="14" t="s">
        <v>33</v>
      </c>
      <c r="D13" s="14" t="s">
        <v>34</v>
      </c>
    </row>
    <row r="15" spans="1:14">
      <c r="A15" s="15" t="s">
        <v>44</v>
      </c>
    </row>
    <row r="16" ht="16" customHeight="1" spans="1:14">
      <c r="A16" s="13" t="s">
        <v>2</v>
      </c>
      <c r="B16" s="16" t="s">
        <v>45</v>
      </c>
      <c r="C16" s="8"/>
      <c r="D16" s="17" t="s">
        <v>46</v>
      </c>
      <c r="E16" s="18"/>
      <c r="F16" s="19" t="s">
        <v>47</v>
      </c>
      <c r="G16" s="20"/>
      <c r="H16" s="21" t="s">
        <v>48</v>
      </c>
      <c r="I16" s="22"/>
      <c r="J16" s="23" t="s">
        <v>49</v>
      </c>
      <c r="K16" s="24"/>
      <c r="L16" s="25" t="s">
        <v>50</v>
      </c>
      <c r="M16" s="26"/>
    </row>
    <row r="17" ht="16" customHeight="1" spans="1:13">
      <c r="A17" s="27"/>
      <c r="B17" s="16" t="s">
        <v>51</v>
      </c>
      <c r="C17" s="16" t="s">
        <v>52</v>
      </c>
      <c r="D17" s="17" t="s">
        <v>51</v>
      </c>
      <c r="E17" s="17" t="s">
        <v>52</v>
      </c>
      <c r="F17" s="19" t="s">
        <v>51</v>
      </c>
      <c r="G17" s="19" t="s">
        <v>52</v>
      </c>
      <c r="H17" s="21" t="s">
        <v>51</v>
      </c>
      <c r="I17" s="21" t="s">
        <v>52</v>
      </c>
      <c r="J17" s="23" t="s">
        <v>51</v>
      </c>
      <c r="K17" s="23" t="s">
        <v>52</v>
      </c>
      <c r="L17" s="25" t="s">
        <v>51</v>
      </c>
      <c r="M17" s="25" t="s">
        <v>52</v>
      </c>
    </row>
    <row r="18" spans="1:13">
      <c r="A18" s="28" t="s">
        <v>13</v>
      </c>
      <c r="B18" s="29">
        <f>COUNTIFS(DATA_ACHATS!$A:$A,$A18,DATA_ACHATS!$D:$D,"CONTRAT")</f>
        <v>73</v>
      </c>
      <c r="C18" s="30">
        <f>SUMIFS(DATA_ACHATS!$E:$E,DATA_ACHATS!$A:$A,$A18,DATA_ACHATS!$D:$D,"CONTRAT")</f>
        <v>179935166.54</v>
      </c>
      <c r="D18" s="29">
        <f>COUNTIFS(DATA_ACHATS!$A:$A,$A18,DATA_ACHATS!$D:$D,"AOO-M")</f>
        <v>0</v>
      </c>
      <c r="E18" s="30">
        <f>SUMIFS(DATA_ACHATS!$E:$E,DATA_ACHATS!$A:$A,$A18,DATA_ACHATS!$D:$D,"AOO-M")</f>
        <v>0</v>
      </c>
      <c r="F18" s="29">
        <f>COUNTIFS(DATA_ACHATS!$A:$A,$A18,DATA_ACHATS!$D:$D,"AOO-CT")</f>
        <v>0</v>
      </c>
      <c r="G18" s="30">
        <f>SUMIFS(DATA_ACHATS!$E:$E,DATA_ACHATS!$A:$A,$A18,DATA_ACHATS!$D:$D,"AOO-CT")</f>
        <v>0</v>
      </c>
      <c r="H18" s="29">
        <f>COUNTIFS(DATA_ACHATS!$A:$A,$A18,DATA_ACHATS!$D:$D,"BCL")</f>
        <v>0</v>
      </c>
      <c r="I18" s="30">
        <f>SUMIFS(DATA_ACHATS!$E:$E,DATA_ACHATS!$A:$A,$A18,DATA_ACHATS!$D:$D,"BCL")</f>
        <v>0</v>
      </c>
      <c r="J18" s="29">
        <f>COUNTIFS(DATA_ACHATS!$A:$A,$A18,DATA_ACHATS!$D:$D,"BCI")</f>
        <v>0</v>
      </c>
      <c r="K18" s="30">
        <f>SUMIFS(DATA_ACHATS!$E:$E,DATA_ACHATS!$A:$A,$A18,DATA_ACHATS!$D:$D,"BCI")</f>
        <v>0</v>
      </c>
      <c r="L18" s="31">
        <f>COUNTIF(DATA_ACHATS!$A:$A,$A18)</f>
        <v>73</v>
      </c>
      <c r="M18" s="32">
        <f>SUMIF(DATA_ACHATS!$A:$A,$A18,DATA_ACHATS!$E:$E)</f>
        <v>179935166.54</v>
      </c>
    </row>
    <row r="19" spans="1:13">
      <c r="A19" s="28" t="s">
        <v>14</v>
      </c>
      <c r="B19" s="29">
        <f>COUNTIFS(DATA_ACHATS!$A:$A,$A19,DATA_ACHATS!$D:$D,"CONTRAT")</f>
        <v>81</v>
      </c>
      <c r="C19" s="30">
        <f>SUMIFS(DATA_ACHATS!$E:$E,DATA_ACHATS!$A:$A,$A19,DATA_ACHATS!$D:$D,"CONTRAT")</f>
        <v>8022706.28</v>
      </c>
      <c r="D19" s="29">
        <f>COUNTIFS(DATA_ACHATS!$A:$A,$A19,DATA_ACHATS!$D:$D,"AOO-M")</f>
        <v>0</v>
      </c>
      <c r="E19" s="30">
        <f>SUMIFS(DATA_ACHATS!$E:$E,DATA_ACHATS!$A:$A,$A19,DATA_ACHATS!$D:$D,"AOO-M")</f>
        <v>0</v>
      </c>
      <c r="F19" s="29">
        <f>COUNTIFS(DATA_ACHATS!$A:$A,$A19,DATA_ACHATS!$D:$D,"AOO-CT")</f>
        <v>0</v>
      </c>
      <c r="G19" s="30">
        <f>SUMIFS(DATA_ACHATS!$E:$E,DATA_ACHATS!$A:$A,$A19,DATA_ACHATS!$D:$D,"AOO-CT")</f>
        <v>0</v>
      </c>
      <c r="H19" s="29">
        <f>COUNTIFS(DATA_ACHATS!$A:$A,$A19,DATA_ACHATS!$D:$D,"BCL")</f>
        <v>0</v>
      </c>
      <c r="I19" s="30">
        <f>SUMIFS(DATA_ACHATS!$E:$E,DATA_ACHATS!$A:$A,$A19,DATA_ACHATS!$D:$D,"BCL")</f>
        <v>0</v>
      </c>
      <c r="J19" s="29">
        <f>COUNTIFS(DATA_ACHATS!$A:$A,$A19,DATA_ACHATS!$D:$D,"BCI")</f>
        <v>0</v>
      </c>
      <c r="K19" s="30">
        <f>SUMIFS(DATA_ACHATS!$E:$E,DATA_ACHATS!$A:$A,$A19,DATA_ACHATS!$D:$D,"BCI")</f>
        <v>0</v>
      </c>
      <c r="L19" s="31">
        <f>COUNTIF(DATA_ACHATS!$A:$A,$A19)</f>
        <v>81</v>
      </c>
      <c r="M19" s="32">
        <f>SUMIF(DATA_ACHATS!$A:$A,$A19,DATA_ACHATS!$E:$E)</f>
        <v>8022706.28</v>
      </c>
    </row>
    <row r="20" spans="1:13">
      <c r="A20" s="28" t="s">
        <v>15</v>
      </c>
      <c r="B20" s="29">
        <f>COUNTIFS(DATA_ACHATS!$A:$A,$A20,DATA_ACHATS!$D:$D,"CONTRAT")</f>
        <v>5</v>
      </c>
      <c r="C20" s="30">
        <f>SUMIFS(DATA_ACHATS!$E:$E,DATA_ACHATS!$A:$A,$A20,DATA_ACHATS!$D:$D,"CONTRAT")</f>
        <v>427760</v>
      </c>
      <c r="D20" s="29">
        <f>COUNTIFS(DATA_ACHATS!$A:$A,$A20,DATA_ACHATS!$D:$D,"AOO-M")</f>
        <v>0</v>
      </c>
      <c r="E20" s="30">
        <f>SUMIFS(DATA_ACHATS!$E:$E,DATA_ACHATS!$A:$A,$A20,DATA_ACHATS!$D:$D,"AOO-M")</f>
        <v>0</v>
      </c>
      <c r="F20" s="29">
        <f>COUNTIFS(DATA_ACHATS!$A:$A,$A20,DATA_ACHATS!$D:$D,"AOO-CT")</f>
        <v>0</v>
      </c>
      <c r="G20" s="30">
        <f>SUMIFS(DATA_ACHATS!$E:$E,DATA_ACHATS!$A:$A,$A20,DATA_ACHATS!$D:$D,"AOO-CT")</f>
        <v>0</v>
      </c>
      <c r="H20" s="29">
        <f>COUNTIFS(DATA_ACHATS!$A:$A,$A20,DATA_ACHATS!$D:$D,"BCL")</f>
        <v>0</v>
      </c>
      <c r="I20" s="30">
        <f>SUMIFS(DATA_ACHATS!$E:$E,DATA_ACHATS!$A:$A,$A20,DATA_ACHATS!$D:$D,"BCL")</f>
        <v>0</v>
      </c>
      <c r="J20" s="29">
        <f>COUNTIFS(DATA_ACHATS!$A:$A,$A20,DATA_ACHATS!$D:$D,"BCI")</f>
        <v>0</v>
      </c>
      <c r="K20" s="30">
        <f>SUMIFS(DATA_ACHATS!$E:$E,DATA_ACHATS!$A:$A,$A20,DATA_ACHATS!$D:$D,"BCI")</f>
        <v>0</v>
      </c>
      <c r="L20" s="31">
        <f>COUNTIF(DATA_ACHATS!$A:$A,$A20)</f>
        <v>5</v>
      </c>
      <c r="M20" s="32">
        <f>SUMIF(DATA_ACHATS!$A:$A,$A20,DATA_ACHATS!$E:$E)</f>
        <v>427760</v>
      </c>
    </row>
    <row r="21" spans="1:13">
      <c r="A21" s="28" t="s">
        <v>16</v>
      </c>
      <c r="B21" s="29">
        <f>COUNTIFS(DATA_ACHATS!$A:$A,$A21,DATA_ACHATS!$D:$D,"CONTRAT")</f>
        <v>3</v>
      </c>
      <c r="C21" s="30">
        <f>SUMIFS(DATA_ACHATS!$E:$E,DATA_ACHATS!$A:$A,$A21,DATA_ACHATS!$D:$D,"CONTRAT")</f>
        <v>318500</v>
      </c>
      <c r="D21" s="29">
        <f>COUNTIFS(DATA_ACHATS!$A:$A,$A21,DATA_ACHATS!$D:$D,"AOO-M")</f>
        <v>1</v>
      </c>
      <c r="E21" s="30">
        <f>SUMIFS(DATA_ACHATS!$E:$E,DATA_ACHATS!$A:$A,$A21,DATA_ACHATS!$D:$D,"AOO-M")</f>
        <v>0</v>
      </c>
      <c r="F21" s="29">
        <f>COUNTIFS(DATA_ACHATS!$A:$A,$A21,DATA_ACHATS!$D:$D,"AOO-CT")</f>
        <v>0</v>
      </c>
      <c r="G21" s="30">
        <f>SUMIFS(DATA_ACHATS!$E:$E,DATA_ACHATS!$A:$A,$A21,DATA_ACHATS!$D:$D,"AOO-CT")</f>
        <v>0</v>
      </c>
      <c r="H21" s="29">
        <f>COUNTIFS(DATA_ACHATS!$A:$A,$A21,DATA_ACHATS!$D:$D,"BCL")</f>
        <v>0</v>
      </c>
      <c r="I21" s="30">
        <f>SUMIFS(DATA_ACHATS!$E:$E,DATA_ACHATS!$A:$A,$A21,DATA_ACHATS!$D:$D,"BCL")</f>
        <v>0</v>
      </c>
      <c r="J21" s="29">
        <f>COUNTIFS(DATA_ACHATS!$A:$A,$A21,DATA_ACHATS!$D:$D,"BCI")</f>
        <v>0</v>
      </c>
      <c r="K21" s="30">
        <f>SUMIFS(DATA_ACHATS!$E:$E,DATA_ACHATS!$A:$A,$A21,DATA_ACHATS!$D:$D,"BCI")</f>
        <v>0</v>
      </c>
      <c r="L21" s="31">
        <f>COUNTIF(DATA_ACHATS!$A:$A,$A21)</f>
        <v>4</v>
      </c>
      <c r="M21" s="32">
        <f>SUMIF(DATA_ACHATS!$A:$A,$A21,DATA_ACHATS!$E:$E)</f>
        <v>318500</v>
      </c>
    </row>
    <row r="22" spans="1:13">
      <c r="A22" s="28" t="s">
        <v>17</v>
      </c>
      <c r="B22" s="29">
        <f>COUNTIFS(DATA_ACHATS!$A:$A,$A22,DATA_ACHATS!$D:$D,"CONTRAT")</f>
        <v>1</v>
      </c>
      <c r="C22" s="30">
        <f>SUMIFS(DATA_ACHATS!$E:$E,DATA_ACHATS!$A:$A,$A22,DATA_ACHATS!$D:$D,"CONTRAT")</f>
        <v>108000</v>
      </c>
      <c r="D22" s="29">
        <f>COUNTIFS(DATA_ACHATS!$A:$A,$A22,DATA_ACHATS!$D:$D,"AOO-M")</f>
        <v>0</v>
      </c>
      <c r="E22" s="30">
        <f>SUMIFS(DATA_ACHATS!$E:$E,DATA_ACHATS!$A:$A,$A22,DATA_ACHATS!$D:$D,"AOO-M")</f>
        <v>0</v>
      </c>
      <c r="F22" s="29">
        <f>COUNTIFS(DATA_ACHATS!$A:$A,$A22,DATA_ACHATS!$D:$D,"AOO-CT")</f>
        <v>0</v>
      </c>
      <c r="G22" s="30">
        <f>SUMIFS(DATA_ACHATS!$E:$E,DATA_ACHATS!$A:$A,$A22,DATA_ACHATS!$D:$D,"AOO-CT")</f>
        <v>0</v>
      </c>
      <c r="H22" s="29">
        <f>COUNTIFS(DATA_ACHATS!$A:$A,$A22,DATA_ACHATS!$D:$D,"BCL")</f>
        <v>0</v>
      </c>
      <c r="I22" s="30">
        <f>SUMIFS(DATA_ACHATS!$E:$E,DATA_ACHATS!$A:$A,$A22,DATA_ACHATS!$D:$D,"BCL")</f>
        <v>0</v>
      </c>
      <c r="J22" s="29">
        <f>COUNTIFS(DATA_ACHATS!$A:$A,$A22,DATA_ACHATS!$D:$D,"BCI")</f>
        <v>0</v>
      </c>
      <c r="K22" s="30">
        <f>SUMIFS(DATA_ACHATS!$E:$E,DATA_ACHATS!$A:$A,$A22,DATA_ACHATS!$D:$D,"BCI")</f>
        <v>0</v>
      </c>
      <c r="L22" s="31">
        <f>COUNTIF(DATA_ACHATS!$A:$A,$A22)</f>
        <v>1</v>
      </c>
      <c r="M22" s="32">
        <f>SUMIF(DATA_ACHATS!$A:$A,$A22,DATA_ACHATS!$E:$E)</f>
        <v>108000</v>
      </c>
    </row>
    <row r="23" spans="1:13">
      <c r="A23" s="28" t="s">
        <v>18</v>
      </c>
      <c r="B23" s="29">
        <f>COUNTIFS(DATA_ACHATS!$A:$A,$A23,DATA_ACHATS!$D:$D,"CONTRAT")</f>
        <v>19</v>
      </c>
      <c r="C23" s="30">
        <f>SUMIFS(DATA_ACHATS!$E:$E,DATA_ACHATS!$A:$A,$A23,DATA_ACHATS!$D:$D,"CONTRAT")</f>
        <v>4716651.5</v>
      </c>
      <c r="D23" s="29">
        <f>COUNTIFS(DATA_ACHATS!$A:$A,$A23,DATA_ACHATS!$D:$D,"AOO-M")</f>
        <v>0</v>
      </c>
      <c r="E23" s="30">
        <f>SUMIFS(DATA_ACHATS!$E:$E,DATA_ACHATS!$A:$A,$A23,DATA_ACHATS!$D:$D,"AOO-M")</f>
        <v>0</v>
      </c>
      <c r="F23" s="29">
        <f>COUNTIFS(DATA_ACHATS!$A:$A,$A23,DATA_ACHATS!$D:$D,"AOO-CT")</f>
        <v>1</v>
      </c>
      <c r="G23" s="30">
        <f>SUMIFS(DATA_ACHATS!$E:$E,DATA_ACHATS!$A:$A,$A23,DATA_ACHATS!$D:$D,"AOO-CT")</f>
        <v>12605142.02</v>
      </c>
      <c r="H23" s="29">
        <f>COUNTIFS(DATA_ACHATS!$A:$A,$A23,DATA_ACHATS!$D:$D,"BCL")</f>
        <v>0</v>
      </c>
      <c r="I23" s="30">
        <f>SUMIFS(DATA_ACHATS!$E:$E,DATA_ACHATS!$A:$A,$A23,DATA_ACHATS!$D:$D,"BCL")</f>
        <v>0</v>
      </c>
      <c r="J23" s="29">
        <f>COUNTIFS(DATA_ACHATS!$A:$A,$A23,DATA_ACHATS!$D:$D,"BCI")</f>
        <v>0</v>
      </c>
      <c r="K23" s="30">
        <f>SUMIFS(DATA_ACHATS!$E:$E,DATA_ACHATS!$A:$A,$A23,DATA_ACHATS!$D:$D,"BCI")</f>
        <v>0</v>
      </c>
      <c r="L23" s="31">
        <f>COUNTIF(DATA_ACHATS!$A:$A,$A23)</f>
        <v>20</v>
      </c>
      <c r="M23" s="32">
        <f>SUMIF(DATA_ACHATS!$A:$A,$A23,DATA_ACHATS!$E:$E)</f>
        <v>17321793.52</v>
      </c>
    </row>
    <row r="24" spans="1:13">
      <c r="A24" s="28" t="s">
        <v>19</v>
      </c>
      <c r="B24" s="29">
        <f>COUNTIFS(DATA_ACHATS!$A:$A,$A24,DATA_ACHATS!$D:$D,"CONTRAT")</f>
        <v>1</v>
      </c>
      <c r="C24" s="30">
        <f>SUMIFS(DATA_ACHATS!$E:$E,DATA_ACHATS!$A:$A,$A24,DATA_ACHATS!$D:$D,"CONTRAT")</f>
        <v>318240</v>
      </c>
      <c r="D24" s="29">
        <f>COUNTIFS(DATA_ACHATS!$A:$A,$A24,DATA_ACHATS!$D:$D,"AOO-M")</f>
        <v>0</v>
      </c>
      <c r="E24" s="30">
        <f>SUMIFS(DATA_ACHATS!$E:$E,DATA_ACHATS!$A:$A,$A24,DATA_ACHATS!$D:$D,"AOO-M")</f>
        <v>0</v>
      </c>
      <c r="F24" s="29">
        <f>COUNTIFS(DATA_ACHATS!$A:$A,$A24,DATA_ACHATS!$D:$D,"AOO-CT")</f>
        <v>0</v>
      </c>
      <c r="G24" s="30">
        <f>SUMIFS(DATA_ACHATS!$E:$E,DATA_ACHATS!$A:$A,$A24,DATA_ACHATS!$D:$D,"AOO-CT")</f>
        <v>0</v>
      </c>
      <c r="H24" s="29">
        <f>COUNTIFS(DATA_ACHATS!$A:$A,$A24,DATA_ACHATS!$D:$D,"BCL")</f>
        <v>0</v>
      </c>
      <c r="I24" s="30">
        <f>SUMIFS(DATA_ACHATS!$E:$E,DATA_ACHATS!$A:$A,$A24,DATA_ACHATS!$D:$D,"BCL")</f>
        <v>0</v>
      </c>
      <c r="J24" s="29">
        <f>COUNTIFS(DATA_ACHATS!$A:$A,$A24,DATA_ACHATS!$D:$D,"BCI")</f>
        <v>0</v>
      </c>
      <c r="K24" s="30">
        <f>SUMIFS(DATA_ACHATS!$E:$E,DATA_ACHATS!$A:$A,$A24,DATA_ACHATS!$D:$D,"BCI")</f>
        <v>0</v>
      </c>
      <c r="L24" s="31">
        <f>COUNTIF(DATA_ACHATS!$A:$A,$A24)</f>
        <v>1</v>
      </c>
      <c r="M24" s="32">
        <f>SUMIF(DATA_ACHATS!$A:$A,$A24,DATA_ACHATS!$E:$E)</f>
        <v>318240</v>
      </c>
    </row>
    <row r="25" spans="1:13">
      <c r="A25" s="28" t="s">
        <v>20</v>
      </c>
      <c r="B25" s="29">
        <f>COUNTIFS(DATA_ACHATS!$A:$A,$A25,DATA_ACHATS!$D:$D,"CONTRAT")</f>
        <v>1</v>
      </c>
      <c r="C25" s="30">
        <f>SUMIFS(DATA_ACHATS!$E:$E,DATA_ACHATS!$A:$A,$A25,DATA_ACHATS!$D:$D,"CONTRAT")</f>
        <v>576000</v>
      </c>
      <c r="D25" s="29">
        <f>COUNTIFS(DATA_ACHATS!$A:$A,$A25,DATA_ACHATS!$D:$D,"AOO-M")</f>
        <v>0</v>
      </c>
      <c r="E25" s="30">
        <f>SUMIFS(DATA_ACHATS!$E:$E,DATA_ACHATS!$A:$A,$A25,DATA_ACHATS!$D:$D,"AOO-M")</f>
        <v>0</v>
      </c>
      <c r="F25" s="29">
        <f>COUNTIFS(DATA_ACHATS!$A:$A,$A25,DATA_ACHATS!$D:$D,"AOO-CT")</f>
        <v>0</v>
      </c>
      <c r="G25" s="30">
        <f>SUMIFS(DATA_ACHATS!$E:$E,DATA_ACHATS!$A:$A,$A25,DATA_ACHATS!$D:$D,"AOO-CT")</f>
        <v>0</v>
      </c>
      <c r="H25" s="29">
        <f>COUNTIFS(DATA_ACHATS!$A:$A,$A25,DATA_ACHATS!$D:$D,"BCL")</f>
        <v>0</v>
      </c>
      <c r="I25" s="30">
        <f>SUMIFS(DATA_ACHATS!$E:$E,DATA_ACHATS!$A:$A,$A25,DATA_ACHATS!$D:$D,"BCL")</f>
        <v>0</v>
      </c>
      <c r="J25" s="29">
        <f>COUNTIFS(DATA_ACHATS!$A:$A,$A25,DATA_ACHATS!$D:$D,"BCI")</f>
        <v>0</v>
      </c>
      <c r="K25" s="30">
        <f>SUMIFS(DATA_ACHATS!$E:$E,DATA_ACHATS!$A:$A,$A25,DATA_ACHATS!$D:$D,"BCI")</f>
        <v>0</v>
      </c>
      <c r="L25" s="31">
        <f>COUNTIF(DATA_ACHATS!$A:$A,$A25)</f>
        <v>1</v>
      </c>
      <c r="M25" s="32">
        <f>SUMIF(DATA_ACHATS!$A:$A,$A25,DATA_ACHATS!$E:$E)</f>
        <v>576000</v>
      </c>
    </row>
    <row r="26" spans="1:13">
      <c r="A26" s="28" t="s">
        <v>21</v>
      </c>
      <c r="B26" s="29">
        <f>COUNTIFS(DATA_ACHATS!$A:$A,$A26,DATA_ACHATS!$D:$D,"CONTRAT")</f>
        <v>7</v>
      </c>
      <c r="C26" s="30">
        <f>SUMIFS(DATA_ACHATS!$E:$E,DATA_ACHATS!$A:$A,$A26,DATA_ACHATS!$D:$D,"CONTRAT")</f>
        <v>2648832.52</v>
      </c>
      <c r="D26" s="29">
        <f>COUNTIFS(DATA_ACHATS!$A:$A,$A26,DATA_ACHATS!$D:$D,"AOO-M")</f>
        <v>0</v>
      </c>
      <c r="E26" s="30">
        <f>SUMIFS(DATA_ACHATS!$E:$E,DATA_ACHATS!$A:$A,$A26,DATA_ACHATS!$D:$D,"AOO-M")</f>
        <v>0</v>
      </c>
      <c r="F26" s="29">
        <f>COUNTIFS(DATA_ACHATS!$A:$A,$A26,DATA_ACHATS!$D:$D,"AOO-CT")</f>
        <v>0</v>
      </c>
      <c r="G26" s="30">
        <f>SUMIFS(DATA_ACHATS!$E:$E,DATA_ACHATS!$A:$A,$A26,DATA_ACHATS!$D:$D,"AOO-CT")</f>
        <v>0</v>
      </c>
      <c r="H26" s="29">
        <f>COUNTIFS(DATA_ACHATS!$A:$A,$A26,DATA_ACHATS!$D:$D,"BCL")</f>
        <v>0</v>
      </c>
      <c r="I26" s="30">
        <f>SUMIFS(DATA_ACHATS!$E:$E,DATA_ACHATS!$A:$A,$A26,DATA_ACHATS!$D:$D,"BCL")</f>
        <v>0</v>
      </c>
      <c r="J26" s="29">
        <f>COUNTIFS(DATA_ACHATS!$A:$A,$A26,DATA_ACHATS!$D:$D,"BCI")</f>
        <v>0</v>
      </c>
      <c r="K26" s="30">
        <f>SUMIFS(DATA_ACHATS!$E:$E,DATA_ACHATS!$A:$A,$A26,DATA_ACHATS!$D:$D,"BCI")</f>
        <v>0</v>
      </c>
      <c r="L26" s="31">
        <f>COUNTIF(DATA_ACHATS!$A:$A,$A26)</f>
        <v>7</v>
      </c>
      <c r="M26" s="32">
        <f>SUMIF(DATA_ACHATS!$A:$A,$A26,DATA_ACHATS!$E:$E)</f>
        <v>2648832.52</v>
      </c>
    </row>
    <row r="27" spans="1:13">
      <c r="A27" s="28" t="s">
        <v>22</v>
      </c>
      <c r="B27" s="29">
        <f>COUNTIFS(DATA_ACHATS!$A:$A,$A27,DATA_ACHATS!$D:$D,"CONTRAT")</f>
        <v>30</v>
      </c>
      <c r="C27" s="30">
        <f>SUMIFS(DATA_ACHATS!$E:$E,DATA_ACHATS!$A:$A,$A27,DATA_ACHATS!$D:$D,"CONTRAT")</f>
        <v>10711701.33</v>
      </c>
      <c r="D27" s="29">
        <f>COUNTIFS(DATA_ACHATS!$A:$A,$A27,DATA_ACHATS!$D:$D,"AOO-M")</f>
        <v>1</v>
      </c>
      <c r="E27" s="30">
        <f>SUMIFS(DATA_ACHATS!$E:$E,DATA_ACHATS!$A:$A,$A27,DATA_ACHATS!$D:$D,"AOO-M")</f>
        <v>76464</v>
      </c>
      <c r="F27" s="29">
        <f>COUNTIFS(DATA_ACHATS!$A:$A,$A27,DATA_ACHATS!$D:$D,"AOO-CT")</f>
        <v>0</v>
      </c>
      <c r="G27" s="30">
        <f>SUMIFS(DATA_ACHATS!$E:$E,DATA_ACHATS!$A:$A,$A27,DATA_ACHATS!$D:$D,"AOO-CT")</f>
        <v>0</v>
      </c>
      <c r="H27" s="29">
        <f>COUNTIFS(DATA_ACHATS!$A:$A,$A27,DATA_ACHATS!$D:$D,"BCL")</f>
        <v>0</v>
      </c>
      <c r="I27" s="30">
        <f>SUMIFS(DATA_ACHATS!$E:$E,DATA_ACHATS!$A:$A,$A27,DATA_ACHATS!$D:$D,"BCL")</f>
        <v>0</v>
      </c>
      <c r="J27" s="29">
        <f>COUNTIFS(DATA_ACHATS!$A:$A,$A27,DATA_ACHATS!$D:$D,"BCI")</f>
        <v>0</v>
      </c>
      <c r="K27" s="30">
        <f>SUMIFS(DATA_ACHATS!$E:$E,DATA_ACHATS!$A:$A,$A27,DATA_ACHATS!$D:$D,"BCI")</f>
        <v>0</v>
      </c>
      <c r="L27" s="31">
        <f>COUNTIF(DATA_ACHATS!$A:$A,$A27)</f>
        <v>31</v>
      </c>
      <c r="M27" s="32">
        <f>SUMIF(DATA_ACHATS!$A:$A,$A27,DATA_ACHATS!$E:$E)</f>
        <v>10788165.33</v>
      </c>
    </row>
    <row r="28" spans="1:13">
      <c r="A28" s="28" t="s">
        <v>23</v>
      </c>
      <c r="B28" s="29">
        <f>COUNTIFS(DATA_ACHATS!$A:$A,$A28,DATA_ACHATS!$D:$D,"CONTRAT")</f>
        <v>8</v>
      </c>
      <c r="C28" s="30">
        <f>SUMIFS(DATA_ACHATS!$E:$E,DATA_ACHATS!$A:$A,$A28,DATA_ACHATS!$D:$D,"CONTRAT")</f>
        <v>8551887.69</v>
      </c>
      <c r="D28" s="29">
        <f>COUNTIFS(DATA_ACHATS!$A:$A,$A28,DATA_ACHATS!$D:$D,"AOO-M")</f>
        <v>0</v>
      </c>
      <c r="E28" s="30">
        <f>SUMIFS(DATA_ACHATS!$E:$E,DATA_ACHATS!$A:$A,$A28,DATA_ACHATS!$D:$D,"AOO-M")</f>
        <v>0</v>
      </c>
      <c r="F28" s="29">
        <f>COUNTIFS(DATA_ACHATS!$A:$A,$A28,DATA_ACHATS!$D:$D,"AOO-CT")</f>
        <v>0</v>
      </c>
      <c r="G28" s="30">
        <f>SUMIFS(DATA_ACHATS!$E:$E,DATA_ACHATS!$A:$A,$A28,DATA_ACHATS!$D:$D,"AOO-CT")</f>
        <v>0</v>
      </c>
      <c r="H28" s="29">
        <f>COUNTIFS(DATA_ACHATS!$A:$A,$A28,DATA_ACHATS!$D:$D,"BCL")</f>
        <v>0</v>
      </c>
      <c r="I28" s="30">
        <f>SUMIFS(DATA_ACHATS!$E:$E,DATA_ACHATS!$A:$A,$A28,DATA_ACHATS!$D:$D,"BCL")</f>
        <v>0</v>
      </c>
      <c r="J28" s="29">
        <f>COUNTIFS(DATA_ACHATS!$A:$A,$A28,DATA_ACHATS!$D:$D,"BCI")</f>
        <v>0</v>
      </c>
      <c r="K28" s="30">
        <f>SUMIFS(DATA_ACHATS!$E:$E,DATA_ACHATS!$A:$A,$A28,DATA_ACHATS!$D:$D,"BCI")</f>
        <v>0</v>
      </c>
      <c r="L28" s="31">
        <f>COUNTIF(DATA_ACHATS!$A:$A,$A28)</f>
        <v>8</v>
      </c>
      <c r="M28" s="32">
        <f>SUMIF(DATA_ACHATS!$A:$A,$A28,DATA_ACHATS!$E:$E)</f>
        <v>8551887.69</v>
      </c>
    </row>
    <row r="29" spans="1:13">
      <c r="A29" s="28" t="s">
        <v>24</v>
      </c>
      <c r="B29" s="29">
        <f>COUNTIFS(DATA_ACHATS!$A:$A,$A29,DATA_ACHATS!$D:$D,"CONTRAT")</f>
        <v>23</v>
      </c>
      <c r="C29" s="30">
        <f>SUMIFS(DATA_ACHATS!$E:$E,DATA_ACHATS!$A:$A,$A29,DATA_ACHATS!$D:$D,"CONTRAT")</f>
        <v>23581628.21</v>
      </c>
      <c r="D29" s="29">
        <f>COUNTIFS(DATA_ACHATS!$A:$A,$A29,DATA_ACHATS!$D:$D,"AOO-M")</f>
        <v>1</v>
      </c>
      <c r="E29" s="30">
        <f>SUMIFS(DATA_ACHATS!$E:$E,DATA_ACHATS!$A:$A,$A29,DATA_ACHATS!$D:$D,"AOO-M")</f>
        <v>0</v>
      </c>
      <c r="F29" s="29">
        <f>COUNTIFS(DATA_ACHATS!$A:$A,$A29,DATA_ACHATS!$D:$D,"AOO-CT")</f>
        <v>0</v>
      </c>
      <c r="G29" s="30">
        <f>SUMIFS(DATA_ACHATS!$E:$E,DATA_ACHATS!$A:$A,$A29,DATA_ACHATS!$D:$D,"AOO-CT")</f>
        <v>0</v>
      </c>
      <c r="H29" s="29">
        <f>COUNTIFS(DATA_ACHATS!$A:$A,$A29,DATA_ACHATS!$D:$D,"BCL")</f>
        <v>1</v>
      </c>
      <c r="I29" s="30">
        <f>SUMIFS(DATA_ACHATS!$E:$E,DATA_ACHATS!$A:$A,$A29,DATA_ACHATS!$D:$D,"BCL")</f>
        <v>112800</v>
      </c>
      <c r="J29" s="29">
        <f>COUNTIFS(DATA_ACHATS!$A:$A,$A29,DATA_ACHATS!$D:$D,"BCI")</f>
        <v>1</v>
      </c>
      <c r="K29" s="30">
        <f>SUMIFS(DATA_ACHATS!$E:$E,DATA_ACHATS!$A:$A,$A29,DATA_ACHATS!$D:$D,"BCI")</f>
        <v>198971.91</v>
      </c>
      <c r="L29" s="31">
        <f>COUNTIF(DATA_ACHATS!$A:$A,$A29)</f>
        <v>26</v>
      </c>
      <c r="M29" s="32">
        <f>SUMIF(DATA_ACHATS!$A:$A,$A29,DATA_ACHATS!$E:$E)</f>
        <v>23893400.12</v>
      </c>
    </row>
    <row r="30" spans="1:13">
      <c r="A30" s="28" t="s">
        <v>25</v>
      </c>
      <c r="B30" s="29">
        <f>COUNTIFS(DATA_ACHATS!$A:$A,$A30,DATA_ACHATS!$D:$D,"CONTRAT")</f>
        <v>52</v>
      </c>
      <c r="C30" s="30">
        <f>SUMIFS(DATA_ACHATS!$E:$E,DATA_ACHATS!$A:$A,$A30,DATA_ACHATS!$D:$D,"CONTRAT")</f>
        <v>53279781.86</v>
      </c>
      <c r="D30" s="29">
        <f>COUNTIFS(DATA_ACHATS!$A:$A,$A30,DATA_ACHATS!$D:$D,"AOO-M")</f>
        <v>31</v>
      </c>
      <c r="E30" s="30">
        <f>SUMIFS(DATA_ACHATS!$E:$E,DATA_ACHATS!$A:$A,$A30,DATA_ACHATS!$D:$D,"AOO-M")</f>
        <v>76476715.78</v>
      </c>
      <c r="F30" s="29">
        <f>COUNTIFS(DATA_ACHATS!$A:$A,$A30,DATA_ACHATS!$D:$D,"AOO-CT")</f>
        <v>0</v>
      </c>
      <c r="G30" s="30">
        <f>SUMIFS(DATA_ACHATS!$E:$E,DATA_ACHATS!$A:$A,$A30,DATA_ACHATS!$D:$D,"AOO-CT")</f>
        <v>0</v>
      </c>
      <c r="H30" s="29">
        <f>COUNTIFS(DATA_ACHATS!$A:$A,$A30,DATA_ACHATS!$D:$D,"BCL")</f>
        <v>7</v>
      </c>
      <c r="I30" s="30">
        <f>SUMIFS(DATA_ACHATS!$E:$E,DATA_ACHATS!$A:$A,$A30,DATA_ACHATS!$D:$D,"BCL")</f>
        <v>1003308.32</v>
      </c>
      <c r="J30" s="29">
        <f>COUNTIFS(DATA_ACHATS!$A:$A,$A30,DATA_ACHATS!$D:$D,"BCI")</f>
        <v>0</v>
      </c>
      <c r="K30" s="30">
        <f>SUMIFS(DATA_ACHATS!$E:$E,DATA_ACHATS!$A:$A,$A30,DATA_ACHATS!$D:$D,"BCI")</f>
        <v>0</v>
      </c>
      <c r="L30" s="31">
        <f>COUNTIF(DATA_ACHATS!$A:$A,$A30)</f>
        <v>90</v>
      </c>
      <c r="M30" s="32">
        <f>SUMIF(DATA_ACHATS!$A:$A,$A30,DATA_ACHATS!$E:$E)</f>
        <v>130759805.96</v>
      </c>
    </row>
    <row r="31" spans="1:13">
      <c r="A31" s="28" t="s">
        <v>26</v>
      </c>
      <c r="B31" s="29">
        <f>COUNTIFS(DATA_ACHATS!$A:$A,$A31,DATA_ACHATS!$D:$D,"CONTRAT")</f>
        <v>38</v>
      </c>
      <c r="C31" s="30">
        <f>SUMIFS(DATA_ACHATS!$E:$E,DATA_ACHATS!$A:$A,$A31,DATA_ACHATS!$D:$D,"CONTRAT")</f>
        <v>4202000</v>
      </c>
      <c r="D31" s="29">
        <f>COUNTIFS(DATA_ACHATS!$A:$A,$A31,DATA_ACHATS!$D:$D,"AOO-M")</f>
        <v>0</v>
      </c>
      <c r="E31" s="30">
        <f>SUMIFS(DATA_ACHATS!$E:$E,DATA_ACHATS!$A:$A,$A31,DATA_ACHATS!$D:$D,"AOO-M")</f>
        <v>0</v>
      </c>
      <c r="F31" s="29">
        <f>COUNTIFS(DATA_ACHATS!$A:$A,$A31,DATA_ACHATS!$D:$D,"AOO-CT")</f>
        <v>0</v>
      </c>
      <c r="G31" s="30">
        <f>SUMIFS(DATA_ACHATS!$E:$E,DATA_ACHATS!$A:$A,$A31,DATA_ACHATS!$D:$D,"AOO-CT")</f>
        <v>0</v>
      </c>
      <c r="H31" s="29">
        <f>COUNTIFS(DATA_ACHATS!$A:$A,$A31,DATA_ACHATS!$D:$D,"BCL")</f>
        <v>0</v>
      </c>
      <c r="I31" s="30">
        <f>SUMIFS(DATA_ACHATS!$E:$E,DATA_ACHATS!$A:$A,$A31,DATA_ACHATS!$D:$D,"BCL")</f>
        <v>0</v>
      </c>
      <c r="J31" s="29">
        <f>COUNTIFS(DATA_ACHATS!$A:$A,$A31,DATA_ACHATS!$D:$D,"BCI")</f>
        <v>0</v>
      </c>
      <c r="K31" s="30">
        <f>SUMIFS(DATA_ACHATS!$E:$E,DATA_ACHATS!$A:$A,$A31,DATA_ACHATS!$D:$D,"BCI")</f>
        <v>0</v>
      </c>
      <c r="L31" s="31">
        <f>COUNTIF(DATA_ACHATS!$A:$A,$A31)</f>
        <v>38</v>
      </c>
      <c r="M31" s="32">
        <f>SUMIF(DATA_ACHATS!$A:$A,$A31,DATA_ACHATS!$E:$E)</f>
        <v>4202000</v>
      </c>
    </row>
    <row r="32" spans="1:13">
      <c r="A32" s="28" t="s">
        <v>27</v>
      </c>
      <c r="B32" s="29">
        <f>COUNTIFS(DATA_ACHATS!$A:$A,$A32,DATA_ACHATS!$D:$D,"CONTRAT")</f>
        <v>8</v>
      </c>
      <c r="C32" s="30">
        <f>SUMIFS(DATA_ACHATS!$E:$E,DATA_ACHATS!$A:$A,$A32,DATA_ACHATS!$D:$D,"CONTRAT")</f>
        <v>6948426.09786667</v>
      </c>
      <c r="D32" s="29">
        <f>COUNTIFS(DATA_ACHATS!$A:$A,$A32,DATA_ACHATS!$D:$D,"AOO-M")</f>
        <v>0</v>
      </c>
      <c r="E32" s="30">
        <f>SUMIFS(DATA_ACHATS!$E:$E,DATA_ACHATS!$A:$A,$A32,DATA_ACHATS!$D:$D,"AOO-M")</f>
        <v>0</v>
      </c>
      <c r="F32" s="29">
        <f>COUNTIFS(DATA_ACHATS!$A:$A,$A32,DATA_ACHATS!$D:$D,"AOO-CT")</f>
        <v>0</v>
      </c>
      <c r="G32" s="30">
        <f>SUMIFS(DATA_ACHATS!$E:$E,DATA_ACHATS!$A:$A,$A32,DATA_ACHATS!$D:$D,"AOO-CT")</f>
        <v>0</v>
      </c>
      <c r="H32" s="29">
        <f>COUNTIFS(DATA_ACHATS!$A:$A,$A32,DATA_ACHATS!$D:$D,"BCL")</f>
        <v>0</v>
      </c>
      <c r="I32" s="30">
        <f>SUMIFS(DATA_ACHATS!$E:$E,DATA_ACHATS!$A:$A,$A32,DATA_ACHATS!$D:$D,"BCL")</f>
        <v>0</v>
      </c>
      <c r="J32" s="29">
        <f>COUNTIFS(DATA_ACHATS!$A:$A,$A32,DATA_ACHATS!$D:$D,"BCI")</f>
        <v>0</v>
      </c>
      <c r="K32" s="30">
        <f>SUMIFS(DATA_ACHATS!$E:$E,DATA_ACHATS!$A:$A,$A32,DATA_ACHATS!$D:$D,"BCI")</f>
        <v>0</v>
      </c>
      <c r="L32" s="31">
        <f>COUNTIF(DATA_ACHATS!$A:$A,$A32)</f>
        <v>8</v>
      </c>
      <c r="M32" s="32">
        <f>SUMIF(DATA_ACHATS!$A:$A,$A32,DATA_ACHATS!$E:$E)</f>
        <v>6948426.09786667</v>
      </c>
    </row>
    <row r="33" spans="1:13">
      <c r="A33" s="28" t="s">
        <v>28</v>
      </c>
      <c r="B33" s="29">
        <f>COUNTIFS(DATA_ACHATS!$A:$A,$A33,DATA_ACHATS!$D:$D,"CONTRAT")</f>
        <v>17</v>
      </c>
      <c r="C33" s="30">
        <f>SUMIFS(DATA_ACHATS!$E:$E,DATA_ACHATS!$A:$A,$A33,DATA_ACHATS!$D:$D,"CONTRAT")</f>
        <v>14382451.23</v>
      </c>
      <c r="D33" s="29">
        <f>COUNTIFS(DATA_ACHATS!$A:$A,$A33,DATA_ACHATS!$D:$D,"AOO-M")</f>
        <v>5</v>
      </c>
      <c r="E33" s="30">
        <f>SUMIFS(DATA_ACHATS!$E:$E,DATA_ACHATS!$A:$A,$A33,DATA_ACHATS!$D:$D,"AOO-M")</f>
        <v>350000</v>
      </c>
      <c r="F33" s="29">
        <f>COUNTIFS(DATA_ACHATS!$A:$A,$A33,DATA_ACHATS!$D:$D,"AOO-CT")</f>
        <v>0</v>
      </c>
      <c r="G33" s="30">
        <f>SUMIFS(DATA_ACHATS!$E:$E,DATA_ACHATS!$A:$A,$A33,DATA_ACHATS!$D:$D,"AOO-CT")</f>
        <v>0</v>
      </c>
      <c r="H33" s="29">
        <f>COUNTIFS(DATA_ACHATS!$A:$A,$A33,DATA_ACHATS!$D:$D,"BCL")</f>
        <v>0</v>
      </c>
      <c r="I33" s="30">
        <f>SUMIFS(DATA_ACHATS!$E:$E,DATA_ACHATS!$A:$A,$A33,DATA_ACHATS!$D:$D,"BCL")</f>
        <v>0</v>
      </c>
      <c r="J33" s="29">
        <f>COUNTIFS(DATA_ACHATS!$A:$A,$A33,DATA_ACHATS!$D:$D,"BCI")</f>
        <v>0</v>
      </c>
      <c r="K33" s="30">
        <f>SUMIFS(DATA_ACHATS!$E:$E,DATA_ACHATS!$A:$A,$A33,DATA_ACHATS!$D:$D,"BCI")</f>
        <v>0</v>
      </c>
      <c r="L33" s="31">
        <f>COUNTIF(DATA_ACHATS!$A:$A,$A33)</f>
        <v>22</v>
      </c>
      <c r="M33" s="32">
        <f>SUMIF(DATA_ACHATS!$A:$A,$A33,DATA_ACHATS!$E:$E)</f>
        <v>14732451.23</v>
      </c>
    </row>
    <row r="34" spans="1:13">
      <c r="A34" s="28" t="s">
        <v>29</v>
      </c>
      <c r="B34" s="29">
        <f>COUNTIFS(DATA_ACHATS!$A:$A,$A34,DATA_ACHATS!$D:$D,"CONTRAT")</f>
        <v>11</v>
      </c>
      <c r="C34" s="30">
        <f>SUMIFS(DATA_ACHATS!$E:$E,DATA_ACHATS!$A:$A,$A34,DATA_ACHATS!$D:$D,"CONTRAT")</f>
        <v>3339526.8</v>
      </c>
      <c r="D34" s="29">
        <f>COUNTIFS(DATA_ACHATS!$A:$A,$A34,DATA_ACHATS!$D:$D,"AOO-M")</f>
        <v>31</v>
      </c>
      <c r="E34" s="30">
        <f>SUMIFS(DATA_ACHATS!$E:$E,DATA_ACHATS!$A:$A,$A34,DATA_ACHATS!$D:$D,"AOO-M")</f>
        <v>9888757.056</v>
      </c>
      <c r="F34" s="29">
        <f>COUNTIFS(DATA_ACHATS!$A:$A,$A34,DATA_ACHATS!$D:$D,"AOO-CT")</f>
        <v>0</v>
      </c>
      <c r="G34" s="30">
        <f>SUMIFS(DATA_ACHATS!$E:$E,DATA_ACHATS!$A:$A,$A34,DATA_ACHATS!$D:$D,"AOO-CT")</f>
        <v>0</v>
      </c>
      <c r="H34" s="29">
        <f>COUNTIFS(DATA_ACHATS!$A:$A,$A34,DATA_ACHATS!$D:$D,"BCL")</f>
        <v>3</v>
      </c>
      <c r="I34" s="30">
        <f>SUMIFS(DATA_ACHATS!$E:$E,DATA_ACHATS!$A:$A,$A34,DATA_ACHATS!$D:$D,"BCL")</f>
        <v>791388.96</v>
      </c>
      <c r="J34" s="29">
        <f>COUNTIFS(DATA_ACHATS!$A:$A,$A34,DATA_ACHATS!$D:$D,"BCI")</f>
        <v>0</v>
      </c>
      <c r="K34" s="30">
        <f>SUMIFS(DATA_ACHATS!$E:$E,DATA_ACHATS!$A:$A,$A34,DATA_ACHATS!$D:$D,"BCI")</f>
        <v>0</v>
      </c>
      <c r="L34" s="31">
        <f>COUNTIF(DATA_ACHATS!$A:$A,$A34)</f>
        <v>45</v>
      </c>
      <c r="M34" s="32">
        <f>SUMIF(DATA_ACHATS!$A:$A,$A34,DATA_ACHATS!$E:$E)</f>
        <v>14019672.816</v>
      </c>
    </row>
    <row r="35" spans="1:13">
      <c r="A35" s="28" t="s">
        <v>30</v>
      </c>
      <c r="B35" s="29">
        <f>COUNTIFS(DATA_ACHATS!$A:$A,$A35,DATA_ACHATS!$D:$D,"CONTRAT")</f>
        <v>9</v>
      </c>
      <c r="C35" s="30">
        <f>SUMIFS(DATA_ACHATS!$E:$E,DATA_ACHATS!$A:$A,$A35,DATA_ACHATS!$D:$D,"CONTRAT")</f>
        <v>1051200</v>
      </c>
      <c r="D35" s="29">
        <f>COUNTIFS(DATA_ACHATS!$A:$A,$A35,DATA_ACHATS!$D:$D,"AOO-M")</f>
        <v>0</v>
      </c>
      <c r="E35" s="30">
        <f>SUMIFS(DATA_ACHATS!$E:$E,DATA_ACHATS!$A:$A,$A35,DATA_ACHATS!$D:$D,"AOO-M")</f>
        <v>0</v>
      </c>
      <c r="F35" s="29">
        <f>COUNTIFS(DATA_ACHATS!$A:$A,$A35,DATA_ACHATS!$D:$D,"AOO-CT")</f>
        <v>0</v>
      </c>
      <c r="G35" s="30">
        <f>SUMIFS(DATA_ACHATS!$E:$E,DATA_ACHATS!$A:$A,$A35,DATA_ACHATS!$D:$D,"AOO-CT")</f>
        <v>0</v>
      </c>
      <c r="H35" s="29">
        <f>COUNTIFS(DATA_ACHATS!$A:$A,$A35,DATA_ACHATS!$D:$D,"BCL")</f>
        <v>0</v>
      </c>
      <c r="I35" s="30">
        <f>SUMIFS(DATA_ACHATS!$E:$E,DATA_ACHATS!$A:$A,$A35,DATA_ACHATS!$D:$D,"BCL")</f>
        <v>0</v>
      </c>
      <c r="J35" s="29">
        <f>COUNTIFS(DATA_ACHATS!$A:$A,$A35,DATA_ACHATS!$D:$D,"BCI")</f>
        <v>0</v>
      </c>
      <c r="K35" s="30">
        <f>SUMIFS(DATA_ACHATS!$E:$E,DATA_ACHATS!$A:$A,$A35,DATA_ACHATS!$D:$D,"BCI")</f>
        <v>0</v>
      </c>
      <c r="L35" s="31">
        <f>COUNTIF(DATA_ACHATS!$A:$A,$A35)</f>
        <v>9</v>
      </c>
      <c r="M35" s="32">
        <f>SUMIF(DATA_ACHATS!$A:$A,$A35,DATA_ACHATS!$E:$E)</f>
        <v>1051200</v>
      </c>
    </row>
    <row r="36" spans="1:13">
      <c r="A36" s="28" t="s">
        <v>31</v>
      </c>
      <c r="B36" s="29">
        <f>COUNTIFS(DATA_ACHATS!$A:$A,$A36,DATA_ACHATS!$D:$D,"CONTRAT")</f>
        <v>56</v>
      </c>
      <c r="C36" s="30">
        <f>SUMIFS(DATA_ACHATS!$E:$E,DATA_ACHATS!$A:$A,$A36,DATA_ACHATS!$D:$D,"CONTRAT")</f>
        <v>5680171.24</v>
      </c>
      <c r="D36" s="29">
        <f>COUNTIFS(DATA_ACHATS!$A:$A,$A36,DATA_ACHATS!$D:$D,"AOO-M")</f>
        <v>0</v>
      </c>
      <c r="E36" s="30">
        <f>SUMIFS(DATA_ACHATS!$E:$E,DATA_ACHATS!$A:$A,$A36,DATA_ACHATS!$D:$D,"AOO-M")</f>
        <v>0</v>
      </c>
      <c r="F36" s="29">
        <f>COUNTIFS(DATA_ACHATS!$A:$A,$A36,DATA_ACHATS!$D:$D,"AOO-CT")</f>
        <v>0</v>
      </c>
      <c r="G36" s="30">
        <f>SUMIFS(DATA_ACHATS!$E:$E,DATA_ACHATS!$A:$A,$A36,DATA_ACHATS!$D:$D,"AOO-CT")</f>
        <v>0</v>
      </c>
      <c r="H36" s="29">
        <f>COUNTIFS(DATA_ACHATS!$A:$A,$A36,DATA_ACHATS!$D:$D,"BCL")</f>
        <v>0</v>
      </c>
      <c r="I36" s="30">
        <f>SUMIFS(DATA_ACHATS!$E:$E,DATA_ACHATS!$A:$A,$A36,DATA_ACHATS!$D:$D,"BCL")</f>
        <v>0</v>
      </c>
      <c r="J36" s="29">
        <f>COUNTIFS(DATA_ACHATS!$A:$A,$A36,DATA_ACHATS!$D:$D,"BCI")</f>
        <v>0</v>
      </c>
      <c r="K36" s="30">
        <f>SUMIFS(DATA_ACHATS!$E:$E,DATA_ACHATS!$A:$A,$A36,DATA_ACHATS!$D:$D,"BCI")</f>
        <v>0</v>
      </c>
      <c r="L36" s="31">
        <f>COUNTIF(DATA_ACHATS!$A:$A,$A36)</f>
        <v>56</v>
      </c>
      <c r="M36" s="32">
        <f>SUMIF(DATA_ACHATS!$A:$A,$A36,DATA_ACHATS!$E:$E)</f>
        <v>5680171.24</v>
      </c>
    </row>
    <row r="37" spans="1:13">
      <c r="A37" s="28" t="s">
        <v>32</v>
      </c>
      <c r="B37" s="29">
        <f>COUNTIFS(DATA_ACHATS!$A:$A,$A37,DATA_ACHATS!$D:$D,"CONTRAT")</f>
        <v>7</v>
      </c>
      <c r="C37" s="30">
        <f>SUMIFS(DATA_ACHATS!$E:$E,DATA_ACHATS!$A:$A,$A37,DATA_ACHATS!$D:$D,"CONTRAT")</f>
        <v>105650333.35</v>
      </c>
      <c r="D37" s="29">
        <f>COUNTIFS(DATA_ACHATS!$A:$A,$A37,DATA_ACHATS!$D:$D,"AOO-M")</f>
        <v>20</v>
      </c>
      <c r="E37" s="30">
        <f>SUMIFS(DATA_ACHATS!$E:$E,DATA_ACHATS!$A:$A,$A37,DATA_ACHATS!$D:$D,"AOO-M")</f>
        <v>16318897.14</v>
      </c>
      <c r="F37" s="29">
        <f>COUNTIFS(DATA_ACHATS!$A:$A,$A37,DATA_ACHATS!$D:$D,"AOO-CT")</f>
        <v>0</v>
      </c>
      <c r="G37" s="30">
        <f>SUMIFS(DATA_ACHATS!$E:$E,DATA_ACHATS!$A:$A,$A37,DATA_ACHATS!$D:$D,"AOO-CT")</f>
        <v>0</v>
      </c>
      <c r="H37" s="29">
        <f>COUNTIFS(DATA_ACHATS!$A:$A,$A37,DATA_ACHATS!$D:$D,"BCL")</f>
        <v>4</v>
      </c>
      <c r="I37" s="30">
        <f>SUMIFS(DATA_ACHATS!$E:$E,DATA_ACHATS!$A:$A,$A37,DATA_ACHATS!$D:$D,"BCL")</f>
        <v>248776</v>
      </c>
      <c r="J37" s="29">
        <f>COUNTIFS(DATA_ACHATS!$A:$A,$A37,DATA_ACHATS!$D:$D,"BCI")</f>
        <v>0</v>
      </c>
      <c r="K37" s="30">
        <f>SUMIFS(DATA_ACHATS!$E:$E,DATA_ACHATS!$A:$A,$A37,DATA_ACHATS!$D:$D,"BCI")</f>
        <v>0</v>
      </c>
      <c r="L37" s="31">
        <f>COUNTIF(DATA_ACHATS!$A:$A,$A37)</f>
        <v>31</v>
      </c>
      <c r="M37" s="32">
        <f>SUMIF(DATA_ACHATS!$A:$A,$A37,DATA_ACHATS!$E:$E)</f>
        <v>122218006.49</v>
      </c>
    </row>
    <row r="38" spans="1:13">
      <c r="A38" s="28" t="s">
        <v>33</v>
      </c>
      <c r="B38" s="29">
        <f>COUNTIFS(DATA_ACHATS!$A:$A,$A38,DATA_ACHATS!$D:$D,"CONTRAT")</f>
        <v>0</v>
      </c>
      <c r="C38" s="30">
        <f>SUMIFS(DATA_ACHATS!$E:$E,DATA_ACHATS!$A:$A,$A38,DATA_ACHATS!$D:$D,"CONTRAT")</f>
        <v>0</v>
      </c>
      <c r="D38" s="29">
        <f>COUNTIFS(DATA_ACHATS!$A:$A,$A38,DATA_ACHATS!$D:$D,"AOO-M")</f>
        <v>12</v>
      </c>
      <c r="E38" s="30">
        <f>SUMIFS(DATA_ACHATS!$E:$E,DATA_ACHATS!$A:$A,$A38,DATA_ACHATS!$D:$D,"AOO-M")</f>
        <v>3790494</v>
      </c>
      <c r="F38" s="29">
        <f>COUNTIFS(DATA_ACHATS!$A:$A,$A38,DATA_ACHATS!$D:$D,"AOO-CT")</f>
        <v>0</v>
      </c>
      <c r="G38" s="30">
        <f>SUMIFS(DATA_ACHATS!$E:$E,DATA_ACHATS!$A:$A,$A38,DATA_ACHATS!$D:$D,"AOO-CT")</f>
        <v>0</v>
      </c>
      <c r="H38" s="29">
        <f>COUNTIFS(DATA_ACHATS!$A:$A,$A38,DATA_ACHATS!$D:$D,"BCL")</f>
        <v>3</v>
      </c>
      <c r="I38" s="30">
        <f>SUMIFS(DATA_ACHATS!$E:$E,DATA_ACHATS!$A:$A,$A38,DATA_ACHATS!$D:$D,"BCL")</f>
        <v>125616</v>
      </c>
      <c r="J38" s="29">
        <f>COUNTIFS(DATA_ACHATS!$A:$A,$A38,DATA_ACHATS!$D:$D,"BCI")</f>
        <v>0</v>
      </c>
      <c r="K38" s="30">
        <f>SUMIFS(DATA_ACHATS!$E:$E,DATA_ACHATS!$A:$A,$A38,DATA_ACHATS!$D:$D,"BCI")</f>
        <v>0</v>
      </c>
      <c r="L38" s="31">
        <f>COUNTIF(DATA_ACHATS!$A:$A,$A38)</f>
        <v>15</v>
      </c>
      <c r="M38" s="32">
        <f>SUMIF(DATA_ACHATS!$A:$A,$A38,DATA_ACHATS!$E:$E)</f>
        <v>3916110</v>
      </c>
    </row>
    <row r="39" spans="1:13">
      <c r="A39" s="28" t="s">
        <v>34</v>
      </c>
      <c r="B39" s="29">
        <f>COUNTIFS(DATA_ACHATS!$A:$A,$A39,DATA_ACHATS!$D:$D,"CONTRAT")</f>
        <v>5</v>
      </c>
      <c r="C39" s="30">
        <f>SUMIFS(DATA_ACHATS!$E:$E,DATA_ACHATS!$A:$A,$A39,DATA_ACHATS!$D:$D,"CONTRAT")</f>
        <v>1061800.66</v>
      </c>
      <c r="D39" s="29">
        <f>COUNTIFS(DATA_ACHATS!$A:$A,$A39,DATA_ACHATS!$D:$D,"AOO-M")</f>
        <v>0</v>
      </c>
      <c r="E39" s="30">
        <f>SUMIFS(DATA_ACHATS!$E:$E,DATA_ACHATS!$A:$A,$A39,DATA_ACHATS!$D:$D,"AOO-M")</f>
        <v>0</v>
      </c>
      <c r="F39" s="29">
        <f>COUNTIFS(DATA_ACHATS!$A:$A,$A39,DATA_ACHATS!$D:$D,"AOO-CT")</f>
        <v>18</v>
      </c>
      <c r="G39" s="30">
        <f>SUMIFS(DATA_ACHATS!$E:$E,DATA_ACHATS!$A:$A,$A39,DATA_ACHATS!$D:$D,"AOO-CT")</f>
        <v>21385985.26</v>
      </c>
      <c r="H39" s="29">
        <f>COUNTIFS(DATA_ACHATS!$A:$A,$A39,DATA_ACHATS!$D:$D,"BCL")</f>
        <v>3</v>
      </c>
      <c r="I39" s="30">
        <f>SUMIFS(DATA_ACHATS!$E:$E,DATA_ACHATS!$A:$A,$A39,DATA_ACHATS!$D:$D,"BCL")</f>
        <v>144850</v>
      </c>
      <c r="J39" s="29">
        <f>COUNTIFS(DATA_ACHATS!$A:$A,$A39,DATA_ACHATS!$D:$D,"BCI")</f>
        <v>0</v>
      </c>
      <c r="K39" s="30">
        <f>SUMIFS(DATA_ACHATS!$E:$E,DATA_ACHATS!$A:$A,$A39,DATA_ACHATS!$D:$D,"BCI")</f>
        <v>0</v>
      </c>
      <c r="L39" s="31">
        <f>COUNTIF(DATA_ACHATS!$A:$A,$A39)</f>
        <v>26</v>
      </c>
      <c r="M39" s="32">
        <f>SUMIF(DATA_ACHATS!$A:$A,$A39,DATA_ACHATS!$E:$E)</f>
        <v>22592635.92</v>
      </c>
    </row>
    <row r="40" spans="1:13">
      <c r="A40" s="33" t="s">
        <v>5</v>
      </c>
      <c r="B40" s="34">
        <f t="shared" ref="B40:M40" si="0">SUM(B18:B39)</f>
        <v>455</v>
      </c>
      <c r="C40" s="35">
        <f t="shared" si="0"/>
        <v>435512765.307867</v>
      </c>
      <c r="D40" s="34">
        <f t="shared" si="0"/>
        <v>102</v>
      </c>
      <c r="E40" s="35">
        <f t="shared" si="0"/>
        <v>106901327.976</v>
      </c>
      <c r="F40" s="34">
        <f t="shared" si="0"/>
        <v>19</v>
      </c>
      <c r="G40" s="35">
        <f t="shared" si="0"/>
        <v>33991127.28</v>
      </c>
      <c r="H40" s="34">
        <f t="shared" si="0"/>
        <v>21</v>
      </c>
      <c r="I40" s="35">
        <f t="shared" si="0"/>
        <v>2426739.28</v>
      </c>
      <c r="J40" s="34">
        <f t="shared" si="0"/>
        <v>1</v>
      </c>
      <c r="K40" s="35">
        <f t="shared" si="0"/>
        <v>198971.91</v>
      </c>
      <c r="L40" s="36">
        <f t="shared" si="0"/>
        <v>598</v>
      </c>
      <c r="M40" s="37">
        <f t="shared" si="0"/>
        <v>579030931.753867</v>
      </c>
    </row>
    <row r="42" spans="1:13">
      <c r="A42" s="15" t="s">
        <v>53</v>
      </c>
    </row>
    <row r="43" ht="29" spans="1:13">
      <c r="A43" s="13" t="s">
        <v>54</v>
      </c>
      <c r="B43" s="13" t="s">
        <v>55</v>
      </c>
      <c r="C43" s="13" t="s">
        <v>56</v>
      </c>
      <c r="D43" s="13" t="s">
        <v>57</v>
      </c>
      <c r="E43" s="13" t="s">
        <v>58</v>
      </c>
      <c r="F43" s="13" t="s">
        <v>59</v>
      </c>
    </row>
    <row r="44" spans="1:13">
      <c r="A44" s="38" t="s">
        <v>45</v>
      </c>
      <c r="B44" s="39">
        <f>COUNTIF(DATA_ACHATS!$D:$D,"CONTRAT")</f>
        <v>455</v>
      </c>
      <c r="C44" s="40">
        <f>IFERROR(B44/$B$49,0)</f>
        <v>0.760869565217391</v>
      </c>
      <c r="D44" s="41">
        <f>SUMIF(DATA_ACHATS!$D:$D,"CONTRAT",DATA_ACHATS!$E:$E)</f>
        <v>435512765.307867</v>
      </c>
      <c r="E44">
        <f>IFERROR(D44/$D$49,0)</f>
        <v>0.75214076040586</v>
      </c>
      <c r="F44" s="41">
        <f t="shared" ref="F44:F49" si="1">IFERROR(D44/B44,0)</f>
        <v>957170.912764542</v>
      </c>
    </row>
    <row r="45" spans="1:13">
      <c r="A45" s="42" t="s">
        <v>46</v>
      </c>
      <c r="B45" s="39">
        <f>COUNTIF(DATA_ACHATS!$D:$D,"AOO-M")</f>
        <v>102</v>
      </c>
      <c r="C45" s="40">
        <f>IFERROR(B45/$B$49,0)</f>
        <v>0.17056856187291</v>
      </c>
      <c r="D45" s="41">
        <f>SUMIF(DATA_ACHATS!$D:$D,"AOO-M",DATA_ACHATS!$E:$E)</f>
        <v>106901327.976</v>
      </c>
      <c r="E45">
        <f>IFERROR(D45/$D$49,0)</f>
        <v>0.184621100728072</v>
      </c>
      <c r="F45" s="41">
        <f t="shared" si="1"/>
        <v>1048052.23505882</v>
      </c>
    </row>
    <row r="46" spans="1:13">
      <c r="A46" s="43" t="s">
        <v>47</v>
      </c>
      <c r="B46" s="39">
        <f>COUNTIF(DATA_ACHATS!$D:$D,"AOO-CT")</f>
        <v>19</v>
      </c>
      <c r="C46" s="40">
        <f>IFERROR(B46/$B$49,0)</f>
        <v>0.0317725752508361</v>
      </c>
      <c r="D46" s="41">
        <f>SUMIF(DATA_ACHATS!$D:$D,"AOO-CT",DATA_ACHATS!$E:$E)</f>
        <v>33991127.28</v>
      </c>
      <c r="E46">
        <f>IFERROR(D46/$D$49,0)</f>
        <v>0.0587034740562856</v>
      </c>
      <c r="F46" s="41">
        <f t="shared" si="1"/>
        <v>1789006.69894737</v>
      </c>
    </row>
    <row r="47" spans="1:13">
      <c r="A47" s="44" t="s">
        <v>48</v>
      </c>
      <c r="B47" s="39">
        <f>COUNTIF(DATA_ACHATS!$D:$D,"BCL")</f>
        <v>21</v>
      </c>
      <c r="C47" s="40">
        <f>IFERROR(B47/$B$49,0)</f>
        <v>0.0351170568561873</v>
      </c>
      <c r="D47" s="41">
        <f>SUMIF(DATA_ACHATS!$D:$D,"BCL",DATA_ACHATS!$E:$E)</f>
        <v>2426739.28</v>
      </c>
      <c r="E47">
        <f>IFERROR(D47/$D$49,0)</f>
        <v>0.00419103565443297</v>
      </c>
      <c r="F47" s="41">
        <f t="shared" si="1"/>
        <v>115559.013333333</v>
      </c>
    </row>
    <row r="48" spans="1:13">
      <c r="A48" s="45" t="s">
        <v>49</v>
      </c>
      <c r="B48" s="39">
        <f>COUNTIF(DATA_ACHATS!$D:$D,"BCI")</f>
        <v>1</v>
      </c>
      <c r="C48" s="40">
        <f>IFERROR(B48/$B$49,0)</f>
        <v>0.00167224080267559</v>
      </c>
      <c r="D48" s="41">
        <f>SUMIF(DATA_ACHATS!$D:$D,"BCI",DATA_ACHATS!$E:$E)</f>
        <v>198971.91</v>
      </c>
      <c r="E48">
        <f>IFERROR(D48/$D$49,0)</f>
        <v>0.000343629155349819</v>
      </c>
      <c r="F48" s="41">
        <f t="shared" si="1"/>
        <v>198971.91</v>
      </c>
    </row>
    <row r="49" spans="1:6">
      <c r="A49" s="33" t="s">
        <v>50</v>
      </c>
      <c r="B49" s="34">
        <f>SUM(B44:B48)</f>
        <v>598</v>
      </c>
      <c r="C49" s="46">
        <v>1</v>
      </c>
      <c r="D49" s="35">
        <f>SUM(D44:D48)</f>
        <v>579030931.753867</v>
      </c>
      <c r="E49" s="46">
        <v>1</v>
      </c>
      <c r="F49" s="35">
        <f t="shared" si="1"/>
        <v>968279.150090078</v>
      </c>
    </row>
    <row r="52" ht="20" customHeight="1" spans="1:6">
      <c r="A52" s="47" t="s">
        <v>60</v>
      </c>
      <c r="F52" s="48" t="s">
        <v>61</v>
      </c>
    </row>
    <row r="53" ht="29" spans="1:6">
      <c r="A53" s="13" t="s">
        <v>62</v>
      </c>
      <c r="B53" s="13" t="s">
        <v>55</v>
      </c>
      <c r="C53" s="13" t="s">
        <v>57</v>
      </c>
      <c r="D53" s="13" t="s">
        <v>63</v>
      </c>
    </row>
    <row r="54" spans="1:6">
      <c r="A54" s="38" t="s">
        <v>45</v>
      </c>
      <c r="B54" s="39">
        <f>COUNTIFS(DATA_ACHATS!$A:$A,"ARRIYADIA",DATA_ACHATS!$D:$D,"CONTRAT")</f>
        <v>73</v>
      </c>
      <c r="C54" s="41">
        <f>SUMIFS(DATA_ACHATS!$E:$E,DATA_ACHATS!$A:$A,"ARRIYADIA",DATA_ACHATS!$D:$D,"CONTRAT")</f>
        <v>179935166.54</v>
      </c>
      <c r="D54" s="40">
        <f>IFERROR(C54/$C$59,0)</f>
        <v>1</v>
      </c>
    </row>
    <row r="55" spans="1:6">
      <c r="A55" s="42" t="s">
        <v>46</v>
      </c>
      <c r="B55" s="39">
        <f>COUNTIFS(DATA_ACHATS!$A:$A,"ARRIYADIA",DATA_ACHATS!$D:$D,"AOO-M")</f>
        <v>0</v>
      </c>
      <c r="C55" s="41">
        <f>SUMIFS(DATA_ACHATS!$E:$E,DATA_ACHATS!$A:$A,"ARRIYADIA",DATA_ACHATS!$D:$D,"AOO-M")</f>
        <v>0</v>
      </c>
      <c r="D55" s="40">
        <f>IFERROR(C55/$C$59,0)</f>
        <v>0</v>
      </c>
    </row>
    <row r="56" spans="1:6">
      <c r="A56" s="43" t="s">
        <v>47</v>
      </c>
      <c r="B56" s="39">
        <f>COUNTIFS(DATA_ACHATS!$A:$A,"ARRIYADIA",DATA_ACHATS!$D:$D,"AOO-CT")</f>
        <v>0</v>
      </c>
      <c r="C56" s="41">
        <f>SUMIFS(DATA_ACHATS!$E:$E,DATA_ACHATS!$A:$A,"ARRIYADIA",DATA_ACHATS!$D:$D,"AOO-CT")</f>
        <v>0</v>
      </c>
      <c r="D56" s="40">
        <f>IFERROR(C56/$C$59,0)</f>
        <v>0</v>
      </c>
    </row>
    <row r="57" spans="1:6">
      <c r="A57" s="44" t="s">
        <v>48</v>
      </c>
      <c r="B57" s="39">
        <f>COUNTIFS(DATA_ACHATS!$A:$A,"ARRIYADIA",DATA_ACHATS!$D:$D,"BCL")</f>
        <v>0</v>
      </c>
      <c r="C57" s="41">
        <f>SUMIFS(DATA_ACHATS!$E:$E,DATA_ACHATS!$A:$A,"ARRIYADIA",DATA_ACHATS!$D:$D,"BCL")</f>
        <v>0</v>
      </c>
      <c r="D57" s="40">
        <f>IFERROR(C57/$C$59,0)</f>
        <v>0</v>
      </c>
    </row>
    <row r="58" spans="1:6">
      <c r="A58" s="45" t="s">
        <v>49</v>
      </c>
      <c r="B58" s="39">
        <f>COUNTIFS(DATA_ACHATS!$A:$A,"ARRIYADIA",DATA_ACHATS!$D:$D,"BCI")</f>
        <v>0</v>
      </c>
      <c r="C58" s="41">
        <f>SUMIFS(DATA_ACHATS!$E:$E,DATA_ACHATS!$A:$A,"ARRIYADIA",DATA_ACHATS!$D:$D,"BCI")</f>
        <v>0</v>
      </c>
      <c r="D58" s="40">
        <f>IFERROR(C58/$C$59,0)</f>
        <v>0</v>
      </c>
    </row>
    <row r="59" spans="1:6">
      <c r="A59" s="33" t="s">
        <v>64</v>
      </c>
      <c r="B59" s="34">
        <f>SUM(B54:B58)</f>
        <v>73</v>
      </c>
      <c r="C59" s="35">
        <f>SUM(C54:C58)</f>
        <v>179935166.54</v>
      </c>
      <c r="D59" s="46">
        <v>1</v>
      </c>
    </row>
    <row r="60" spans="1:6">
      <c r="A60" s="49" t="s">
        <v>65</v>
      </c>
      <c r="E60" s="50" t="s">
        <v>66</v>
      </c>
    </row>
    <row r="61" spans="1:6">
      <c r="A61" s="51" t="s">
        <v>6</v>
      </c>
      <c r="B61" s="29">
        <f>COUNTIFS(DATA_ACHATS!$A:$A,"ARRIYADIA",DATA_ACHATS!$C:$C,"ENGAGE")</f>
        <v>72</v>
      </c>
      <c r="C61" s="30">
        <f>SUMIFS(DATA_ACHATS!$E:$E,DATA_ACHATS!$A:$A,"ARRIYADIA",DATA_ACHATS!$C:$C,"ENGAGE")</f>
        <v>177159086.54</v>
      </c>
      <c r="E61" s="52">
        <f>IFERROR(SUMIFS(DATA_ACHATS!$E:$E,DATA_ACHATS!$A:$A,"ARRIYADIA",DATA_ACHATS!$C:$C,"ENGAGE")/SUMIF(DATA_ACHATS!$A:$A,"ARRIYADIA",DATA_ACHATS!$E:$E),0)</f>
        <v>0.984571776304868</v>
      </c>
    </row>
    <row r="62" spans="1:6">
      <c r="A62" s="53" t="s">
        <v>7</v>
      </c>
      <c r="B62" s="29">
        <f>COUNTIFS(DATA_ACHATS!$A:$A,"ARRIYADIA",DATA_ACHATS!$C:$C,"PREENGAGE")</f>
        <v>0</v>
      </c>
      <c r="C62" s="30">
        <f>SUMIFS(DATA_ACHATS!$E:$E,DATA_ACHATS!$A:$A,"ARRIYADIA",DATA_ACHATS!$C:$C,"PREENGAGE")</f>
        <v>0</v>
      </c>
    </row>
    <row r="63" spans="1:6">
      <c r="A63" s="54" t="s">
        <v>8</v>
      </c>
      <c r="B63" s="29">
        <f>COUNTIFS(DATA_ACHATS!$A:$A,"ARRIYADIA",DATA_ACHATS!$C:$C,"EN COURS D'ENGAGEMENT")</f>
        <v>1</v>
      </c>
      <c r="C63" s="30">
        <f>SUMIFS(DATA_ACHATS!$E:$E,DATA_ACHATS!$A:$A,"ARRIYADIA",DATA_ACHATS!$C:$C,"EN COURS D'ENGAGEMENT")</f>
        <v>2776080</v>
      </c>
    </row>
    <row r="64" spans="1:6">
      <c r="A64" s="55" t="s">
        <v>9</v>
      </c>
      <c r="B64" s="29">
        <f>COUNTIFS(DATA_ACHATS!$A:$A,"ARRIYADIA",DATA_ACHATS!$C:$C,"EN COURS DE PREENGAGEMENT")</f>
        <v>0</v>
      </c>
      <c r="C64" s="30">
        <f>SUMIFS(DATA_ACHATS!$E:$E,DATA_ACHATS!$A:$A,"ARRIYADIA",DATA_ACHATS!$C:$C,"EN COURS DE PREENGAGEMENT")</f>
        <v>0</v>
      </c>
    </row>
    <row r="65" spans="1:6">
      <c r="A65" s="56" t="s">
        <v>10</v>
      </c>
      <c r="B65" s="29">
        <f>COUNTIFS(DATA_ACHATS!$A:$A,"ARRIYADIA",DATA_ACHATS!$C:$C,"NON ENGAGE")</f>
        <v>0</v>
      </c>
      <c r="C65" s="30">
        <f>SUMIFS(DATA_ACHATS!$E:$E,DATA_ACHATS!$A:$A,"ARRIYADIA",DATA_ACHATS!$C:$C,"NON ENGAGE")</f>
        <v>0</v>
      </c>
    </row>
    <row r="68" ht="20" customHeight="1" spans="1:6">
      <c r="A68" s="47" t="s">
        <v>67</v>
      </c>
      <c r="F68" s="48" t="s">
        <v>61</v>
      </c>
    </row>
    <row r="69" ht="29" spans="1:6">
      <c r="A69" s="13" t="s">
        <v>62</v>
      </c>
      <c r="B69" s="13" t="s">
        <v>55</v>
      </c>
      <c r="C69" s="13" t="s">
        <v>57</v>
      </c>
      <c r="D69" s="13" t="s">
        <v>63</v>
      </c>
    </row>
    <row r="70" spans="1:6">
      <c r="A70" s="38" t="s">
        <v>45</v>
      </c>
      <c r="B70" s="39">
        <f>COUNTIFS(DATA_ACHATS!$A:$A,"ASSADISSA",DATA_ACHATS!$D:$D,"CONTRAT")</f>
        <v>81</v>
      </c>
      <c r="C70" s="41">
        <f>SUMIFS(DATA_ACHATS!$E:$E,DATA_ACHATS!$A:$A,"ASSADISSA",DATA_ACHATS!$D:$D,"CONTRAT")</f>
        <v>8022706.28</v>
      </c>
      <c r="D70" s="40">
        <f>IFERROR(C70/$C$75,0)</f>
        <v>1</v>
      </c>
    </row>
    <row r="71" spans="1:6">
      <c r="A71" s="42" t="s">
        <v>46</v>
      </c>
      <c r="B71" s="39">
        <f>COUNTIFS(DATA_ACHATS!$A:$A,"ASSADISSA",DATA_ACHATS!$D:$D,"AOO-M")</f>
        <v>0</v>
      </c>
      <c r="C71" s="41">
        <f>SUMIFS(DATA_ACHATS!$E:$E,DATA_ACHATS!$A:$A,"ASSADISSA",DATA_ACHATS!$D:$D,"AOO-M")</f>
        <v>0</v>
      </c>
      <c r="D71" s="40">
        <f>IFERROR(C71/$C$75,0)</f>
        <v>0</v>
      </c>
    </row>
    <row r="72" spans="1:6">
      <c r="A72" s="43" t="s">
        <v>47</v>
      </c>
      <c r="B72" s="39">
        <f>COUNTIFS(DATA_ACHATS!$A:$A,"ASSADISSA",DATA_ACHATS!$D:$D,"AOO-CT")</f>
        <v>0</v>
      </c>
      <c r="C72" s="41">
        <f>SUMIFS(DATA_ACHATS!$E:$E,DATA_ACHATS!$A:$A,"ASSADISSA",DATA_ACHATS!$D:$D,"AOO-CT")</f>
        <v>0</v>
      </c>
      <c r="D72" s="40">
        <f>IFERROR(C72/$C$75,0)</f>
        <v>0</v>
      </c>
    </row>
    <row r="73" spans="1:6">
      <c r="A73" s="44" t="s">
        <v>48</v>
      </c>
      <c r="B73" s="39">
        <f>COUNTIFS(DATA_ACHATS!$A:$A,"ASSADISSA",DATA_ACHATS!$D:$D,"BCL")</f>
        <v>0</v>
      </c>
      <c r="C73" s="41">
        <f>SUMIFS(DATA_ACHATS!$E:$E,DATA_ACHATS!$A:$A,"ASSADISSA",DATA_ACHATS!$D:$D,"BCL")</f>
        <v>0</v>
      </c>
      <c r="D73" s="40">
        <f>IFERROR(C73/$C$75,0)</f>
        <v>0</v>
      </c>
    </row>
    <row r="74" spans="1:6">
      <c r="A74" s="45" t="s">
        <v>49</v>
      </c>
      <c r="B74" s="39">
        <f>COUNTIFS(DATA_ACHATS!$A:$A,"ASSADISSA",DATA_ACHATS!$D:$D,"BCI")</f>
        <v>0</v>
      </c>
      <c r="C74" s="41">
        <f>SUMIFS(DATA_ACHATS!$E:$E,DATA_ACHATS!$A:$A,"ASSADISSA",DATA_ACHATS!$D:$D,"BCI")</f>
        <v>0</v>
      </c>
      <c r="D74" s="40">
        <f>IFERROR(C74/$C$75,0)</f>
        <v>0</v>
      </c>
    </row>
    <row r="75" spans="1:6">
      <c r="A75" s="33" t="s">
        <v>64</v>
      </c>
      <c r="B75" s="34">
        <f>SUM(B70:B74)</f>
        <v>81</v>
      </c>
      <c r="C75" s="35">
        <f>SUM(C70:C74)</f>
        <v>8022706.28</v>
      </c>
      <c r="D75" s="46">
        <v>1</v>
      </c>
    </row>
    <row r="76" spans="1:6">
      <c r="A76" s="49" t="s">
        <v>65</v>
      </c>
      <c r="E76" s="50" t="s">
        <v>66</v>
      </c>
    </row>
    <row r="77" spans="1:6">
      <c r="A77" s="51" t="s">
        <v>6</v>
      </c>
      <c r="B77" s="29">
        <f>COUNTIFS(DATA_ACHATS!$A:$A,"ASSADISSA",DATA_ACHATS!$C:$C,"ENGAGE")</f>
        <v>81</v>
      </c>
      <c r="C77" s="30">
        <f>SUMIFS(DATA_ACHATS!$E:$E,DATA_ACHATS!$A:$A,"ASSADISSA",DATA_ACHATS!$C:$C,"ENGAGE")</f>
        <v>8022706.28</v>
      </c>
      <c r="E77" s="52">
        <f>IFERROR(SUMIFS(DATA_ACHATS!$E:$E,DATA_ACHATS!$A:$A,"ASSADISSA",DATA_ACHATS!$C:$C,"ENGAGE")/SUMIF(DATA_ACHATS!$A:$A,"ASSADISSA",DATA_ACHATS!$E:$E),0)</f>
        <v>1</v>
      </c>
    </row>
    <row r="78" spans="1:6">
      <c r="A78" s="53" t="s">
        <v>7</v>
      </c>
      <c r="B78" s="29">
        <f>COUNTIFS(DATA_ACHATS!$A:$A,"ASSADISSA",DATA_ACHATS!$C:$C,"PREENGAGE")</f>
        <v>0</v>
      </c>
      <c r="C78" s="30">
        <f>SUMIFS(DATA_ACHATS!$E:$E,DATA_ACHATS!$A:$A,"ASSADISSA",DATA_ACHATS!$C:$C,"PREENGAGE")</f>
        <v>0</v>
      </c>
    </row>
    <row r="79" spans="1:6">
      <c r="A79" s="54" t="s">
        <v>8</v>
      </c>
      <c r="B79" s="29">
        <f>COUNTIFS(DATA_ACHATS!$A:$A,"ASSADISSA",DATA_ACHATS!$C:$C,"EN COURS D'ENGAGEMENT")</f>
        <v>0</v>
      </c>
      <c r="C79" s="30">
        <f>SUMIFS(DATA_ACHATS!$E:$E,DATA_ACHATS!$A:$A,"ASSADISSA",DATA_ACHATS!$C:$C,"EN COURS D'ENGAGEMENT")</f>
        <v>0</v>
      </c>
    </row>
    <row r="80" spans="1:6">
      <c r="A80" s="55" t="s">
        <v>9</v>
      </c>
      <c r="B80" s="29">
        <f>COUNTIFS(DATA_ACHATS!$A:$A,"ASSADISSA",DATA_ACHATS!$C:$C,"EN COURS DE PREENGAGEMENT")</f>
        <v>0</v>
      </c>
      <c r="C80" s="30">
        <f>SUMIFS(DATA_ACHATS!$E:$E,DATA_ACHATS!$A:$A,"ASSADISSA",DATA_ACHATS!$C:$C,"EN COURS DE PREENGAGEMENT")</f>
        <v>0</v>
      </c>
    </row>
    <row r="81" spans="1:6">
      <c r="A81" s="56" t="s">
        <v>10</v>
      </c>
      <c r="B81" s="29">
        <f>COUNTIFS(DATA_ACHATS!$A:$A,"ASSADISSA",DATA_ACHATS!$C:$C,"NON ENGAGE")</f>
        <v>0</v>
      </c>
      <c r="C81" s="30">
        <f>SUMIFS(DATA_ACHATS!$E:$E,DATA_ACHATS!$A:$A,"ASSADISSA",DATA_ACHATS!$C:$C,"NON ENGAGE")</f>
        <v>0</v>
      </c>
    </row>
    <row r="84" ht="20" customHeight="1" spans="1:6">
      <c r="A84" s="47" t="s">
        <v>68</v>
      </c>
      <c r="F84" s="48" t="s">
        <v>61</v>
      </c>
    </row>
    <row r="85" ht="29" spans="1:6">
      <c r="A85" s="13" t="s">
        <v>62</v>
      </c>
      <c r="B85" s="13" t="s">
        <v>55</v>
      </c>
      <c r="C85" s="13" t="s">
        <v>57</v>
      </c>
      <c r="D85" s="13" t="s">
        <v>63</v>
      </c>
    </row>
    <row r="86" spans="1:6">
      <c r="A86" s="38" t="s">
        <v>45</v>
      </c>
      <c r="B86" s="39">
        <f>COUNTIFS(DATA_ACHATS!$A:$A,"DA",DATA_ACHATS!$D:$D,"CONTRAT")</f>
        <v>5</v>
      </c>
      <c r="C86" s="41">
        <f>SUMIFS(DATA_ACHATS!$E:$E,DATA_ACHATS!$A:$A,"DA",DATA_ACHATS!$D:$D,"CONTRAT")</f>
        <v>427760</v>
      </c>
      <c r="D86" s="40">
        <f>IFERROR(C86/$C$91,0)</f>
        <v>1</v>
      </c>
    </row>
    <row r="87" spans="1:6">
      <c r="A87" s="42" t="s">
        <v>46</v>
      </c>
      <c r="B87" s="39">
        <f>COUNTIFS(DATA_ACHATS!$A:$A,"DA",DATA_ACHATS!$D:$D,"AOO-M")</f>
        <v>0</v>
      </c>
      <c r="C87" s="41">
        <f>SUMIFS(DATA_ACHATS!$E:$E,DATA_ACHATS!$A:$A,"DA",DATA_ACHATS!$D:$D,"AOO-M")</f>
        <v>0</v>
      </c>
      <c r="D87" s="40">
        <f>IFERROR(C87/$C$91,0)</f>
        <v>0</v>
      </c>
    </row>
    <row r="88" spans="1:6">
      <c r="A88" s="43" t="s">
        <v>47</v>
      </c>
      <c r="B88" s="39">
        <f>COUNTIFS(DATA_ACHATS!$A:$A,"DA",DATA_ACHATS!$D:$D,"AOO-CT")</f>
        <v>0</v>
      </c>
      <c r="C88" s="41">
        <f>SUMIFS(DATA_ACHATS!$E:$E,DATA_ACHATS!$A:$A,"DA",DATA_ACHATS!$D:$D,"AOO-CT")</f>
        <v>0</v>
      </c>
      <c r="D88" s="40">
        <f>IFERROR(C88/$C$91,0)</f>
        <v>0</v>
      </c>
    </row>
    <row r="89" spans="1:6">
      <c r="A89" s="44" t="s">
        <v>48</v>
      </c>
      <c r="B89" s="39">
        <f>COUNTIFS(DATA_ACHATS!$A:$A,"DA",DATA_ACHATS!$D:$D,"BCL")</f>
        <v>0</v>
      </c>
      <c r="C89" s="41">
        <f>SUMIFS(DATA_ACHATS!$E:$E,DATA_ACHATS!$A:$A,"DA",DATA_ACHATS!$D:$D,"BCL")</f>
        <v>0</v>
      </c>
      <c r="D89" s="40">
        <f>IFERROR(C89/$C$91,0)</f>
        <v>0</v>
      </c>
    </row>
    <row r="90" spans="1:6">
      <c r="A90" s="45" t="s">
        <v>49</v>
      </c>
      <c r="B90" s="39">
        <f>COUNTIFS(DATA_ACHATS!$A:$A,"DA",DATA_ACHATS!$D:$D,"BCI")</f>
        <v>0</v>
      </c>
      <c r="C90" s="41">
        <f>SUMIFS(DATA_ACHATS!$E:$E,DATA_ACHATS!$A:$A,"DA",DATA_ACHATS!$D:$D,"BCI")</f>
        <v>0</v>
      </c>
      <c r="D90" s="40">
        <f>IFERROR(C90/$C$91,0)</f>
        <v>0</v>
      </c>
    </row>
    <row r="91" spans="1:6">
      <c r="A91" s="33" t="s">
        <v>64</v>
      </c>
      <c r="B91" s="34">
        <f>SUM(B86:B90)</f>
        <v>5</v>
      </c>
      <c r="C91" s="35">
        <f>SUM(C86:C90)</f>
        <v>427760</v>
      </c>
      <c r="D91" s="46">
        <v>1</v>
      </c>
    </row>
    <row r="92" spans="1:6">
      <c r="A92" s="49" t="s">
        <v>65</v>
      </c>
      <c r="E92" s="50" t="s">
        <v>66</v>
      </c>
    </row>
    <row r="93" spans="1:6">
      <c r="A93" s="51" t="s">
        <v>6</v>
      </c>
      <c r="B93" s="29">
        <f>COUNTIFS(DATA_ACHATS!$A:$A,"DA",DATA_ACHATS!$C:$C,"ENGAGE")</f>
        <v>5</v>
      </c>
      <c r="C93" s="30">
        <f>SUMIFS(DATA_ACHATS!$E:$E,DATA_ACHATS!$A:$A,"DA",DATA_ACHATS!$C:$C,"ENGAGE")</f>
        <v>427760</v>
      </c>
      <c r="E93" s="52">
        <f>IFERROR(SUMIFS(DATA_ACHATS!$E:$E,DATA_ACHATS!$A:$A,"DA",DATA_ACHATS!$C:$C,"ENGAGE")/SUMIF(DATA_ACHATS!$A:$A,"DA",DATA_ACHATS!$E:$E),0)</f>
        <v>1</v>
      </c>
    </row>
    <row r="94" spans="1:6">
      <c r="A94" s="53" t="s">
        <v>7</v>
      </c>
      <c r="B94" s="29">
        <f>COUNTIFS(DATA_ACHATS!$A:$A,"DA",DATA_ACHATS!$C:$C,"PREENGAGE")</f>
        <v>0</v>
      </c>
      <c r="C94" s="30">
        <f>SUMIFS(DATA_ACHATS!$E:$E,DATA_ACHATS!$A:$A,"DA",DATA_ACHATS!$C:$C,"PREENGAGE")</f>
        <v>0</v>
      </c>
    </row>
    <row r="95" spans="1:6">
      <c r="A95" s="54" t="s">
        <v>8</v>
      </c>
      <c r="B95" s="29">
        <f>COUNTIFS(DATA_ACHATS!$A:$A,"DA",DATA_ACHATS!$C:$C,"EN COURS D'ENGAGEMENT")</f>
        <v>0</v>
      </c>
      <c r="C95" s="30">
        <f>SUMIFS(DATA_ACHATS!$E:$E,DATA_ACHATS!$A:$A,"DA",DATA_ACHATS!$C:$C,"EN COURS D'ENGAGEMENT")</f>
        <v>0</v>
      </c>
    </row>
    <row r="96" spans="1:6">
      <c r="A96" s="55" t="s">
        <v>9</v>
      </c>
      <c r="B96" s="29">
        <f>COUNTIFS(DATA_ACHATS!$A:$A,"DA",DATA_ACHATS!$C:$C,"EN COURS DE PREENGAGEMENT")</f>
        <v>0</v>
      </c>
      <c r="C96" s="30">
        <f>SUMIFS(DATA_ACHATS!$E:$E,DATA_ACHATS!$A:$A,"DA",DATA_ACHATS!$C:$C,"EN COURS DE PREENGAGEMENT")</f>
        <v>0</v>
      </c>
    </row>
    <row r="97" spans="1:6">
      <c r="A97" s="56" t="s">
        <v>10</v>
      </c>
      <c r="B97" s="29">
        <f>COUNTIFS(DATA_ACHATS!$A:$A,"DA",DATA_ACHATS!$C:$C,"NON ENGAGE")</f>
        <v>0</v>
      </c>
      <c r="C97" s="30">
        <f>SUMIFS(DATA_ACHATS!$E:$E,DATA_ACHATS!$A:$A,"DA",DATA_ACHATS!$C:$C,"NON ENGAGE")</f>
        <v>0</v>
      </c>
    </row>
    <row r="100" ht="20" customHeight="1" spans="1:6">
      <c r="A100" s="47" t="s">
        <v>69</v>
      </c>
      <c r="F100" s="48" t="s">
        <v>61</v>
      </c>
    </row>
    <row r="101" ht="29" spans="1:6">
      <c r="A101" s="13" t="s">
        <v>62</v>
      </c>
      <c r="B101" s="13" t="s">
        <v>55</v>
      </c>
      <c r="C101" s="13" t="s">
        <v>57</v>
      </c>
      <c r="D101" s="13" t="s">
        <v>63</v>
      </c>
    </row>
    <row r="102" spans="1:6">
      <c r="A102" s="38" t="s">
        <v>45</v>
      </c>
      <c r="B102" s="39">
        <f>COUNTIFS(DATA_ACHATS!$A:$A,"DACG",DATA_ACHATS!$D:$D,"CONTRAT")</f>
        <v>3</v>
      </c>
      <c r="C102" s="41">
        <f>SUMIFS(DATA_ACHATS!$E:$E,DATA_ACHATS!$A:$A,"DACG",DATA_ACHATS!$D:$D,"CONTRAT")</f>
        <v>318500</v>
      </c>
      <c r="D102" s="40">
        <f>IFERROR(C102/$C$107,0)</f>
        <v>1</v>
      </c>
    </row>
    <row r="103" spans="1:6">
      <c r="A103" s="42" t="s">
        <v>46</v>
      </c>
      <c r="B103" s="39">
        <f>COUNTIFS(DATA_ACHATS!$A:$A,"DACG",DATA_ACHATS!$D:$D,"AOO-M")</f>
        <v>1</v>
      </c>
      <c r="C103" s="41">
        <f>SUMIFS(DATA_ACHATS!$E:$E,DATA_ACHATS!$A:$A,"DACG",DATA_ACHATS!$D:$D,"AOO-M")</f>
        <v>0</v>
      </c>
      <c r="D103" s="40">
        <f>IFERROR(C103/$C$107,0)</f>
        <v>0</v>
      </c>
    </row>
    <row r="104" spans="1:6">
      <c r="A104" s="43" t="s">
        <v>47</v>
      </c>
      <c r="B104" s="39">
        <f>COUNTIFS(DATA_ACHATS!$A:$A,"DACG",DATA_ACHATS!$D:$D,"AOO-CT")</f>
        <v>0</v>
      </c>
      <c r="C104" s="41">
        <f>SUMIFS(DATA_ACHATS!$E:$E,DATA_ACHATS!$A:$A,"DACG",DATA_ACHATS!$D:$D,"AOO-CT")</f>
        <v>0</v>
      </c>
      <c r="D104" s="40">
        <f>IFERROR(C104/$C$107,0)</f>
        <v>0</v>
      </c>
    </row>
    <row r="105" spans="1:6">
      <c r="A105" s="44" t="s">
        <v>48</v>
      </c>
      <c r="B105" s="39">
        <f>COUNTIFS(DATA_ACHATS!$A:$A,"DACG",DATA_ACHATS!$D:$D,"BCL")</f>
        <v>0</v>
      </c>
      <c r="C105" s="41">
        <f>SUMIFS(DATA_ACHATS!$E:$E,DATA_ACHATS!$A:$A,"DACG",DATA_ACHATS!$D:$D,"BCL")</f>
        <v>0</v>
      </c>
      <c r="D105" s="40">
        <f>IFERROR(C105/$C$107,0)</f>
        <v>0</v>
      </c>
    </row>
    <row r="106" spans="1:6">
      <c r="A106" s="45" t="s">
        <v>49</v>
      </c>
      <c r="B106" s="39">
        <f>COUNTIFS(DATA_ACHATS!$A:$A,"DACG",DATA_ACHATS!$D:$D,"BCI")</f>
        <v>0</v>
      </c>
      <c r="C106" s="41">
        <f>SUMIFS(DATA_ACHATS!$E:$E,DATA_ACHATS!$A:$A,"DACG",DATA_ACHATS!$D:$D,"BCI")</f>
        <v>0</v>
      </c>
      <c r="D106" s="40">
        <f>IFERROR(C106/$C$107,0)</f>
        <v>0</v>
      </c>
    </row>
    <row r="107" spans="1:6">
      <c r="A107" s="33" t="s">
        <v>64</v>
      </c>
      <c r="B107" s="34">
        <f>SUM(B102:B106)</f>
        <v>4</v>
      </c>
      <c r="C107" s="35">
        <f>SUM(C102:C106)</f>
        <v>318500</v>
      </c>
      <c r="D107" s="46">
        <v>1</v>
      </c>
    </row>
    <row r="108" spans="1:6">
      <c r="A108" s="49" t="s">
        <v>65</v>
      </c>
      <c r="E108" s="50" t="s">
        <v>66</v>
      </c>
    </row>
    <row r="109" spans="1:6">
      <c r="A109" s="51" t="s">
        <v>6</v>
      </c>
      <c r="B109" s="29">
        <f>COUNTIFS(DATA_ACHATS!$A:$A,"DACG",DATA_ACHATS!$C:$C,"ENGAGE")</f>
        <v>3</v>
      </c>
      <c r="C109" s="30">
        <f>SUMIFS(DATA_ACHATS!$E:$E,DATA_ACHATS!$A:$A,"DACG",DATA_ACHATS!$C:$C,"ENGAGE")</f>
        <v>318500</v>
      </c>
      <c r="E109" s="52">
        <f>IFERROR(SUMIFS(DATA_ACHATS!$E:$E,DATA_ACHATS!$A:$A,"DACG",DATA_ACHATS!$C:$C,"ENGAGE")/SUMIF(DATA_ACHATS!$A:$A,"DACG",DATA_ACHATS!$E:$E),0)</f>
        <v>1</v>
      </c>
    </row>
    <row r="110" spans="1:6">
      <c r="A110" s="53" t="s">
        <v>7</v>
      </c>
      <c r="B110" s="29">
        <f>COUNTIFS(DATA_ACHATS!$A:$A,"DACG",DATA_ACHATS!$C:$C,"PREENGAGE")</f>
        <v>0</v>
      </c>
      <c r="C110" s="30">
        <f>SUMIFS(DATA_ACHATS!$E:$E,DATA_ACHATS!$A:$A,"DACG",DATA_ACHATS!$C:$C,"PREENGAGE")</f>
        <v>0</v>
      </c>
    </row>
    <row r="111" spans="1:6">
      <c r="A111" s="54" t="s">
        <v>8</v>
      </c>
      <c r="B111" s="29">
        <f>COUNTIFS(DATA_ACHATS!$A:$A,"DACG",DATA_ACHATS!$C:$C,"EN COURS D'ENGAGEMENT")</f>
        <v>0</v>
      </c>
      <c r="C111" s="30">
        <f>SUMIFS(DATA_ACHATS!$E:$E,DATA_ACHATS!$A:$A,"DACG",DATA_ACHATS!$C:$C,"EN COURS D'ENGAGEMENT")</f>
        <v>0</v>
      </c>
    </row>
    <row r="112" spans="1:6">
      <c r="A112" s="55" t="s">
        <v>9</v>
      </c>
      <c r="B112" s="29">
        <f>COUNTIFS(DATA_ACHATS!$A:$A,"DACG",DATA_ACHATS!$C:$C,"EN COURS DE PREENGAGEMENT")</f>
        <v>1</v>
      </c>
      <c r="C112" s="30">
        <f>SUMIFS(DATA_ACHATS!$E:$E,DATA_ACHATS!$A:$A,"DACG",DATA_ACHATS!$C:$C,"EN COURS DE PREENGAGEMENT")</f>
        <v>0</v>
      </c>
    </row>
    <row r="113" spans="1:6">
      <c r="A113" s="56" t="s">
        <v>10</v>
      </c>
      <c r="B113" s="29">
        <f>COUNTIFS(DATA_ACHATS!$A:$A,"DACG",DATA_ACHATS!$C:$C,"NON ENGAGE")</f>
        <v>0</v>
      </c>
      <c r="C113" s="30">
        <f>SUMIFS(DATA_ACHATS!$E:$E,DATA_ACHATS!$A:$A,"DACG",DATA_ACHATS!$C:$C,"NON ENGAGE")</f>
        <v>0</v>
      </c>
    </row>
    <row r="116" ht="20" customHeight="1" spans="1:6">
      <c r="A116" s="47" t="s">
        <v>70</v>
      </c>
      <c r="F116" s="48" t="s">
        <v>61</v>
      </c>
    </row>
    <row r="117" ht="29" spans="1:6">
      <c r="A117" s="13" t="s">
        <v>62</v>
      </c>
      <c r="B117" s="13" t="s">
        <v>55</v>
      </c>
      <c r="C117" s="13" t="s">
        <v>57</v>
      </c>
      <c r="D117" s="13" t="s">
        <v>63</v>
      </c>
    </row>
    <row r="118" spans="1:6">
      <c r="A118" s="38" t="s">
        <v>45</v>
      </c>
      <c r="B118" s="39">
        <f>COUNTIFS(DATA_ACHATS!$A:$A,"DAR",DATA_ACHATS!$D:$D,"CONTRAT")</f>
        <v>1</v>
      </c>
      <c r="C118" s="41">
        <f>SUMIFS(DATA_ACHATS!$E:$E,DATA_ACHATS!$A:$A,"DAR",DATA_ACHATS!$D:$D,"CONTRAT")</f>
        <v>108000</v>
      </c>
      <c r="D118" s="40">
        <f>IFERROR(C118/$C$123,0)</f>
        <v>1</v>
      </c>
    </row>
    <row r="119" spans="1:6">
      <c r="A119" s="42" t="s">
        <v>46</v>
      </c>
      <c r="B119" s="39">
        <f>COUNTIFS(DATA_ACHATS!$A:$A,"DAR",DATA_ACHATS!$D:$D,"AOO-M")</f>
        <v>0</v>
      </c>
      <c r="C119" s="41">
        <f>SUMIFS(DATA_ACHATS!$E:$E,DATA_ACHATS!$A:$A,"DAR",DATA_ACHATS!$D:$D,"AOO-M")</f>
        <v>0</v>
      </c>
      <c r="D119" s="40">
        <f>IFERROR(C119/$C$123,0)</f>
        <v>0</v>
      </c>
    </row>
    <row r="120" spans="1:6">
      <c r="A120" s="43" t="s">
        <v>47</v>
      </c>
      <c r="B120" s="39">
        <f>COUNTIFS(DATA_ACHATS!$A:$A,"DAR",DATA_ACHATS!$D:$D,"AOO-CT")</f>
        <v>0</v>
      </c>
      <c r="C120" s="41">
        <f>SUMIFS(DATA_ACHATS!$E:$E,DATA_ACHATS!$A:$A,"DAR",DATA_ACHATS!$D:$D,"AOO-CT")</f>
        <v>0</v>
      </c>
      <c r="D120" s="40">
        <f>IFERROR(C120/$C$123,0)</f>
        <v>0</v>
      </c>
    </row>
    <row r="121" spans="1:6">
      <c r="A121" s="44" t="s">
        <v>48</v>
      </c>
      <c r="B121" s="39">
        <f>COUNTIFS(DATA_ACHATS!$A:$A,"DAR",DATA_ACHATS!$D:$D,"BCL")</f>
        <v>0</v>
      </c>
      <c r="C121" s="41">
        <f>SUMIFS(DATA_ACHATS!$E:$E,DATA_ACHATS!$A:$A,"DAR",DATA_ACHATS!$D:$D,"BCL")</f>
        <v>0</v>
      </c>
      <c r="D121" s="40">
        <f>IFERROR(C121/$C$123,0)</f>
        <v>0</v>
      </c>
    </row>
    <row r="122" spans="1:6">
      <c r="A122" s="45" t="s">
        <v>49</v>
      </c>
      <c r="B122" s="39">
        <f>COUNTIFS(DATA_ACHATS!$A:$A,"DAR",DATA_ACHATS!$D:$D,"BCI")</f>
        <v>0</v>
      </c>
      <c r="C122" s="41">
        <f>SUMIFS(DATA_ACHATS!$E:$E,DATA_ACHATS!$A:$A,"DAR",DATA_ACHATS!$D:$D,"BCI")</f>
        <v>0</v>
      </c>
      <c r="D122" s="40">
        <f>IFERROR(C122/$C$123,0)</f>
        <v>0</v>
      </c>
    </row>
    <row r="123" spans="1:6">
      <c r="A123" s="33" t="s">
        <v>64</v>
      </c>
      <c r="B123" s="34">
        <f>SUM(B118:B122)</f>
        <v>1</v>
      </c>
      <c r="C123" s="35">
        <f>SUM(C118:C122)</f>
        <v>108000</v>
      </c>
      <c r="D123" s="46">
        <v>1</v>
      </c>
    </row>
    <row r="124" spans="1:6">
      <c r="A124" s="49" t="s">
        <v>65</v>
      </c>
      <c r="E124" s="50" t="s">
        <v>66</v>
      </c>
    </row>
    <row r="125" spans="1:6">
      <c r="A125" s="51" t="s">
        <v>6</v>
      </c>
      <c r="B125" s="29">
        <f>COUNTIFS(DATA_ACHATS!$A:$A,"DAR",DATA_ACHATS!$C:$C,"ENGAGE")</f>
        <v>1</v>
      </c>
      <c r="C125" s="30">
        <f>SUMIFS(DATA_ACHATS!$E:$E,DATA_ACHATS!$A:$A,"DAR",DATA_ACHATS!$C:$C,"ENGAGE")</f>
        <v>108000</v>
      </c>
      <c r="E125" s="52">
        <f>IFERROR(SUMIFS(DATA_ACHATS!$E:$E,DATA_ACHATS!$A:$A,"DAR",DATA_ACHATS!$C:$C,"ENGAGE")/SUMIF(DATA_ACHATS!$A:$A,"DAR",DATA_ACHATS!$E:$E),0)</f>
        <v>1</v>
      </c>
    </row>
    <row r="126" spans="1:6">
      <c r="A126" s="53" t="s">
        <v>7</v>
      </c>
      <c r="B126" s="29">
        <f>COUNTIFS(DATA_ACHATS!$A:$A,"DAR",DATA_ACHATS!$C:$C,"PREENGAGE")</f>
        <v>0</v>
      </c>
      <c r="C126" s="30">
        <f>SUMIFS(DATA_ACHATS!$E:$E,DATA_ACHATS!$A:$A,"DAR",DATA_ACHATS!$C:$C,"PREENGAGE")</f>
        <v>0</v>
      </c>
    </row>
    <row r="127" spans="1:6">
      <c r="A127" s="54" t="s">
        <v>8</v>
      </c>
      <c r="B127" s="29">
        <f>COUNTIFS(DATA_ACHATS!$A:$A,"DAR",DATA_ACHATS!$C:$C,"EN COURS D'ENGAGEMENT")</f>
        <v>0</v>
      </c>
      <c r="C127" s="30">
        <f>SUMIFS(DATA_ACHATS!$E:$E,DATA_ACHATS!$A:$A,"DAR",DATA_ACHATS!$C:$C,"EN COURS D'ENGAGEMENT")</f>
        <v>0</v>
      </c>
    </row>
    <row r="128" spans="1:6">
      <c r="A128" s="55" t="s">
        <v>9</v>
      </c>
      <c r="B128" s="29">
        <f>COUNTIFS(DATA_ACHATS!$A:$A,"DAR",DATA_ACHATS!$C:$C,"EN COURS DE PREENGAGEMENT")</f>
        <v>0</v>
      </c>
      <c r="C128" s="30">
        <f>SUMIFS(DATA_ACHATS!$E:$E,DATA_ACHATS!$A:$A,"DAR",DATA_ACHATS!$C:$C,"EN COURS DE PREENGAGEMENT")</f>
        <v>0</v>
      </c>
    </row>
    <row r="129" spans="1:6">
      <c r="A129" s="56" t="s">
        <v>10</v>
      </c>
      <c r="B129" s="29">
        <f>COUNTIFS(DATA_ACHATS!$A:$A,"DAR",DATA_ACHATS!$C:$C,"NON ENGAGE")</f>
        <v>0</v>
      </c>
      <c r="C129" s="30">
        <f>SUMIFS(DATA_ACHATS!$E:$E,DATA_ACHATS!$A:$A,"DAR",DATA_ACHATS!$C:$C,"NON ENGAGE")</f>
        <v>0</v>
      </c>
    </row>
    <row r="132" ht="20" customHeight="1" spans="1:6">
      <c r="A132" s="47" t="s">
        <v>71</v>
      </c>
      <c r="F132" s="48" t="s">
        <v>61</v>
      </c>
    </row>
    <row r="133" ht="29" spans="1:6">
      <c r="A133" s="13" t="s">
        <v>62</v>
      </c>
      <c r="B133" s="13" t="s">
        <v>55</v>
      </c>
      <c r="C133" s="13" t="s">
        <v>57</v>
      </c>
      <c r="D133" s="13" t="s">
        <v>63</v>
      </c>
    </row>
    <row r="134" spans="1:6">
      <c r="A134" s="38" t="s">
        <v>45</v>
      </c>
      <c r="B134" s="39">
        <f>COUNTIFS(DATA_ACHATS!$A:$A,"DCPA",DATA_ACHATS!$D:$D,"CONTRAT")</f>
        <v>19</v>
      </c>
      <c r="C134" s="41">
        <f>SUMIFS(DATA_ACHATS!$E:$E,DATA_ACHATS!$A:$A,"DCPA",DATA_ACHATS!$D:$D,"CONTRAT")</f>
        <v>4716651.5</v>
      </c>
      <c r="D134" s="40">
        <f>IFERROR(C134/$C$139,0)</f>
        <v>0.272295792843512</v>
      </c>
    </row>
    <row r="135" spans="1:6">
      <c r="A135" s="42" t="s">
        <v>46</v>
      </c>
      <c r="B135" s="39">
        <f>COUNTIFS(DATA_ACHATS!$A:$A,"DCPA",DATA_ACHATS!$D:$D,"AOO-M")</f>
        <v>0</v>
      </c>
      <c r="C135" s="41">
        <f>SUMIFS(DATA_ACHATS!$E:$E,DATA_ACHATS!$A:$A,"DCPA",DATA_ACHATS!$D:$D,"AOO-M")</f>
        <v>0</v>
      </c>
      <c r="D135" s="40">
        <f>IFERROR(C135/$C$139,0)</f>
        <v>0</v>
      </c>
    </row>
    <row r="136" spans="1:6">
      <c r="A136" s="43" t="s">
        <v>47</v>
      </c>
      <c r="B136" s="39">
        <f>COUNTIFS(DATA_ACHATS!$A:$A,"DCPA",DATA_ACHATS!$D:$D,"AOO-CT")</f>
        <v>1</v>
      </c>
      <c r="C136" s="41">
        <f>SUMIFS(DATA_ACHATS!$E:$E,DATA_ACHATS!$A:$A,"DCPA",DATA_ACHATS!$D:$D,"AOO-CT")</f>
        <v>12605142.02</v>
      </c>
      <c r="D136" s="40">
        <f>IFERROR(C136/$C$139,0)</f>
        <v>0.727704207156489</v>
      </c>
    </row>
    <row r="137" spans="1:6">
      <c r="A137" s="44" t="s">
        <v>48</v>
      </c>
      <c r="B137" s="39">
        <f>COUNTIFS(DATA_ACHATS!$A:$A,"DCPA",DATA_ACHATS!$D:$D,"BCL")</f>
        <v>0</v>
      </c>
      <c r="C137" s="41">
        <f>SUMIFS(DATA_ACHATS!$E:$E,DATA_ACHATS!$A:$A,"DCPA",DATA_ACHATS!$D:$D,"BCL")</f>
        <v>0</v>
      </c>
      <c r="D137" s="40">
        <f>IFERROR(C137/$C$139,0)</f>
        <v>0</v>
      </c>
    </row>
    <row r="138" spans="1:6">
      <c r="A138" s="45" t="s">
        <v>49</v>
      </c>
      <c r="B138" s="39">
        <f>COUNTIFS(DATA_ACHATS!$A:$A,"DCPA",DATA_ACHATS!$D:$D,"BCI")</f>
        <v>0</v>
      </c>
      <c r="C138" s="41">
        <f>SUMIFS(DATA_ACHATS!$E:$E,DATA_ACHATS!$A:$A,"DCPA",DATA_ACHATS!$D:$D,"BCI")</f>
        <v>0</v>
      </c>
      <c r="D138" s="40">
        <f>IFERROR(C138/$C$139,0)</f>
        <v>0</v>
      </c>
    </row>
    <row r="139" spans="1:6">
      <c r="A139" s="33" t="s">
        <v>64</v>
      </c>
      <c r="B139" s="34">
        <f>SUM(B134:B138)</f>
        <v>20</v>
      </c>
      <c r="C139" s="35">
        <f>SUM(C134:C138)</f>
        <v>17321793.52</v>
      </c>
      <c r="D139" s="46">
        <v>1</v>
      </c>
    </row>
    <row r="140" spans="1:6">
      <c r="A140" s="49" t="s">
        <v>65</v>
      </c>
      <c r="E140" s="50" t="s">
        <v>66</v>
      </c>
    </row>
    <row r="141" spans="1:6">
      <c r="A141" s="51" t="s">
        <v>6</v>
      </c>
      <c r="B141" s="29">
        <f>COUNTIFS(DATA_ACHATS!$A:$A,"DCPA",DATA_ACHATS!$C:$C,"ENGAGE")</f>
        <v>20</v>
      </c>
      <c r="C141" s="30">
        <f>SUMIFS(DATA_ACHATS!$E:$E,DATA_ACHATS!$A:$A,"DCPA",DATA_ACHATS!$C:$C,"ENGAGE")</f>
        <v>17321793.52</v>
      </c>
      <c r="E141" s="52">
        <f>IFERROR(SUMIFS(DATA_ACHATS!$E:$E,DATA_ACHATS!$A:$A,"DCPA",DATA_ACHATS!$C:$C,"ENGAGE")/SUMIF(DATA_ACHATS!$A:$A,"DCPA",DATA_ACHATS!$E:$E),0)</f>
        <v>1</v>
      </c>
    </row>
    <row r="142" spans="1:6">
      <c r="A142" s="53" t="s">
        <v>7</v>
      </c>
      <c r="B142" s="29">
        <f>COUNTIFS(DATA_ACHATS!$A:$A,"DCPA",DATA_ACHATS!$C:$C,"PREENGAGE")</f>
        <v>0</v>
      </c>
      <c r="C142" s="30">
        <f>SUMIFS(DATA_ACHATS!$E:$E,DATA_ACHATS!$A:$A,"DCPA",DATA_ACHATS!$C:$C,"PREENGAGE")</f>
        <v>0</v>
      </c>
    </row>
    <row r="143" spans="1:6">
      <c r="A143" s="54" t="s">
        <v>8</v>
      </c>
      <c r="B143" s="29">
        <f>COUNTIFS(DATA_ACHATS!$A:$A,"DCPA",DATA_ACHATS!$C:$C,"EN COURS D'ENGAGEMENT")</f>
        <v>0</v>
      </c>
      <c r="C143" s="30">
        <f>SUMIFS(DATA_ACHATS!$E:$E,DATA_ACHATS!$A:$A,"DCPA",DATA_ACHATS!$C:$C,"EN COURS D'ENGAGEMENT")</f>
        <v>0</v>
      </c>
    </row>
    <row r="144" spans="1:6">
      <c r="A144" s="55" t="s">
        <v>9</v>
      </c>
      <c r="B144" s="29">
        <f>COUNTIFS(DATA_ACHATS!$A:$A,"DCPA",DATA_ACHATS!$C:$C,"EN COURS DE PREENGAGEMENT")</f>
        <v>0</v>
      </c>
      <c r="C144" s="30">
        <f>SUMIFS(DATA_ACHATS!$E:$E,DATA_ACHATS!$A:$A,"DCPA",DATA_ACHATS!$C:$C,"EN COURS DE PREENGAGEMENT")</f>
        <v>0</v>
      </c>
    </row>
    <row r="145" spans="1:6">
      <c r="A145" s="56" t="s">
        <v>10</v>
      </c>
      <c r="B145" s="29">
        <f>COUNTIFS(DATA_ACHATS!$A:$A,"DCPA",DATA_ACHATS!$C:$C,"NON ENGAGE")</f>
        <v>0</v>
      </c>
      <c r="C145" s="30">
        <f>SUMIFS(DATA_ACHATS!$E:$E,DATA_ACHATS!$A:$A,"DCPA",DATA_ACHATS!$C:$C,"NON ENGAGE")</f>
        <v>0</v>
      </c>
    </row>
    <row r="148" ht="20" customHeight="1" spans="1:6">
      <c r="A148" s="47" t="s">
        <v>72</v>
      </c>
      <c r="F148" s="48" t="s">
        <v>61</v>
      </c>
    </row>
    <row r="149" ht="29" spans="1:6">
      <c r="A149" s="13" t="s">
        <v>62</v>
      </c>
      <c r="B149" s="13" t="s">
        <v>55</v>
      </c>
      <c r="C149" s="13" t="s">
        <v>57</v>
      </c>
      <c r="D149" s="13" t="s">
        <v>63</v>
      </c>
    </row>
    <row r="150" spans="1:6">
      <c r="A150" s="38" t="s">
        <v>45</v>
      </c>
      <c r="B150" s="39">
        <f>COUNTIFS(DATA_ACHATS!$A:$A,"DCRI",DATA_ACHATS!$D:$D,"CONTRAT")</f>
        <v>1</v>
      </c>
      <c r="C150" s="41">
        <f>SUMIFS(DATA_ACHATS!$E:$E,DATA_ACHATS!$A:$A,"DCRI",DATA_ACHATS!$D:$D,"CONTRAT")</f>
        <v>318240</v>
      </c>
      <c r="D150" s="40">
        <f>IFERROR(C150/$C$155,0)</f>
        <v>1</v>
      </c>
    </row>
    <row r="151" spans="1:6">
      <c r="A151" s="42" t="s">
        <v>46</v>
      </c>
      <c r="B151" s="39">
        <f>COUNTIFS(DATA_ACHATS!$A:$A,"DCRI",DATA_ACHATS!$D:$D,"AOO-M")</f>
        <v>0</v>
      </c>
      <c r="C151" s="41">
        <f>SUMIFS(DATA_ACHATS!$E:$E,DATA_ACHATS!$A:$A,"DCRI",DATA_ACHATS!$D:$D,"AOO-M")</f>
        <v>0</v>
      </c>
      <c r="D151" s="40">
        <f>IFERROR(C151/$C$155,0)</f>
        <v>0</v>
      </c>
    </row>
    <row r="152" spans="1:6">
      <c r="A152" s="43" t="s">
        <v>47</v>
      </c>
      <c r="B152" s="39">
        <f>COUNTIFS(DATA_ACHATS!$A:$A,"DCRI",DATA_ACHATS!$D:$D,"AOO-CT")</f>
        <v>0</v>
      </c>
      <c r="C152" s="41">
        <f>SUMIFS(DATA_ACHATS!$E:$E,DATA_ACHATS!$A:$A,"DCRI",DATA_ACHATS!$D:$D,"AOO-CT")</f>
        <v>0</v>
      </c>
      <c r="D152" s="40">
        <f>IFERROR(C152/$C$155,0)</f>
        <v>0</v>
      </c>
    </row>
    <row r="153" spans="1:6">
      <c r="A153" s="44" t="s">
        <v>48</v>
      </c>
      <c r="B153" s="39">
        <f>COUNTIFS(DATA_ACHATS!$A:$A,"DCRI",DATA_ACHATS!$D:$D,"BCL")</f>
        <v>0</v>
      </c>
      <c r="C153" s="41">
        <f>SUMIFS(DATA_ACHATS!$E:$E,DATA_ACHATS!$A:$A,"DCRI",DATA_ACHATS!$D:$D,"BCL")</f>
        <v>0</v>
      </c>
      <c r="D153" s="40">
        <f>IFERROR(C153/$C$155,0)</f>
        <v>0</v>
      </c>
    </row>
    <row r="154" spans="1:6">
      <c r="A154" s="45" t="s">
        <v>49</v>
      </c>
      <c r="B154" s="39">
        <f>COUNTIFS(DATA_ACHATS!$A:$A,"DCRI",DATA_ACHATS!$D:$D,"BCI")</f>
        <v>0</v>
      </c>
      <c r="C154" s="41">
        <f>SUMIFS(DATA_ACHATS!$E:$E,DATA_ACHATS!$A:$A,"DCRI",DATA_ACHATS!$D:$D,"BCI")</f>
        <v>0</v>
      </c>
      <c r="D154" s="40">
        <f>IFERROR(C154/$C$155,0)</f>
        <v>0</v>
      </c>
    </row>
    <row r="155" spans="1:6">
      <c r="A155" s="33" t="s">
        <v>64</v>
      </c>
      <c r="B155" s="34">
        <f>SUM(B150:B154)</f>
        <v>1</v>
      </c>
      <c r="C155" s="35">
        <f>SUM(C150:C154)</f>
        <v>318240</v>
      </c>
      <c r="D155" s="46">
        <v>1</v>
      </c>
    </row>
    <row r="156" spans="1:6">
      <c r="A156" s="49" t="s">
        <v>65</v>
      </c>
      <c r="E156" s="50" t="s">
        <v>66</v>
      </c>
    </row>
    <row r="157" spans="1:6">
      <c r="A157" s="51" t="s">
        <v>6</v>
      </c>
      <c r="B157" s="29">
        <f>COUNTIFS(DATA_ACHATS!$A:$A,"DCRI",DATA_ACHATS!$C:$C,"ENGAGE")</f>
        <v>1</v>
      </c>
      <c r="C157" s="30">
        <f>SUMIFS(DATA_ACHATS!$E:$E,DATA_ACHATS!$A:$A,"DCRI",DATA_ACHATS!$C:$C,"ENGAGE")</f>
        <v>318240</v>
      </c>
      <c r="E157" s="52">
        <f>IFERROR(SUMIFS(DATA_ACHATS!$E:$E,DATA_ACHATS!$A:$A,"DCRI",DATA_ACHATS!$C:$C,"ENGAGE")/SUMIF(DATA_ACHATS!$A:$A,"DCRI",DATA_ACHATS!$E:$E),0)</f>
        <v>1</v>
      </c>
    </row>
    <row r="158" spans="1:6">
      <c r="A158" s="53" t="s">
        <v>7</v>
      </c>
      <c r="B158" s="29">
        <f>COUNTIFS(DATA_ACHATS!$A:$A,"DCRI",DATA_ACHATS!$C:$C,"PREENGAGE")</f>
        <v>0</v>
      </c>
      <c r="C158" s="30">
        <f>SUMIFS(DATA_ACHATS!$E:$E,DATA_ACHATS!$A:$A,"DCRI",DATA_ACHATS!$C:$C,"PREENGAGE")</f>
        <v>0</v>
      </c>
    </row>
    <row r="159" spans="1:6">
      <c r="A159" s="54" t="s">
        <v>8</v>
      </c>
      <c r="B159" s="29">
        <f>COUNTIFS(DATA_ACHATS!$A:$A,"DCRI",DATA_ACHATS!$C:$C,"EN COURS D'ENGAGEMENT")</f>
        <v>0</v>
      </c>
      <c r="C159" s="30">
        <f>SUMIFS(DATA_ACHATS!$E:$E,DATA_ACHATS!$A:$A,"DCRI",DATA_ACHATS!$C:$C,"EN COURS D'ENGAGEMENT")</f>
        <v>0</v>
      </c>
    </row>
    <row r="160" spans="1:6">
      <c r="A160" s="55" t="s">
        <v>9</v>
      </c>
      <c r="B160" s="29">
        <f>COUNTIFS(DATA_ACHATS!$A:$A,"DCRI",DATA_ACHATS!$C:$C,"EN COURS DE PREENGAGEMENT")</f>
        <v>0</v>
      </c>
      <c r="C160" s="30">
        <f>SUMIFS(DATA_ACHATS!$E:$E,DATA_ACHATS!$A:$A,"DCRI",DATA_ACHATS!$C:$C,"EN COURS DE PREENGAGEMENT")</f>
        <v>0</v>
      </c>
    </row>
    <row r="161" spans="1:6">
      <c r="A161" s="56" t="s">
        <v>10</v>
      </c>
      <c r="B161" s="29">
        <f>COUNTIFS(DATA_ACHATS!$A:$A,"DCRI",DATA_ACHATS!$C:$C,"NON ENGAGE")</f>
        <v>0</v>
      </c>
      <c r="C161" s="30">
        <f>SUMIFS(DATA_ACHATS!$E:$E,DATA_ACHATS!$A:$A,"DCRI",DATA_ACHATS!$C:$C,"NON ENGAGE")</f>
        <v>0</v>
      </c>
    </row>
    <row r="164" ht="20" customHeight="1" spans="1:6">
      <c r="A164" s="47" t="s">
        <v>73</v>
      </c>
      <c r="F164" s="48" t="s">
        <v>61</v>
      </c>
    </row>
    <row r="165" ht="29" spans="1:6">
      <c r="A165" s="13" t="s">
        <v>62</v>
      </c>
      <c r="B165" s="13" t="s">
        <v>55</v>
      </c>
      <c r="C165" s="13" t="s">
        <v>57</v>
      </c>
      <c r="D165" s="13" t="s">
        <v>63</v>
      </c>
    </row>
    <row r="166" spans="1:6">
      <c r="A166" s="38" t="s">
        <v>45</v>
      </c>
      <c r="B166" s="39">
        <f>COUNTIFS(DATA_ACHATS!$A:$A,"DG",DATA_ACHATS!$D:$D,"CONTRAT")</f>
        <v>1</v>
      </c>
      <c r="C166" s="41">
        <f>SUMIFS(DATA_ACHATS!$E:$E,DATA_ACHATS!$A:$A,"DG",DATA_ACHATS!$D:$D,"CONTRAT")</f>
        <v>576000</v>
      </c>
      <c r="D166" s="40">
        <f>IFERROR(C166/$C$171,0)</f>
        <v>1</v>
      </c>
    </row>
    <row r="167" spans="1:6">
      <c r="A167" s="42" t="s">
        <v>46</v>
      </c>
      <c r="B167" s="39">
        <f>COUNTIFS(DATA_ACHATS!$A:$A,"DG",DATA_ACHATS!$D:$D,"AOO-M")</f>
        <v>0</v>
      </c>
      <c r="C167" s="41">
        <f>SUMIFS(DATA_ACHATS!$E:$E,DATA_ACHATS!$A:$A,"DG",DATA_ACHATS!$D:$D,"AOO-M")</f>
        <v>0</v>
      </c>
      <c r="D167" s="40">
        <f>IFERROR(C167/$C$171,0)</f>
        <v>0</v>
      </c>
    </row>
    <row r="168" spans="1:6">
      <c r="A168" s="43" t="s">
        <v>47</v>
      </c>
      <c r="B168" s="39">
        <f>COUNTIFS(DATA_ACHATS!$A:$A,"DG",DATA_ACHATS!$D:$D,"AOO-CT")</f>
        <v>0</v>
      </c>
      <c r="C168" s="41">
        <f>SUMIFS(DATA_ACHATS!$E:$E,DATA_ACHATS!$A:$A,"DG",DATA_ACHATS!$D:$D,"AOO-CT")</f>
        <v>0</v>
      </c>
      <c r="D168" s="40">
        <f>IFERROR(C168/$C$171,0)</f>
        <v>0</v>
      </c>
    </row>
    <row r="169" spans="1:6">
      <c r="A169" s="44" t="s">
        <v>48</v>
      </c>
      <c r="B169" s="39">
        <f>COUNTIFS(DATA_ACHATS!$A:$A,"DG",DATA_ACHATS!$D:$D,"BCL")</f>
        <v>0</v>
      </c>
      <c r="C169" s="41">
        <f>SUMIFS(DATA_ACHATS!$E:$E,DATA_ACHATS!$A:$A,"DG",DATA_ACHATS!$D:$D,"BCL")</f>
        <v>0</v>
      </c>
      <c r="D169" s="40">
        <f>IFERROR(C169/$C$171,0)</f>
        <v>0</v>
      </c>
    </row>
    <row r="170" spans="1:6">
      <c r="A170" s="45" t="s">
        <v>49</v>
      </c>
      <c r="B170" s="39">
        <f>COUNTIFS(DATA_ACHATS!$A:$A,"DG",DATA_ACHATS!$D:$D,"BCI")</f>
        <v>0</v>
      </c>
      <c r="C170" s="41">
        <f>SUMIFS(DATA_ACHATS!$E:$E,DATA_ACHATS!$A:$A,"DG",DATA_ACHATS!$D:$D,"BCI")</f>
        <v>0</v>
      </c>
      <c r="D170" s="40">
        <f>IFERROR(C170/$C$171,0)</f>
        <v>0</v>
      </c>
    </row>
    <row r="171" spans="1:6">
      <c r="A171" s="33" t="s">
        <v>64</v>
      </c>
      <c r="B171" s="34">
        <f>SUM(B166:B170)</f>
        <v>1</v>
      </c>
      <c r="C171" s="35">
        <f>SUM(C166:C170)</f>
        <v>576000</v>
      </c>
      <c r="D171" s="46">
        <v>1</v>
      </c>
    </row>
    <row r="172" spans="1:6">
      <c r="A172" s="49" t="s">
        <v>65</v>
      </c>
      <c r="E172" s="50" t="s">
        <v>66</v>
      </c>
    </row>
    <row r="173" spans="1:6">
      <c r="A173" s="51" t="s">
        <v>6</v>
      </c>
      <c r="B173" s="29">
        <f>COUNTIFS(DATA_ACHATS!$A:$A,"DG",DATA_ACHATS!$C:$C,"ENGAGE")</f>
        <v>1</v>
      </c>
      <c r="C173" s="30">
        <f>SUMIFS(DATA_ACHATS!$E:$E,DATA_ACHATS!$A:$A,"DG",DATA_ACHATS!$C:$C,"ENGAGE")</f>
        <v>576000</v>
      </c>
      <c r="E173" s="52">
        <f>IFERROR(SUMIFS(DATA_ACHATS!$E:$E,DATA_ACHATS!$A:$A,"DG",DATA_ACHATS!$C:$C,"ENGAGE")/SUMIF(DATA_ACHATS!$A:$A,"DG",DATA_ACHATS!$E:$E),0)</f>
        <v>1</v>
      </c>
    </row>
    <row r="174" spans="1:6">
      <c r="A174" s="53" t="s">
        <v>7</v>
      </c>
      <c r="B174" s="29">
        <f>COUNTIFS(DATA_ACHATS!$A:$A,"DG",DATA_ACHATS!$C:$C,"PREENGAGE")</f>
        <v>0</v>
      </c>
      <c r="C174" s="30">
        <f>SUMIFS(DATA_ACHATS!$E:$E,DATA_ACHATS!$A:$A,"DG",DATA_ACHATS!$C:$C,"PREENGAGE")</f>
        <v>0</v>
      </c>
    </row>
    <row r="175" spans="1:6">
      <c r="A175" s="54" t="s">
        <v>8</v>
      </c>
      <c r="B175" s="29">
        <f>COUNTIFS(DATA_ACHATS!$A:$A,"DG",DATA_ACHATS!$C:$C,"EN COURS D'ENGAGEMENT")</f>
        <v>0</v>
      </c>
      <c r="C175" s="30">
        <f>SUMIFS(DATA_ACHATS!$E:$E,DATA_ACHATS!$A:$A,"DG",DATA_ACHATS!$C:$C,"EN COURS D'ENGAGEMENT")</f>
        <v>0</v>
      </c>
    </row>
    <row r="176" spans="1:6">
      <c r="A176" s="55" t="s">
        <v>9</v>
      </c>
      <c r="B176" s="29">
        <f>COUNTIFS(DATA_ACHATS!$A:$A,"DG",DATA_ACHATS!$C:$C,"EN COURS DE PREENGAGEMENT")</f>
        <v>0</v>
      </c>
      <c r="C176" s="30">
        <f>SUMIFS(DATA_ACHATS!$E:$E,DATA_ACHATS!$A:$A,"DG",DATA_ACHATS!$C:$C,"EN COURS DE PREENGAGEMENT")</f>
        <v>0</v>
      </c>
    </row>
    <row r="177" spans="1:6">
      <c r="A177" s="56" t="s">
        <v>10</v>
      </c>
      <c r="B177" s="29">
        <f>COUNTIFS(DATA_ACHATS!$A:$A,"DG",DATA_ACHATS!$C:$C,"NON ENGAGE")</f>
        <v>0</v>
      </c>
      <c r="C177" s="30">
        <f>SUMIFS(DATA_ACHATS!$E:$E,DATA_ACHATS!$A:$A,"DG",DATA_ACHATS!$C:$C,"NON ENGAGE")</f>
        <v>0</v>
      </c>
    </row>
    <row r="180" ht="20" customHeight="1" spans="1:6">
      <c r="A180" s="47" t="s">
        <v>74</v>
      </c>
      <c r="F180" s="48" t="s">
        <v>61</v>
      </c>
    </row>
    <row r="181" ht="29" spans="1:6">
      <c r="A181" s="13" t="s">
        <v>62</v>
      </c>
      <c r="B181" s="13" t="s">
        <v>55</v>
      </c>
      <c r="C181" s="13" t="s">
        <v>57</v>
      </c>
      <c r="D181" s="13" t="s">
        <v>63</v>
      </c>
    </row>
    <row r="182" spans="1:6">
      <c r="A182" s="38" t="s">
        <v>45</v>
      </c>
      <c r="B182" s="39">
        <f>COUNTIFS(DATA_ACHATS!$A:$A,"DINFORADIO",DATA_ACHATS!$D:$D,"CONTRAT")</f>
        <v>7</v>
      </c>
      <c r="C182" s="41">
        <f>SUMIFS(DATA_ACHATS!$E:$E,DATA_ACHATS!$A:$A,"DINFORADIO",DATA_ACHATS!$D:$D,"CONTRAT")</f>
        <v>2648832.52</v>
      </c>
      <c r="D182" s="40">
        <f>IFERROR(C182/$C$187,0)</f>
        <v>1</v>
      </c>
    </row>
    <row r="183" spans="1:6">
      <c r="A183" s="42" t="s">
        <v>46</v>
      </c>
      <c r="B183" s="39">
        <f>COUNTIFS(DATA_ACHATS!$A:$A,"DINFORADIO",DATA_ACHATS!$D:$D,"AOO-M")</f>
        <v>0</v>
      </c>
      <c r="C183" s="41">
        <f>SUMIFS(DATA_ACHATS!$E:$E,DATA_ACHATS!$A:$A,"DINFORADIO",DATA_ACHATS!$D:$D,"AOO-M")</f>
        <v>0</v>
      </c>
      <c r="D183" s="40">
        <f>IFERROR(C183/$C$187,0)</f>
        <v>0</v>
      </c>
    </row>
    <row r="184" spans="1:6">
      <c r="A184" s="43" t="s">
        <v>47</v>
      </c>
      <c r="B184" s="39">
        <f>COUNTIFS(DATA_ACHATS!$A:$A,"DINFORADIO",DATA_ACHATS!$D:$D,"AOO-CT")</f>
        <v>0</v>
      </c>
      <c r="C184" s="41">
        <f>SUMIFS(DATA_ACHATS!$E:$E,DATA_ACHATS!$A:$A,"DINFORADIO",DATA_ACHATS!$D:$D,"AOO-CT")</f>
        <v>0</v>
      </c>
      <c r="D184" s="40">
        <f>IFERROR(C184/$C$187,0)</f>
        <v>0</v>
      </c>
    </row>
    <row r="185" spans="1:6">
      <c r="A185" s="44" t="s">
        <v>48</v>
      </c>
      <c r="B185" s="39">
        <f>COUNTIFS(DATA_ACHATS!$A:$A,"DINFORADIO",DATA_ACHATS!$D:$D,"BCL")</f>
        <v>0</v>
      </c>
      <c r="C185" s="41">
        <f>SUMIFS(DATA_ACHATS!$E:$E,DATA_ACHATS!$A:$A,"DINFORADIO",DATA_ACHATS!$D:$D,"BCL")</f>
        <v>0</v>
      </c>
      <c r="D185" s="40">
        <f>IFERROR(C185/$C$187,0)</f>
        <v>0</v>
      </c>
    </row>
    <row r="186" spans="1:6">
      <c r="A186" s="45" t="s">
        <v>49</v>
      </c>
      <c r="B186" s="39">
        <f>COUNTIFS(DATA_ACHATS!$A:$A,"DINFORADIO",DATA_ACHATS!$D:$D,"BCI")</f>
        <v>0</v>
      </c>
      <c r="C186" s="41">
        <f>SUMIFS(DATA_ACHATS!$E:$E,DATA_ACHATS!$A:$A,"DINFORADIO",DATA_ACHATS!$D:$D,"BCI")</f>
        <v>0</v>
      </c>
      <c r="D186" s="40">
        <f>IFERROR(C186/$C$187,0)</f>
        <v>0</v>
      </c>
    </row>
    <row r="187" spans="1:6">
      <c r="A187" s="33" t="s">
        <v>64</v>
      </c>
      <c r="B187" s="34">
        <f>SUM(B182:B186)</f>
        <v>7</v>
      </c>
      <c r="C187" s="35">
        <f>SUM(C182:C186)</f>
        <v>2648832.52</v>
      </c>
      <c r="D187" s="46">
        <v>1</v>
      </c>
    </row>
    <row r="188" spans="1:6">
      <c r="A188" s="49" t="s">
        <v>65</v>
      </c>
      <c r="E188" s="50" t="s">
        <v>66</v>
      </c>
    </row>
    <row r="189" spans="1:6">
      <c r="A189" s="51" t="s">
        <v>6</v>
      </c>
      <c r="B189" s="29">
        <f>COUNTIFS(DATA_ACHATS!$A:$A,"DINFORADIO",DATA_ACHATS!$C:$C,"ENGAGE")</f>
        <v>7</v>
      </c>
      <c r="C189" s="30">
        <f>SUMIFS(DATA_ACHATS!$E:$E,DATA_ACHATS!$A:$A,"DINFORADIO",DATA_ACHATS!$C:$C,"ENGAGE")</f>
        <v>2648832.52</v>
      </c>
      <c r="E189" s="52">
        <f>IFERROR(SUMIFS(DATA_ACHATS!$E:$E,DATA_ACHATS!$A:$A,"DINFORADIO",DATA_ACHATS!$C:$C,"ENGAGE")/SUMIF(DATA_ACHATS!$A:$A,"DINFORADIO",DATA_ACHATS!$E:$E),0)</f>
        <v>1</v>
      </c>
    </row>
    <row r="190" spans="1:6">
      <c r="A190" s="53" t="s">
        <v>7</v>
      </c>
      <c r="B190" s="29">
        <f>COUNTIFS(DATA_ACHATS!$A:$A,"DINFORADIO",DATA_ACHATS!$C:$C,"PREENGAGE")</f>
        <v>0</v>
      </c>
      <c r="C190" s="30">
        <f>SUMIFS(DATA_ACHATS!$E:$E,DATA_ACHATS!$A:$A,"DINFORADIO",DATA_ACHATS!$C:$C,"PREENGAGE")</f>
        <v>0</v>
      </c>
    </row>
    <row r="191" spans="1:6">
      <c r="A191" s="54" t="s">
        <v>8</v>
      </c>
      <c r="B191" s="29">
        <f>COUNTIFS(DATA_ACHATS!$A:$A,"DINFORADIO",DATA_ACHATS!$C:$C,"EN COURS D'ENGAGEMENT")</f>
        <v>0</v>
      </c>
      <c r="C191" s="30">
        <f>SUMIFS(DATA_ACHATS!$E:$E,DATA_ACHATS!$A:$A,"DINFORADIO",DATA_ACHATS!$C:$C,"EN COURS D'ENGAGEMENT")</f>
        <v>0</v>
      </c>
    </row>
    <row r="192" spans="1:6">
      <c r="A192" s="55" t="s">
        <v>9</v>
      </c>
      <c r="B192" s="29">
        <f>COUNTIFS(DATA_ACHATS!$A:$A,"DINFORADIO",DATA_ACHATS!$C:$C,"EN COURS DE PREENGAGEMENT")</f>
        <v>0</v>
      </c>
      <c r="C192" s="30">
        <f>SUMIFS(DATA_ACHATS!$E:$E,DATA_ACHATS!$A:$A,"DINFORADIO",DATA_ACHATS!$C:$C,"EN COURS DE PREENGAGEMENT")</f>
        <v>0</v>
      </c>
    </row>
    <row r="193" spans="1:6">
      <c r="A193" s="56" t="s">
        <v>10</v>
      </c>
      <c r="B193" s="29">
        <f>COUNTIFS(DATA_ACHATS!$A:$A,"DINFORADIO",DATA_ACHATS!$C:$C,"NON ENGAGE")</f>
        <v>0</v>
      </c>
      <c r="C193" s="30">
        <f>SUMIFS(DATA_ACHATS!$E:$E,DATA_ACHATS!$A:$A,"DINFORADIO",DATA_ACHATS!$C:$C,"NON ENGAGE")</f>
        <v>0</v>
      </c>
    </row>
    <row r="196" ht="20" customHeight="1" spans="1:6">
      <c r="A196" s="47" t="s">
        <v>75</v>
      </c>
      <c r="F196" s="48" t="s">
        <v>61</v>
      </c>
    </row>
    <row r="197" ht="29" spans="1:6">
      <c r="A197" s="13" t="s">
        <v>62</v>
      </c>
      <c r="B197" s="13" t="s">
        <v>55</v>
      </c>
      <c r="C197" s="13" t="s">
        <v>57</v>
      </c>
      <c r="D197" s="13" t="s">
        <v>63</v>
      </c>
    </row>
    <row r="198" spans="1:6">
      <c r="A198" s="38" t="s">
        <v>45</v>
      </c>
      <c r="B198" s="39">
        <f>COUNTIFS(DATA_ACHATS!$A:$A,"DINFOTV",DATA_ACHATS!$D:$D,"CONTRAT")</f>
        <v>30</v>
      </c>
      <c r="C198" s="41">
        <f>SUMIFS(DATA_ACHATS!$E:$E,DATA_ACHATS!$A:$A,"DINFOTV",DATA_ACHATS!$D:$D,"CONTRAT")</f>
        <v>10711701.33</v>
      </c>
      <c r="D198" s="40">
        <f>IFERROR(C198/$C$203,0)</f>
        <v>0.992912233205458</v>
      </c>
    </row>
    <row r="199" spans="1:6">
      <c r="A199" s="42" t="s">
        <v>46</v>
      </c>
      <c r="B199" s="39">
        <f>COUNTIFS(DATA_ACHATS!$A:$A,"DINFOTV",DATA_ACHATS!$D:$D,"AOO-M")</f>
        <v>1</v>
      </c>
      <c r="C199" s="41">
        <f>SUMIFS(DATA_ACHATS!$E:$E,DATA_ACHATS!$A:$A,"DINFOTV",DATA_ACHATS!$D:$D,"AOO-M")</f>
        <v>76464</v>
      </c>
      <c r="D199" s="40">
        <f>IFERROR(C199/$C$203,0)</f>
        <v>0.0070877667945417</v>
      </c>
    </row>
    <row r="200" spans="1:6">
      <c r="A200" s="43" t="s">
        <v>47</v>
      </c>
      <c r="B200" s="39">
        <f>COUNTIFS(DATA_ACHATS!$A:$A,"DINFOTV",DATA_ACHATS!$D:$D,"AOO-CT")</f>
        <v>0</v>
      </c>
      <c r="C200" s="41">
        <f>SUMIFS(DATA_ACHATS!$E:$E,DATA_ACHATS!$A:$A,"DINFOTV",DATA_ACHATS!$D:$D,"AOO-CT")</f>
        <v>0</v>
      </c>
      <c r="D200" s="40">
        <f>IFERROR(C200/$C$203,0)</f>
        <v>0</v>
      </c>
    </row>
    <row r="201" spans="1:6">
      <c r="A201" s="44" t="s">
        <v>48</v>
      </c>
      <c r="B201" s="39">
        <f>COUNTIFS(DATA_ACHATS!$A:$A,"DINFOTV",DATA_ACHATS!$D:$D,"BCL")</f>
        <v>0</v>
      </c>
      <c r="C201" s="41">
        <f>SUMIFS(DATA_ACHATS!$E:$E,DATA_ACHATS!$A:$A,"DINFOTV",DATA_ACHATS!$D:$D,"BCL")</f>
        <v>0</v>
      </c>
      <c r="D201" s="40">
        <f>IFERROR(C201/$C$203,0)</f>
        <v>0</v>
      </c>
    </row>
    <row r="202" spans="1:6">
      <c r="A202" s="45" t="s">
        <v>49</v>
      </c>
      <c r="B202" s="39">
        <f>COUNTIFS(DATA_ACHATS!$A:$A,"DINFOTV",DATA_ACHATS!$D:$D,"BCI")</f>
        <v>0</v>
      </c>
      <c r="C202" s="41">
        <f>SUMIFS(DATA_ACHATS!$E:$E,DATA_ACHATS!$A:$A,"DINFOTV",DATA_ACHATS!$D:$D,"BCI")</f>
        <v>0</v>
      </c>
      <c r="D202" s="40">
        <f>IFERROR(C202/$C$203,0)</f>
        <v>0</v>
      </c>
    </row>
    <row r="203" spans="1:6">
      <c r="A203" s="33" t="s">
        <v>64</v>
      </c>
      <c r="B203" s="34">
        <f>SUM(B198:B202)</f>
        <v>31</v>
      </c>
      <c r="C203" s="35">
        <f>SUM(C198:C202)</f>
        <v>10788165.33</v>
      </c>
      <c r="D203" s="46">
        <v>1</v>
      </c>
    </row>
    <row r="204" spans="1:6">
      <c r="A204" s="49" t="s">
        <v>65</v>
      </c>
      <c r="E204" s="50" t="s">
        <v>66</v>
      </c>
    </row>
    <row r="205" spans="1:6">
      <c r="A205" s="51" t="s">
        <v>6</v>
      </c>
      <c r="B205" s="29">
        <f>COUNTIFS(DATA_ACHATS!$A:$A,"DINFOTV",DATA_ACHATS!$C:$C,"ENGAGE")</f>
        <v>30</v>
      </c>
      <c r="C205" s="30">
        <f>SUMIFS(DATA_ACHATS!$E:$E,DATA_ACHATS!$A:$A,"DINFOTV",DATA_ACHATS!$C:$C,"ENGAGE")</f>
        <v>10711701.33</v>
      </c>
      <c r="E205" s="52">
        <f>IFERROR(SUMIFS(DATA_ACHATS!$E:$E,DATA_ACHATS!$A:$A,"DINFOTV",DATA_ACHATS!$C:$C,"ENGAGE")/SUMIF(DATA_ACHATS!$A:$A,"DINFOTV",DATA_ACHATS!$E:$E),0)</f>
        <v>0.992912233205458</v>
      </c>
    </row>
    <row r="206" spans="1:6">
      <c r="A206" s="53" t="s">
        <v>7</v>
      </c>
      <c r="B206" s="29">
        <f>COUNTIFS(DATA_ACHATS!$A:$A,"DINFOTV",DATA_ACHATS!$C:$C,"PREENGAGE")</f>
        <v>1</v>
      </c>
      <c r="C206" s="30">
        <f>SUMIFS(DATA_ACHATS!$E:$E,DATA_ACHATS!$A:$A,"DINFOTV",DATA_ACHATS!$C:$C,"PREENGAGE")</f>
        <v>76464</v>
      </c>
    </row>
    <row r="207" spans="1:6">
      <c r="A207" s="54" t="s">
        <v>8</v>
      </c>
      <c r="B207" s="29">
        <f>COUNTIFS(DATA_ACHATS!$A:$A,"DINFOTV",DATA_ACHATS!$C:$C,"EN COURS D'ENGAGEMENT")</f>
        <v>0</v>
      </c>
      <c r="C207" s="30">
        <f>SUMIFS(DATA_ACHATS!$E:$E,DATA_ACHATS!$A:$A,"DINFOTV",DATA_ACHATS!$C:$C,"EN COURS D'ENGAGEMENT")</f>
        <v>0</v>
      </c>
    </row>
    <row r="208" spans="1:6">
      <c r="A208" s="55" t="s">
        <v>9</v>
      </c>
      <c r="B208" s="29">
        <f>COUNTIFS(DATA_ACHATS!$A:$A,"DINFOTV",DATA_ACHATS!$C:$C,"EN COURS DE PREENGAGEMENT")</f>
        <v>0</v>
      </c>
      <c r="C208" s="30">
        <f>SUMIFS(DATA_ACHATS!$E:$E,DATA_ACHATS!$A:$A,"DINFOTV",DATA_ACHATS!$C:$C,"EN COURS DE PREENGAGEMENT")</f>
        <v>0</v>
      </c>
    </row>
    <row r="209" spans="1:6">
      <c r="A209" s="56" t="s">
        <v>10</v>
      </c>
      <c r="B209" s="29">
        <f>COUNTIFS(DATA_ACHATS!$A:$A,"DINFOTV",DATA_ACHATS!$C:$C,"NON ENGAGE")</f>
        <v>0</v>
      </c>
      <c r="C209" s="30">
        <f>SUMIFS(DATA_ACHATS!$E:$E,DATA_ACHATS!$A:$A,"DINFOTV",DATA_ACHATS!$C:$C,"NON ENGAGE")</f>
        <v>0</v>
      </c>
    </row>
    <row r="212" ht="20" customHeight="1" spans="1:6">
      <c r="A212" s="47" t="s">
        <v>76</v>
      </c>
      <c r="F212" s="48" t="s">
        <v>61</v>
      </c>
    </row>
    <row r="213" ht="29" spans="1:6">
      <c r="A213" s="13" t="s">
        <v>62</v>
      </c>
      <c r="B213" s="13" t="s">
        <v>55</v>
      </c>
      <c r="C213" s="13" t="s">
        <v>57</v>
      </c>
      <c r="D213" s="13" t="s">
        <v>63</v>
      </c>
    </row>
    <row r="214" spans="1:6">
      <c r="A214" s="38" t="s">
        <v>45</v>
      </c>
      <c r="B214" s="39">
        <f>COUNTIFS(DATA_ACHATS!$A:$A,"DJURIDIQUE",DATA_ACHATS!$D:$D,"CONTRAT")</f>
        <v>8</v>
      </c>
      <c r="C214" s="41">
        <f>SUMIFS(DATA_ACHATS!$E:$E,DATA_ACHATS!$A:$A,"DJURIDIQUE",DATA_ACHATS!$D:$D,"CONTRAT")</f>
        <v>8551887.69</v>
      </c>
      <c r="D214" s="40">
        <f>IFERROR(C214/$C$219,0)</f>
        <v>1</v>
      </c>
    </row>
    <row r="215" spans="1:6">
      <c r="A215" s="42" t="s">
        <v>46</v>
      </c>
      <c r="B215" s="39">
        <f>COUNTIFS(DATA_ACHATS!$A:$A,"DJURIDIQUE",DATA_ACHATS!$D:$D,"AOO-M")</f>
        <v>0</v>
      </c>
      <c r="C215" s="41">
        <f>SUMIFS(DATA_ACHATS!$E:$E,DATA_ACHATS!$A:$A,"DJURIDIQUE",DATA_ACHATS!$D:$D,"AOO-M")</f>
        <v>0</v>
      </c>
      <c r="D215" s="40">
        <f>IFERROR(C215/$C$219,0)</f>
        <v>0</v>
      </c>
    </row>
    <row r="216" spans="1:6">
      <c r="A216" s="43" t="s">
        <v>47</v>
      </c>
      <c r="B216" s="39">
        <f>COUNTIFS(DATA_ACHATS!$A:$A,"DJURIDIQUE",DATA_ACHATS!$D:$D,"AOO-CT")</f>
        <v>0</v>
      </c>
      <c r="C216" s="41">
        <f>SUMIFS(DATA_ACHATS!$E:$E,DATA_ACHATS!$A:$A,"DJURIDIQUE",DATA_ACHATS!$D:$D,"AOO-CT")</f>
        <v>0</v>
      </c>
      <c r="D216" s="40">
        <f>IFERROR(C216/$C$219,0)</f>
        <v>0</v>
      </c>
    </row>
    <row r="217" spans="1:6">
      <c r="A217" s="44" t="s">
        <v>48</v>
      </c>
      <c r="B217" s="39">
        <f>COUNTIFS(DATA_ACHATS!$A:$A,"DJURIDIQUE",DATA_ACHATS!$D:$D,"BCL")</f>
        <v>0</v>
      </c>
      <c r="C217" s="41">
        <f>SUMIFS(DATA_ACHATS!$E:$E,DATA_ACHATS!$A:$A,"DJURIDIQUE",DATA_ACHATS!$D:$D,"BCL")</f>
        <v>0</v>
      </c>
      <c r="D217" s="40">
        <f>IFERROR(C217/$C$219,0)</f>
        <v>0</v>
      </c>
    </row>
    <row r="218" spans="1:6">
      <c r="A218" s="45" t="s">
        <v>49</v>
      </c>
      <c r="B218" s="39">
        <f>COUNTIFS(DATA_ACHATS!$A:$A,"DJURIDIQUE",DATA_ACHATS!$D:$D,"BCI")</f>
        <v>0</v>
      </c>
      <c r="C218" s="41">
        <f>SUMIFS(DATA_ACHATS!$E:$E,DATA_ACHATS!$A:$A,"DJURIDIQUE",DATA_ACHATS!$D:$D,"BCI")</f>
        <v>0</v>
      </c>
      <c r="D218" s="40">
        <f>IFERROR(C218/$C$219,0)</f>
        <v>0</v>
      </c>
    </row>
    <row r="219" spans="1:6">
      <c r="A219" s="33" t="s">
        <v>64</v>
      </c>
      <c r="B219" s="34">
        <f>SUM(B214:B218)</f>
        <v>8</v>
      </c>
      <c r="C219" s="35">
        <f>SUM(C214:C218)</f>
        <v>8551887.69</v>
      </c>
      <c r="D219" s="46">
        <v>1</v>
      </c>
    </row>
    <row r="220" spans="1:6">
      <c r="A220" s="49" t="s">
        <v>65</v>
      </c>
      <c r="E220" s="50" t="s">
        <v>66</v>
      </c>
    </row>
    <row r="221" spans="1:6">
      <c r="A221" s="51" t="s">
        <v>6</v>
      </c>
      <c r="B221" s="29">
        <f>COUNTIFS(DATA_ACHATS!$A:$A,"DJURIDIQUE",DATA_ACHATS!$C:$C,"ENGAGE")</f>
        <v>8</v>
      </c>
      <c r="C221" s="30">
        <f>SUMIFS(DATA_ACHATS!$E:$E,DATA_ACHATS!$A:$A,"DJURIDIQUE",DATA_ACHATS!$C:$C,"ENGAGE")</f>
        <v>8551887.69</v>
      </c>
      <c r="E221" s="52">
        <f>IFERROR(SUMIFS(DATA_ACHATS!$E:$E,DATA_ACHATS!$A:$A,"DJURIDIQUE",DATA_ACHATS!$C:$C,"ENGAGE")/SUMIF(DATA_ACHATS!$A:$A,"DJURIDIQUE",DATA_ACHATS!$E:$E),0)</f>
        <v>1</v>
      </c>
    </row>
    <row r="222" spans="1:6">
      <c r="A222" s="53" t="s">
        <v>7</v>
      </c>
      <c r="B222" s="29">
        <f>COUNTIFS(DATA_ACHATS!$A:$A,"DJURIDIQUE",DATA_ACHATS!$C:$C,"PREENGAGE")</f>
        <v>0</v>
      </c>
      <c r="C222" s="30">
        <f>SUMIFS(DATA_ACHATS!$E:$E,DATA_ACHATS!$A:$A,"DJURIDIQUE",DATA_ACHATS!$C:$C,"PREENGAGE")</f>
        <v>0</v>
      </c>
    </row>
    <row r="223" spans="1:6">
      <c r="A223" s="54" t="s">
        <v>8</v>
      </c>
      <c r="B223" s="29">
        <f>COUNTIFS(DATA_ACHATS!$A:$A,"DJURIDIQUE",DATA_ACHATS!$C:$C,"EN COURS D'ENGAGEMENT")</f>
        <v>0</v>
      </c>
      <c r="C223" s="30">
        <f>SUMIFS(DATA_ACHATS!$E:$E,DATA_ACHATS!$A:$A,"DJURIDIQUE",DATA_ACHATS!$C:$C,"EN COURS D'ENGAGEMENT")</f>
        <v>0</v>
      </c>
    </row>
    <row r="224" spans="1:6">
      <c r="A224" s="55" t="s">
        <v>9</v>
      </c>
      <c r="B224" s="29">
        <f>COUNTIFS(DATA_ACHATS!$A:$A,"DJURIDIQUE",DATA_ACHATS!$C:$C,"EN COURS DE PREENGAGEMENT")</f>
        <v>0</v>
      </c>
      <c r="C224" s="30">
        <f>SUMIFS(DATA_ACHATS!$E:$E,DATA_ACHATS!$A:$A,"DJURIDIQUE",DATA_ACHATS!$C:$C,"EN COURS DE PREENGAGEMENT")</f>
        <v>0</v>
      </c>
    </row>
    <row r="225" spans="1:6">
      <c r="A225" s="56" t="s">
        <v>10</v>
      </c>
      <c r="B225" s="29">
        <f>COUNTIFS(DATA_ACHATS!$A:$A,"DJURIDIQUE",DATA_ACHATS!$C:$C,"NON ENGAGE")</f>
        <v>0</v>
      </c>
      <c r="C225" s="30">
        <f>SUMIFS(DATA_ACHATS!$E:$E,DATA_ACHATS!$A:$A,"DJURIDIQUE",DATA_ACHATS!$C:$C,"NON ENGAGE")</f>
        <v>0</v>
      </c>
    </row>
    <row r="228" ht="20" customHeight="1" spans="1:6">
      <c r="A228" s="47" t="s">
        <v>77</v>
      </c>
      <c r="F228" s="48" t="s">
        <v>61</v>
      </c>
    </row>
    <row r="229" ht="29" spans="1:6">
      <c r="A229" s="13" t="s">
        <v>62</v>
      </c>
      <c r="B229" s="13" t="s">
        <v>55</v>
      </c>
      <c r="C229" s="13" t="s">
        <v>57</v>
      </c>
      <c r="D229" s="13" t="s">
        <v>63</v>
      </c>
    </row>
    <row r="230" spans="1:6">
      <c r="A230" s="38" t="s">
        <v>45</v>
      </c>
      <c r="B230" s="39">
        <f>COUNTIFS(DATA_ACHATS!$A:$A,"DMPTV",DATA_ACHATS!$D:$D,"CONTRAT")</f>
        <v>23</v>
      </c>
      <c r="C230" s="41">
        <f>SUMIFS(DATA_ACHATS!$E:$E,DATA_ACHATS!$A:$A,"DMPTV",DATA_ACHATS!$D:$D,"CONTRAT")</f>
        <v>23581628.21</v>
      </c>
      <c r="D230" s="40">
        <f>IFERROR(C230/$C$235,0)</f>
        <v>0.986951546936217</v>
      </c>
    </row>
    <row r="231" spans="1:6">
      <c r="A231" s="42" t="s">
        <v>46</v>
      </c>
      <c r="B231" s="39">
        <f>COUNTIFS(DATA_ACHATS!$A:$A,"DMPTV",DATA_ACHATS!$D:$D,"AOO-M")</f>
        <v>1</v>
      </c>
      <c r="C231" s="41">
        <f>SUMIFS(DATA_ACHATS!$E:$E,DATA_ACHATS!$A:$A,"DMPTV",DATA_ACHATS!$D:$D,"AOO-M")</f>
        <v>0</v>
      </c>
      <c r="D231" s="40">
        <f>IFERROR(C231/$C$235,0)</f>
        <v>0</v>
      </c>
    </row>
    <row r="232" spans="1:6">
      <c r="A232" s="43" t="s">
        <v>47</v>
      </c>
      <c r="B232" s="39">
        <f>COUNTIFS(DATA_ACHATS!$A:$A,"DMPTV",DATA_ACHATS!$D:$D,"AOO-CT")</f>
        <v>0</v>
      </c>
      <c r="C232" s="41">
        <f>SUMIFS(DATA_ACHATS!$E:$E,DATA_ACHATS!$A:$A,"DMPTV",DATA_ACHATS!$D:$D,"AOO-CT")</f>
        <v>0</v>
      </c>
      <c r="D232" s="40">
        <f>IFERROR(C232/$C$235,0)</f>
        <v>0</v>
      </c>
    </row>
    <row r="233" spans="1:6">
      <c r="A233" s="44" t="s">
        <v>48</v>
      </c>
      <c r="B233" s="39">
        <f>COUNTIFS(DATA_ACHATS!$A:$A,"DMPTV",DATA_ACHATS!$D:$D,"BCL")</f>
        <v>1</v>
      </c>
      <c r="C233" s="41">
        <f>SUMIFS(DATA_ACHATS!$E:$E,DATA_ACHATS!$A:$A,"DMPTV",DATA_ACHATS!$D:$D,"BCL")</f>
        <v>112800</v>
      </c>
      <c r="D233" s="40">
        <f>IFERROR(C233/$C$235,0)</f>
        <v>0.00472096894680053</v>
      </c>
    </row>
    <row r="234" spans="1:6">
      <c r="A234" s="45" t="s">
        <v>49</v>
      </c>
      <c r="B234" s="39">
        <f>COUNTIFS(DATA_ACHATS!$A:$A,"DMPTV",DATA_ACHATS!$D:$D,"BCI")</f>
        <v>1</v>
      </c>
      <c r="C234" s="41">
        <f>SUMIFS(DATA_ACHATS!$E:$E,DATA_ACHATS!$A:$A,"DMPTV",DATA_ACHATS!$D:$D,"BCI")</f>
        <v>198971.91</v>
      </c>
      <c r="D234" s="40">
        <f>IFERROR(C234/$C$235,0)</f>
        <v>0.00832748411698218</v>
      </c>
    </row>
    <row r="235" spans="1:6">
      <c r="A235" s="33" t="s">
        <v>64</v>
      </c>
      <c r="B235" s="34">
        <f>SUM(B230:B234)</f>
        <v>26</v>
      </c>
      <c r="C235" s="35">
        <f>SUM(C230:C234)</f>
        <v>23893400.12</v>
      </c>
      <c r="D235" s="46">
        <v>1</v>
      </c>
    </row>
    <row r="236" spans="1:6">
      <c r="A236" s="49" t="s">
        <v>65</v>
      </c>
      <c r="E236" s="50" t="s">
        <v>66</v>
      </c>
    </row>
    <row r="237" spans="1:6">
      <c r="A237" s="51" t="s">
        <v>6</v>
      </c>
      <c r="B237" s="29">
        <f>COUNTIFS(DATA_ACHATS!$A:$A,"DMPTV",DATA_ACHATS!$C:$C,"ENGAGE")</f>
        <v>25</v>
      </c>
      <c r="C237" s="30">
        <f>SUMIFS(DATA_ACHATS!$E:$E,DATA_ACHATS!$A:$A,"DMPTV",DATA_ACHATS!$C:$C,"ENGAGE")</f>
        <v>23893400.12</v>
      </c>
      <c r="E237" s="52">
        <f>IFERROR(SUMIFS(DATA_ACHATS!$E:$E,DATA_ACHATS!$A:$A,"DMPTV",DATA_ACHATS!$C:$C,"ENGAGE")/SUMIF(DATA_ACHATS!$A:$A,"DMPTV",DATA_ACHATS!$E:$E),0)</f>
        <v>1</v>
      </c>
    </row>
    <row r="238" spans="1:6">
      <c r="A238" s="53" t="s">
        <v>7</v>
      </c>
      <c r="B238" s="29">
        <f>COUNTIFS(DATA_ACHATS!$A:$A,"DMPTV",DATA_ACHATS!$C:$C,"PREENGAGE")</f>
        <v>0</v>
      </c>
      <c r="C238" s="30">
        <f>SUMIFS(DATA_ACHATS!$E:$E,DATA_ACHATS!$A:$A,"DMPTV",DATA_ACHATS!$C:$C,"PREENGAGE")</f>
        <v>0</v>
      </c>
    </row>
    <row r="239" spans="1:6">
      <c r="A239" s="54" t="s">
        <v>8</v>
      </c>
      <c r="B239" s="29">
        <f>COUNTIFS(DATA_ACHATS!$A:$A,"DMPTV",DATA_ACHATS!$C:$C,"EN COURS D'ENGAGEMENT")</f>
        <v>0</v>
      </c>
      <c r="C239" s="30">
        <f>SUMIFS(DATA_ACHATS!$E:$E,DATA_ACHATS!$A:$A,"DMPTV",DATA_ACHATS!$C:$C,"EN COURS D'ENGAGEMENT")</f>
        <v>0</v>
      </c>
    </row>
    <row r="240" spans="1:6">
      <c r="A240" s="55" t="s">
        <v>9</v>
      </c>
      <c r="B240" s="29">
        <f>COUNTIFS(DATA_ACHATS!$A:$A,"DMPTV",DATA_ACHATS!$C:$C,"EN COURS DE PREENGAGEMENT")</f>
        <v>1</v>
      </c>
      <c r="C240" s="30">
        <f>SUMIFS(DATA_ACHATS!$E:$E,DATA_ACHATS!$A:$A,"DMPTV",DATA_ACHATS!$C:$C,"EN COURS DE PREENGAGEMENT")</f>
        <v>0</v>
      </c>
    </row>
    <row r="241" spans="1:6">
      <c r="A241" s="56" t="s">
        <v>10</v>
      </c>
      <c r="B241" s="29">
        <f>COUNTIFS(DATA_ACHATS!$A:$A,"DMPTV",DATA_ACHATS!$C:$C,"NON ENGAGE")</f>
        <v>0</v>
      </c>
      <c r="C241" s="30">
        <f>SUMIFS(DATA_ACHATS!$E:$E,DATA_ACHATS!$A:$A,"DMPTV",DATA_ACHATS!$C:$C,"NON ENGAGE")</f>
        <v>0</v>
      </c>
    </row>
    <row r="244" ht="20" customHeight="1" spans="1:6">
      <c r="A244" s="47" t="s">
        <v>78</v>
      </c>
      <c r="F244" s="48" t="s">
        <v>61</v>
      </c>
    </row>
    <row r="245" ht="29" spans="1:6">
      <c r="A245" s="13" t="s">
        <v>62</v>
      </c>
      <c r="B245" s="13" t="s">
        <v>55</v>
      </c>
      <c r="C245" s="13" t="s">
        <v>57</v>
      </c>
      <c r="D245" s="13" t="s">
        <v>63</v>
      </c>
    </row>
    <row r="246" spans="1:6">
      <c r="A246" s="38" t="s">
        <v>45</v>
      </c>
      <c r="B246" s="39">
        <f>COUNTIFS(DATA_ACHATS!$A:$A,"DPMG",DATA_ACHATS!$D:$D,"CONTRAT")</f>
        <v>52</v>
      </c>
      <c r="C246" s="41">
        <f>SUMIFS(DATA_ACHATS!$E:$E,DATA_ACHATS!$A:$A,"DPMG",DATA_ACHATS!$D:$D,"CONTRAT")</f>
        <v>53279781.86</v>
      </c>
      <c r="D246" s="40">
        <f>IFERROR(C246/$C$251,0)</f>
        <v>0.407462992689807</v>
      </c>
    </row>
    <row r="247" spans="1:6">
      <c r="A247" s="42" t="s">
        <v>46</v>
      </c>
      <c r="B247" s="39">
        <f>COUNTIFS(DATA_ACHATS!$A:$A,"DPMG",DATA_ACHATS!$D:$D,"AOO-M")</f>
        <v>31</v>
      </c>
      <c r="C247" s="41">
        <f>SUMIFS(DATA_ACHATS!$E:$E,DATA_ACHATS!$A:$A,"DPMG",DATA_ACHATS!$D:$D,"AOO-M")</f>
        <v>76476715.78</v>
      </c>
      <c r="D247" s="40">
        <f>IFERROR(C247/$C$251,0)</f>
        <v>0.584864096566452</v>
      </c>
    </row>
    <row r="248" spans="1:6">
      <c r="A248" s="43" t="s">
        <v>47</v>
      </c>
      <c r="B248" s="39">
        <f>COUNTIFS(DATA_ACHATS!$A:$A,"DPMG",DATA_ACHATS!$D:$D,"AOO-CT")</f>
        <v>0</v>
      </c>
      <c r="C248" s="41">
        <f>SUMIFS(DATA_ACHATS!$E:$E,DATA_ACHATS!$A:$A,"DPMG",DATA_ACHATS!$D:$D,"AOO-CT")</f>
        <v>0</v>
      </c>
      <c r="D248" s="40">
        <f>IFERROR(C248/$C$251,0)</f>
        <v>0</v>
      </c>
    </row>
    <row r="249" spans="1:6">
      <c r="A249" s="44" t="s">
        <v>48</v>
      </c>
      <c r="B249" s="39">
        <f>COUNTIFS(DATA_ACHATS!$A:$A,"DPMG",DATA_ACHATS!$D:$D,"BCL")</f>
        <v>7</v>
      </c>
      <c r="C249" s="41">
        <f>SUMIFS(DATA_ACHATS!$E:$E,DATA_ACHATS!$A:$A,"DPMG",DATA_ACHATS!$D:$D,"BCL")</f>
        <v>1003308.32</v>
      </c>
      <c r="D249" s="40">
        <f>IFERROR(C249/$C$251,0)</f>
        <v>0.00767291074374121</v>
      </c>
    </row>
    <row r="250" spans="1:6">
      <c r="A250" s="45" t="s">
        <v>49</v>
      </c>
      <c r="B250" s="39">
        <f>COUNTIFS(DATA_ACHATS!$A:$A,"DPMG",DATA_ACHATS!$D:$D,"BCI")</f>
        <v>0</v>
      </c>
      <c r="C250" s="41">
        <f>SUMIFS(DATA_ACHATS!$E:$E,DATA_ACHATS!$A:$A,"DPMG",DATA_ACHATS!$D:$D,"BCI")</f>
        <v>0</v>
      </c>
      <c r="D250" s="40">
        <f>IFERROR(C250/$C$251,0)</f>
        <v>0</v>
      </c>
    </row>
    <row r="251" spans="1:6">
      <c r="A251" s="33" t="s">
        <v>64</v>
      </c>
      <c r="B251" s="34">
        <f>SUM(B246:B250)</f>
        <v>90</v>
      </c>
      <c r="C251" s="35">
        <f>SUM(C246:C250)</f>
        <v>130759805.96</v>
      </c>
      <c r="D251" s="46">
        <v>1</v>
      </c>
    </row>
    <row r="252" spans="1:6">
      <c r="A252" s="49" t="s">
        <v>65</v>
      </c>
      <c r="E252" s="50" t="s">
        <v>66</v>
      </c>
    </row>
    <row r="253" spans="1:6">
      <c r="A253" s="51" t="s">
        <v>6</v>
      </c>
      <c r="B253" s="29">
        <f>COUNTIFS(DATA_ACHATS!$A:$A,"DPMG",DATA_ACHATS!$C:$C,"ENGAGE")</f>
        <v>73</v>
      </c>
      <c r="C253" s="30">
        <f>SUMIFS(DATA_ACHATS!$E:$E,DATA_ACHATS!$A:$A,"DPMG",DATA_ACHATS!$C:$C,"ENGAGE")</f>
        <v>130344748.76</v>
      </c>
      <c r="E253" s="52">
        <f>IFERROR(SUMIFS(DATA_ACHATS!$E:$E,DATA_ACHATS!$A:$A,"DPMG",DATA_ACHATS!$C:$C,"ENGAGE")/SUMIF(DATA_ACHATS!$A:$A,"DPMG",DATA_ACHATS!$E:$E),0)</f>
        <v>0.996825804405622</v>
      </c>
    </row>
    <row r="254" spans="1:6">
      <c r="A254" s="53" t="s">
        <v>7</v>
      </c>
      <c r="B254" s="29">
        <f>COUNTIFS(DATA_ACHATS!$A:$A,"DPMG",DATA_ACHATS!$C:$C,"PREENGAGE")</f>
        <v>3</v>
      </c>
      <c r="C254" s="30">
        <f>SUMIFS(DATA_ACHATS!$E:$E,DATA_ACHATS!$A:$A,"DPMG",DATA_ACHATS!$C:$C,"PREENGAGE")</f>
        <v>0</v>
      </c>
    </row>
    <row r="255" spans="1:6">
      <c r="A255" s="54" t="s">
        <v>8</v>
      </c>
      <c r="B255" s="29">
        <f>COUNTIFS(DATA_ACHATS!$A:$A,"DPMG",DATA_ACHATS!$C:$C,"EN COURS D'ENGAGEMENT")</f>
        <v>3</v>
      </c>
      <c r="C255" s="30">
        <f>SUMIFS(DATA_ACHATS!$E:$E,DATA_ACHATS!$A:$A,"DPMG",DATA_ACHATS!$C:$C,"EN COURS D'ENGAGEMENT")</f>
        <v>415057.2</v>
      </c>
    </row>
    <row r="256" spans="1:6">
      <c r="A256" s="55" t="s">
        <v>9</v>
      </c>
      <c r="B256" s="29">
        <f>COUNTIFS(DATA_ACHATS!$A:$A,"DPMG",DATA_ACHATS!$C:$C,"EN COURS DE PREENGAGEMENT")</f>
        <v>8</v>
      </c>
      <c r="C256" s="30">
        <f>SUMIFS(DATA_ACHATS!$E:$E,DATA_ACHATS!$A:$A,"DPMG",DATA_ACHATS!$C:$C,"EN COURS DE PREENGAGEMENT")</f>
        <v>0</v>
      </c>
    </row>
    <row r="257" spans="1:6">
      <c r="A257" s="56" t="s">
        <v>10</v>
      </c>
      <c r="B257" s="29">
        <f>COUNTIFS(DATA_ACHATS!$A:$A,"DPMG",DATA_ACHATS!$C:$C,"NON ENGAGE")</f>
        <v>3</v>
      </c>
      <c r="C257" s="30">
        <f>SUMIFS(DATA_ACHATS!$E:$E,DATA_ACHATS!$A:$A,"DPMG",DATA_ACHATS!$C:$C,"NON ENGAGE")</f>
        <v>0</v>
      </c>
    </row>
    <row r="260" ht="20" customHeight="1" spans="1:6">
      <c r="A260" s="47" t="s">
        <v>79</v>
      </c>
      <c r="F260" s="48" t="s">
        <v>61</v>
      </c>
    </row>
    <row r="261" ht="29" spans="1:6">
      <c r="A261" s="13" t="s">
        <v>62</v>
      </c>
      <c r="B261" s="13" t="s">
        <v>55</v>
      </c>
      <c r="C261" s="13" t="s">
        <v>57</v>
      </c>
      <c r="D261" s="13" t="s">
        <v>63</v>
      </c>
    </row>
    <row r="262" spans="1:6">
      <c r="A262" s="38" t="s">
        <v>45</v>
      </c>
      <c r="B262" s="39">
        <f>COUNTIFS(DATA_ACHATS!$A:$A,"DPPR",DATA_ACHATS!$D:$D,"CONTRAT")</f>
        <v>38</v>
      </c>
      <c r="C262" s="41">
        <f>SUMIFS(DATA_ACHATS!$E:$E,DATA_ACHATS!$A:$A,"DPPR",DATA_ACHATS!$D:$D,"CONTRAT")</f>
        <v>4202000</v>
      </c>
      <c r="D262" s="40">
        <f>IFERROR(C262/$C$267,0)</f>
        <v>1</v>
      </c>
    </row>
    <row r="263" spans="1:6">
      <c r="A263" s="42" t="s">
        <v>46</v>
      </c>
      <c r="B263" s="39">
        <f>COUNTIFS(DATA_ACHATS!$A:$A,"DPPR",DATA_ACHATS!$D:$D,"AOO-M")</f>
        <v>0</v>
      </c>
      <c r="C263" s="41">
        <f>SUMIFS(DATA_ACHATS!$E:$E,DATA_ACHATS!$A:$A,"DPPR",DATA_ACHATS!$D:$D,"AOO-M")</f>
        <v>0</v>
      </c>
      <c r="D263" s="40">
        <f>IFERROR(C263/$C$267,0)</f>
        <v>0</v>
      </c>
    </row>
    <row r="264" spans="1:6">
      <c r="A264" s="43" t="s">
        <v>47</v>
      </c>
      <c r="B264" s="39">
        <f>COUNTIFS(DATA_ACHATS!$A:$A,"DPPR",DATA_ACHATS!$D:$D,"AOO-CT")</f>
        <v>0</v>
      </c>
      <c r="C264" s="41">
        <f>SUMIFS(DATA_ACHATS!$E:$E,DATA_ACHATS!$A:$A,"DPPR",DATA_ACHATS!$D:$D,"AOO-CT")</f>
        <v>0</v>
      </c>
      <c r="D264" s="40">
        <f>IFERROR(C264/$C$267,0)</f>
        <v>0</v>
      </c>
    </row>
    <row r="265" spans="1:6">
      <c r="A265" s="44" t="s">
        <v>48</v>
      </c>
      <c r="B265" s="39">
        <f>COUNTIFS(DATA_ACHATS!$A:$A,"DPPR",DATA_ACHATS!$D:$D,"BCL")</f>
        <v>0</v>
      </c>
      <c r="C265" s="41">
        <f>SUMIFS(DATA_ACHATS!$E:$E,DATA_ACHATS!$A:$A,"DPPR",DATA_ACHATS!$D:$D,"BCL")</f>
        <v>0</v>
      </c>
      <c r="D265" s="40">
        <f>IFERROR(C265/$C$267,0)</f>
        <v>0</v>
      </c>
    </row>
    <row r="266" spans="1:6">
      <c r="A266" s="45" t="s">
        <v>49</v>
      </c>
      <c r="B266" s="39">
        <f>COUNTIFS(DATA_ACHATS!$A:$A,"DPPR",DATA_ACHATS!$D:$D,"BCI")</f>
        <v>0</v>
      </c>
      <c r="C266" s="41">
        <f>SUMIFS(DATA_ACHATS!$E:$E,DATA_ACHATS!$A:$A,"DPPR",DATA_ACHATS!$D:$D,"BCI")</f>
        <v>0</v>
      </c>
      <c r="D266" s="40">
        <f>IFERROR(C266/$C$267,0)</f>
        <v>0</v>
      </c>
    </row>
    <row r="267" spans="1:6">
      <c r="A267" s="33" t="s">
        <v>64</v>
      </c>
      <c r="B267" s="34">
        <f>SUM(B262:B266)</f>
        <v>38</v>
      </c>
      <c r="C267" s="35">
        <f>SUM(C262:C266)</f>
        <v>4202000</v>
      </c>
      <c r="D267" s="46">
        <v>1</v>
      </c>
    </row>
    <row r="268" spans="1:6">
      <c r="A268" s="49" t="s">
        <v>65</v>
      </c>
      <c r="E268" s="50" t="s">
        <v>66</v>
      </c>
    </row>
    <row r="269" spans="1:6">
      <c r="A269" s="51" t="s">
        <v>6</v>
      </c>
      <c r="B269" s="29">
        <f>COUNTIFS(DATA_ACHATS!$A:$A,"DPPR",DATA_ACHATS!$C:$C,"ENGAGE")</f>
        <v>38</v>
      </c>
      <c r="C269" s="30">
        <f>SUMIFS(DATA_ACHATS!$E:$E,DATA_ACHATS!$A:$A,"DPPR",DATA_ACHATS!$C:$C,"ENGAGE")</f>
        <v>4202000</v>
      </c>
      <c r="E269" s="52">
        <f>IFERROR(SUMIFS(DATA_ACHATS!$E:$E,DATA_ACHATS!$A:$A,"DPPR",DATA_ACHATS!$C:$C,"ENGAGE")/SUMIF(DATA_ACHATS!$A:$A,"DPPR",DATA_ACHATS!$E:$E),0)</f>
        <v>1</v>
      </c>
    </row>
    <row r="270" spans="1:6">
      <c r="A270" s="53" t="s">
        <v>7</v>
      </c>
      <c r="B270" s="29">
        <f>COUNTIFS(DATA_ACHATS!$A:$A,"DPPR",DATA_ACHATS!$C:$C,"PREENGAGE")</f>
        <v>0</v>
      </c>
      <c r="C270" s="30">
        <f>SUMIFS(DATA_ACHATS!$E:$E,DATA_ACHATS!$A:$A,"DPPR",DATA_ACHATS!$C:$C,"PREENGAGE")</f>
        <v>0</v>
      </c>
    </row>
    <row r="271" spans="1:6">
      <c r="A271" s="54" t="s">
        <v>8</v>
      </c>
      <c r="B271" s="29">
        <f>COUNTIFS(DATA_ACHATS!$A:$A,"DPPR",DATA_ACHATS!$C:$C,"EN COURS D'ENGAGEMENT")</f>
        <v>0</v>
      </c>
      <c r="C271" s="30">
        <f>SUMIFS(DATA_ACHATS!$E:$E,DATA_ACHATS!$A:$A,"DPPR",DATA_ACHATS!$C:$C,"EN COURS D'ENGAGEMENT")</f>
        <v>0</v>
      </c>
    </row>
    <row r="272" spans="1:6">
      <c r="A272" s="55" t="s">
        <v>9</v>
      </c>
      <c r="B272" s="29">
        <f>COUNTIFS(DATA_ACHATS!$A:$A,"DPPR",DATA_ACHATS!$C:$C,"EN COURS DE PREENGAGEMENT")</f>
        <v>0</v>
      </c>
      <c r="C272" s="30">
        <f>SUMIFS(DATA_ACHATS!$E:$E,DATA_ACHATS!$A:$A,"DPPR",DATA_ACHATS!$C:$C,"EN COURS DE PREENGAGEMENT")</f>
        <v>0</v>
      </c>
    </row>
    <row r="273" spans="1:6">
      <c r="A273" s="56" t="s">
        <v>10</v>
      </c>
      <c r="B273" s="29">
        <f>COUNTIFS(DATA_ACHATS!$A:$A,"DPPR",DATA_ACHATS!$C:$C,"NON ENGAGE")</f>
        <v>0</v>
      </c>
      <c r="C273" s="30">
        <f>SUMIFS(DATA_ACHATS!$E:$E,DATA_ACHATS!$A:$A,"DPPR",DATA_ACHATS!$C:$C,"NON ENGAGE")</f>
        <v>0</v>
      </c>
    </row>
    <row r="276" ht="20" customHeight="1" spans="1:6">
      <c r="A276" s="47" t="s">
        <v>80</v>
      </c>
      <c r="F276" s="48" t="s">
        <v>61</v>
      </c>
    </row>
    <row r="277" ht="29" spans="1:6">
      <c r="A277" s="13" t="s">
        <v>62</v>
      </c>
      <c r="B277" s="13" t="s">
        <v>55</v>
      </c>
      <c r="C277" s="13" t="s">
        <v>57</v>
      </c>
      <c r="D277" s="13" t="s">
        <v>63</v>
      </c>
    </row>
    <row r="278" spans="1:6">
      <c r="A278" s="38" t="s">
        <v>45</v>
      </c>
      <c r="B278" s="39">
        <f>COUNTIFS(DATA_ACHATS!$A:$A,"DRH",DATA_ACHATS!$D:$D,"CONTRAT")</f>
        <v>8</v>
      </c>
      <c r="C278" s="41">
        <f>SUMIFS(DATA_ACHATS!$E:$E,DATA_ACHATS!$A:$A,"DRH",DATA_ACHATS!$D:$D,"CONTRAT")</f>
        <v>6948426.09786667</v>
      </c>
      <c r="D278" s="40">
        <f>IFERROR(C278/$C$283,0)</f>
        <v>1</v>
      </c>
    </row>
    <row r="279" spans="1:6">
      <c r="A279" s="42" t="s">
        <v>46</v>
      </c>
      <c r="B279" s="39">
        <f>COUNTIFS(DATA_ACHATS!$A:$A,"DRH",DATA_ACHATS!$D:$D,"AOO-M")</f>
        <v>0</v>
      </c>
      <c r="C279" s="41">
        <f>SUMIFS(DATA_ACHATS!$E:$E,DATA_ACHATS!$A:$A,"DRH",DATA_ACHATS!$D:$D,"AOO-M")</f>
        <v>0</v>
      </c>
      <c r="D279" s="40">
        <f>IFERROR(C279/$C$283,0)</f>
        <v>0</v>
      </c>
    </row>
    <row r="280" spans="1:6">
      <c r="A280" s="43" t="s">
        <v>47</v>
      </c>
      <c r="B280" s="39">
        <f>COUNTIFS(DATA_ACHATS!$A:$A,"DRH",DATA_ACHATS!$D:$D,"AOO-CT")</f>
        <v>0</v>
      </c>
      <c r="C280" s="41">
        <f>SUMIFS(DATA_ACHATS!$E:$E,DATA_ACHATS!$A:$A,"DRH",DATA_ACHATS!$D:$D,"AOO-CT")</f>
        <v>0</v>
      </c>
      <c r="D280" s="40">
        <f>IFERROR(C280/$C$283,0)</f>
        <v>0</v>
      </c>
    </row>
    <row r="281" spans="1:6">
      <c r="A281" s="44" t="s">
        <v>48</v>
      </c>
      <c r="B281" s="39">
        <f>COUNTIFS(DATA_ACHATS!$A:$A,"DRH",DATA_ACHATS!$D:$D,"BCL")</f>
        <v>0</v>
      </c>
      <c r="C281" s="41">
        <f>SUMIFS(DATA_ACHATS!$E:$E,DATA_ACHATS!$A:$A,"DRH",DATA_ACHATS!$D:$D,"BCL")</f>
        <v>0</v>
      </c>
      <c r="D281" s="40">
        <f>IFERROR(C281/$C$283,0)</f>
        <v>0</v>
      </c>
    </row>
    <row r="282" spans="1:6">
      <c r="A282" s="45" t="s">
        <v>49</v>
      </c>
      <c r="B282" s="39">
        <f>COUNTIFS(DATA_ACHATS!$A:$A,"DRH",DATA_ACHATS!$D:$D,"BCI")</f>
        <v>0</v>
      </c>
      <c r="C282" s="41">
        <f>SUMIFS(DATA_ACHATS!$E:$E,DATA_ACHATS!$A:$A,"DRH",DATA_ACHATS!$D:$D,"BCI")</f>
        <v>0</v>
      </c>
      <c r="D282" s="40">
        <f>IFERROR(C282/$C$283,0)</f>
        <v>0</v>
      </c>
    </row>
    <row r="283" spans="1:6">
      <c r="A283" s="33" t="s">
        <v>64</v>
      </c>
      <c r="B283" s="34">
        <f>SUM(B278:B282)</f>
        <v>8</v>
      </c>
      <c r="C283" s="35">
        <f>SUM(C278:C282)</f>
        <v>6948426.09786667</v>
      </c>
      <c r="D283" s="46">
        <v>1</v>
      </c>
    </row>
    <row r="284" spans="1:6">
      <c r="A284" s="49" t="s">
        <v>65</v>
      </c>
      <c r="E284" s="50" t="s">
        <v>66</v>
      </c>
    </row>
    <row r="285" spans="1:6">
      <c r="A285" s="51" t="s">
        <v>6</v>
      </c>
      <c r="B285" s="29">
        <f>COUNTIFS(DATA_ACHATS!$A:$A,"DRH",DATA_ACHATS!$C:$C,"ENGAGE")</f>
        <v>8</v>
      </c>
      <c r="C285" s="30">
        <f>SUMIFS(DATA_ACHATS!$E:$E,DATA_ACHATS!$A:$A,"DRH",DATA_ACHATS!$C:$C,"ENGAGE")</f>
        <v>6948426.09786667</v>
      </c>
      <c r="E285" s="52">
        <f>IFERROR(SUMIFS(DATA_ACHATS!$E:$E,DATA_ACHATS!$A:$A,"DRH",DATA_ACHATS!$C:$C,"ENGAGE")/SUMIF(DATA_ACHATS!$A:$A,"DRH",DATA_ACHATS!$E:$E),0)</f>
        <v>1</v>
      </c>
    </row>
    <row r="286" spans="1:6">
      <c r="A286" s="53" t="s">
        <v>7</v>
      </c>
      <c r="B286" s="29">
        <f>COUNTIFS(DATA_ACHATS!$A:$A,"DRH",DATA_ACHATS!$C:$C,"PREENGAGE")</f>
        <v>0</v>
      </c>
      <c r="C286" s="30">
        <f>SUMIFS(DATA_ACHATS!$E:$E,DATA_ACHATS!$A:$A,"DRH",DATA_ACHATS!$C:$C,"PREENGAGE")</f>
        <v>0</v>
      </c>
    </row>
    <row r="287" spans="1:6">
      <c r="A287" s="54" t="s">
        <v>8</v>
      </c>
      <c r="B287" s="29">
        <f>COUNTIFS(DATA_ACHATS!$A:$A,"DRH",DATA_ACHATS!$C:$C,"EN COURS D'ENGAGEMENT")</f>
        <v>0</v>
      </c>
      <c r="C287" s="30">
        <f>SUMIFS(DATA_ACHATS!$E:$E,DATA_ACHATS!$A:$A,"DRH",DATA_ACHATS!$C:$C,"EN COURS D'ENGAGEMENT")</f>
        <v>0</v>
      </c>
    </row>
    <row r="288" spans="1:6">
      <c r="A288" s="55" t="s">
        <v>9</v>
      </c>
      <c r="B288" s="29">
        <f>COUNTIFS(DATA_ACHATS!$A:$A,"DRH",DATA_ACHATS!$C:$C,"EN COURS DE PREENGAGEMENT")</f>
        <v>0</v>
      </c>
      <c r="C288" s="30">
        <f>SUMIFS(DATA_ACHATS!$E:$E,DATA_ACHATS!$A:$A,"DRH",DATA_ACHATS!$C:$C,"EN COURS DE PREENGAGEMENT")</f>
        <v>0</v>
      </c>
    </row>
    <row r="289" spans="1:6">
      <c r="A289" s="56" t="s">
        <v>10</v>
      </c>
      <c r="B289" s="29">
        <f>COUNTIFS(DATA_ACHATS!$A:$A,"DRH",DATA_ACHATS!$C:$C,"NON ENGAGE")</f>
        <v>0</v>
      </c>
      <c r="C289" s="30">
        <f>SUMIFS(DATA_ACHATS!$E:$E,DATA_ACHATS!$A:$A,"DRH",DATA_ACHATS!$C:$C,"NON ENGAGE")</f>
        <v>0</v>
      </c>
    </row>
    <row r="292" ht="20" customHeight="1" spans="1:6">
      <c r="A292" s="47" t="s">
        <v>81</v>
      </c>
      <c r="F292" s="48" t="s">
        <v>61</v>
      </c>
    </row>
    <row r="293" ht="29" spans="1:6">
      <c r="A293" s="13" t="s">
        <v>62</v>
      </c>
      <c r="B293" s="13" t="s">
        <v>55</v>
      </c>
      <c r="C293" s="13" t="s">
        <v>57</v>
      </c>
      <c r="D293" s="13" t="s">
        <v>63</v>
      </c>
    </row>
    <row r="294" spans="1:6">
      <c r="A294" s="38" t="s">
        <v>45</v>
      </c>
      <c r="B294" s="39">
        <f>COUNTIFS(DATA_ACHATS!$A:$A,"DRPSD",DATA_ACHATS!$D:$D,"CONTRAT")</f>
        <v>17</v>
      </c>
      <c r="C294" s="41">
        <f>SUMIFS(DATA_ACHATS!$E:$E,DATA_ACHATS!$A:$A,"DRPSD",DATA_ACHATS!$D:$D,"CONTRAT")</f>
        <v>14382451.23</v>
      </c>
      <c r="D294" s="40">
        <f>IFERROR(C294/$C$299,0)</f>
        <v>0.976242921525015</v>
      </c>
    </row>
    <row r="295" spans="1:6">
      <c r="A295" s="42" t="s">
        <v>46</v>
      </c>
      <c r="B295" s="39">
        <f>COUNTIFS(DATA_ACHATS!$A:$A,"DRPSD",DATA_ACHATS!$D:$D,"AOO-M")</f>
        <v>5</v>
      </c>
      <c r="C295" s="41">
        <f>SUMIFS(DATA_ACHATS!$E:$E,DATA_ACHATS!$A:$A,"DRPSD",DATA_ACHATS!$D:$D,"AOO-M")</f>
        <v>350000</v>
      </c>
      <c r="D295" s="40">
        <f>IFERROR(C295/$C$299,0)</f>
        <v>0.0237570784749851</v>
      </c>
    </row>
    <row r="296" spans="1:6">
      <c r="A296" s="43" t="s">
        <v>47</v>
      </c>
      <c r="B296" s="39">
        <f>COUNTIFS(DATA_ACHATS!$A:$A,"DRPSD",DATA_ACHATS!$D:$D,"AOO-CT")</f>
        <v>0</v>
      </c>
      <c r="C296" s="41">
        <f>SUMIFS(DATA_ACHATS!$E:$E,DATA_ACHATS!$A:$A,"DRPSD",DATA_ACHATS!$D:$D,"AOO-CT")</f>
        <v>0</v>
      </c>
      <c r="D296" s="40">
        <f>IFERROR(C296/$C$299,0)</f>
        <v>0</v>
      </c>
    </row>
    <row r="297" spans="1:6">
      <c r="A297" s="44" t="s">
        <v>48</v>
      </c>
      <c r="B297" s="39">
        <f>COUNTIFS(DATA_ACHATS!$A:$A,"DRPSD",DATA_ACHATS!$D:$D,"BCL")</f>
        <v>0</v>
      </c>
      <c r="C297" s="41">
        <f>SUMIFS(DATA_ACHATS!$E:$E,DATA_ACHATS!$A:$A,"DRPSD",DATA_ACHATS!$D:$D,"BCL")</f>
        <v>0</v>
      </c>
      <c r="D297" s="40">
        <f>IFERROR(C297/$C$299,0)</f>
        <v>0</v>
      </c>
    </row>
    <row r="298" spans="1:6">
      <c r="A298" s="45" t="s">
        <v>49</v>
      </c>
      <c r="B298" s="39">
        <f>COUNTIFS(DATA_ACHATS!$A:$A,"DRPSD",DATA_ACHATS!$D:$D,"BCI")</f>
        <v>0</v>
      </c>
      <c r="C298" s="41">
        <f>SUMIFS(DATA_ACHATS!$E:$E,DATA_ACHATS!$A:$A,"DRPSD",DATA_ACHATS!$D:$D,"BCI")</f>
        <v>0</v>
      </c>
      <c r="D298" s="40">
        <f>IFERROR(C298/$C$299,0)</f>
        <v>0</v>
      </c>
    </row>
    <row r="299" spans="1:6">
      <c r="A299" s="33" t="s">
        <v>64</v>
      </c>
      <c r="B299" s="34">
        <f>SUM(B294:B298)</f>
        <v>22</v>
      </c>
      <c r="C299" s="35">
        <f>SUM(C294:C298)</f>
        <v>14732451.23</v>
      </c>
      <c r="D299" s="46">
        <v>1</v>
      </c>
    </row>
    <row r="300" spans="1:6">
      <c r="A300" s="49" t="s">
        <v>65</v>
      </c>
      <c r="E300" s="50" t="s">
        <v>66</v>
      </c>
    </row>
    <row r="301" spans="1:6">
      <c r="A301" s="51" t="s">
        <v>6</v>
      </c>
      <c r="B301" s="29">
        <f>COUNTIFS(DATA_ACHATS!$A:$A,"DRPSD",DATA_ACHATS!$C:$C,"ENGAGE")</f>
        <v>17</v>
      </c>
      <c r="C301" s="30">
        <f>SUMIFS(DATA_ACHATS!$E:$E,DATA_ACHATS!$A:$A,"DRPSD",DATA_ACHATS!$C:$C,"ENGAGE")</f>
        <v>14382451.23</v>
      </c>
      <c r="E301" s="52">
        <f>IFERROR(SUMIFS(DATA_ACHATS!$E:$E,DATA_ACHATS!$A:$A,"DRPSD",DATA_ACHATS!$C:$C,"ENGAGE")/SUMIF(DATA_ACHATS!$A:$A,"DRPSD",DATA_ACHATS!$E:$E),0)</f>
        <v>0.976242921525015</v>
      </c>
    </row>
    <row r="302" spans="1:6">
      <c r="A302" s="53" t="s">
        <v>7</v>
      </c>
      <c r="B302" s="29">
        <f>COUNTIFS(DATA_ACHATS!$A:$A,"DRPSD",DATA_ACHATS!$C:$C,"PREENGAGE")</f>
        <v>0</v>
      </c>
      <c r="C302" s="30">
        <f>SUMIFS(DATA_ACHATS!$E:$E,DATA_ACHATS!$A:$A,"DRPSD",DATA_ACHATS!$C:$C,"PREENGAGE")</f>
        <v>0</v>
      </c>
    </row>
    <row r="303" spans="1:6">
      <c r="A303" s="54" t="s">
        <v>8</v>
      </c>
      <c r="B303" s="29">
        <f>COUNTIFS(DATA_ACHATS!$A:$A,"DRPSD",DATA_ACHATS!$C:$C,"EN COURS D'ENGAGEMENT")</f>
        <v>1</v>
      </c>
      <c r="C303" s="30">
        <f>SUMIFS(DATA_ACHATS!$E:$E,DATA_ACHATS!$A:$A,"DRPSD",DATA_ACHATS!$C:$C,"EN COURS D'ENGAGEMENT")</f>
        <v>350000</v>
      </c>
    </row>
    <row r="304" spans="1:6">
      <c r="A304" s="55" t="s">
        <v>9</v>
      </c>
      <c r="B304" s="29">
        <f>COUNTIFS(DATA_ACHATS!$A:$A,"DRPSD",DATA_ACHATS!$C:$C,"EN COURS DE PREENGAGEMENT")</f>
        <v>3</v>
      </c>
      <c r="C304" s="30">
        <f>SUMIFS(DATA_ACHATS!$E:$E,DATA_ACHATS!$A:$A,"DRPSD",DATA_ACHATS!$C:$C,"EN COURS DE PREENGAGEMENT")</f>
        <v>0</v>
      </c>
    </row>
    <row r="305" spans="1:6">
      <c r="A305" s="56" t="s">
        <v>10</v>
      </c>
      <c r="B305" s="29">
        <f>COUNTIFS(DATA_ACHATS!$A:$A,"DRPSD",DATA_ACHATS!$C:$C,"NON ENGAGE")</f>
        <v>1</v>
      </c>
      <c r="C305" s="30">
        <f>SUMIFS(DATA_ACHATS!$E:$E,DATA_ACHATS!$A:$A,"DRPSD",DATA_ACHATS!$C:$C,"NON ENGAGE")</f>
        <v>0</v>
      </c>
    </row>
    <row r="308" ht="20" customHeight="1" spans="1:6">
      <c r="A308" s="47" t="s">
        <v>82</v>
      </c>
      <c r="F308" s="48" t="s">
        <v>61</v>
      </c>
    </row>
    <row r="309" ht="29" spans="1:6">
      <c r="A309" s="13" t="s">
        <v>62</v>
      </c>
      <c r="B309" s="13" t="s">
        <v>55</v>
      </c>
      <c r="C309" s="13" t="s">
        <v>57</v>
      </c>
      <c r="D309" s="13" t="s">
        <v>63</v>
      </c>
    </row>
    <row r="310" spans="1:6">
      <c r="A310" s="38" t="s">
        <v>45</v>
      </c>
      <c r="B310" s="39">
        <f>COUNTIFS(DATA_ACHATS!$A:$A,"DTSI",DATA_ACHATS!$D:$D,"CONTRAT")</f>
        <v>11</v>
      </c>
      <c r="C310" s="41">
        <f>SUMIFS(DATA_ACHATS!$E:$E,DATA_ACHATS!$A:$A,"DTSI",DATA_ACHATS!$D:$D,"CONTRAT")</f>
        <v>3339526.8</v>
      </c>
      <c r="D310" s="40">
        <f>IFERROR(C310/$C$315,0)</f>
        <v>0.238202905576281</v>
      </c>
    </row>
    <row r="311" spans="1:6">
      <c r="A311" s="42" t="s">
        <v>46</v>
      </c>
      <c r="B311" s="39">
        <f>COUNTIFS(DATA_ACHATS!$A:$A,"DTSI",DATA_ACHATS!$D:$D,"AOO-M")</f>
        <v>31</v>
      </c>
      <c r="C311" s="41">
        <f>SUMIFS(DATA_ACHATS!$E:$E,DATA_ACHATS!$A:$A,"DTSI",DATA_ACHATS!$D:$D,"AOO-M")</f>
        <v>9888757.056</v>
      </c>
      <c r="D311" s="40">
        <f>IFERROR(C311/$C$315,0)</f>
        <v>0.705348633009069</v>
      </c>
    </row>
    <row r="312" spans="1:6">
      <c r="A312" s="43" t="s">
        <v>47</v>
      </c>
      <c r="B312" s="39">
        <f>COUNTIFS(DATA_ACHATS!$A:$A,"DTSI",DATA_ACHATS!$D:$D,"AOO-CT")</f>
        <v>0</v>
      </c>
      <c r="C312" s="41">
        <f>SUMIFS(DATA_ACHATS!$E:$E,DATA_ACHATS!$A:$A,"DTSI",DATA_ACHATS!$D:$D,"AOO-CT")</f>
        <v>0</v>
      </c>
      <c r="D312" s="40">
        <f>IFERROR(C312/$C$315,0)</f>
        <v>0</v>
      </c>
    </row>
    <row r="313" spans="1:6">
      <c r="A313" s="44" t="s">
        <v>48</v>
      </c>
      <c r="B313" s="39">
        <f>COUNTIFS(DATA_ACHATS!$A:$A,"DTSI",DATA_ACHATS!$D:$D,"BCL")</f>
        <v>3</v>
      </c>
      <c r="C313" s="41">
        <f>SUMIFS(DATA_ACHATS!$E:$E,DATA_ACHATS!$A:$A,"DTSI",DATA_ACHATS!$D:$D,"BCL")</f>
        <v>791388.96</v>
      </c>
      <c r="D313" s="40">
        <f>IFERROR(C313/$C$315,0)</f>
        <v>0.0564484614146505</v>
      </c>
    </row>
    <row r="314" spans="1:6">
      <c r="A314" s="45" t="s">
        <v>49</v>
      </c>
      <c r="B314" s="39">
        <f>COUNTIFS(DATA_ACHATS!$A:$A,"DTSI",DATA_ACHATS!$D:$D,"BCI")</f>
        <v>0</v>
      </c>
      <c r="C314" s="41">
        <f>SUMIFS(DATA_ACHATS!$E:$E,DATA_ACHATS!$A:$A,"DTSI",DATA_ACHATS!$D:$D,"BCI")</f>
        <v>0</v>
      </c>
      <c r="D314" s="40">
        <f>IFERROR(C314/$C$315,0)</f>
        <v>0</v>
      </c>
    </row>
    <row r="315" spans="1:6">
      <c r="A315" s="33" t="s">
        <v>64</v>
      </c>
      <c r="B315" s="34">
        <f>SUM(B310:B314)</f>
        <v>45</v>
      </c>
      <c r="C315" s="35">
        <f>SUM(C310:C314)</f>
        <v>14019672.816</v>
      </c>
      <c r="D315" s="46">
        <v>1</v>
      </c>
    </row>
    <row r="316" spans="1:6">
      <c r="A316" s="49" t="s">
        <v>65</v>
      </c>
      <c r="E316" s="50" t="s">
        <v>66</v>
      </c>
    </row>
    <row r="317" spans="1:6">
      <c r="A317" s="51" t="s">
        <v>6</v>
      </c>
      <c r="B317" s="29">
        <f>COUNTIFS(DATA_ACHATS!$A:$A,"DTSI",DATA_ACHATS!$C:$C,"ENGAGE")</f>
        <v>21</v>
      </c>
      <c r="C317" s="30">
        <f>SUMIFS(DATA_ACHATS!$E:$E,DATA_ACHATS!$A:$A,"DTSI",DATA_ACHATS!$C:$C,"ENGAGE")</f>
        <v>11186327.446</v>
      </c>
      <c r="E317" s="52">
        <f>IFERROR(SUMIFS(DATA_ACHATS!$E:$E,DATA_ACHATS!$A:$A,"DTSI",DATA_ACHATS!$C:$C,"ENGAGE")/SUMIF(DATA_ACHATS!$A:$A,"DTSI",DATA_ACHATS!$E:$E),0)</f>
        <v>0.797902175950466</v>
      </c>
    </row>
    <row r="318" spans="1:6">
      <c r="A318" s="53" t="s">
        <v>7</v>
      </c>
      <c r="B318" s="29">
        <f>COUNTIFS(DATA_ACHATS!$A:$A,"DTSI",DATA_ACHATS!$C:$C,"PREENGAGE")</f>
        <v>12</v>
      </c>
      <c r="C318" s="30">
        <f>SUMIFS(DATA_ACHATS!$E:$E,DATA_ACHATS!$A:$A,"DTSI",DATA_ACHATS!$C:$C,"PREENGAGE")</f>
        <v>2325267.6</v>
      </c>
    </row>
    <row r="319" spans="1:6">
      <c r="A319" s="54" t="s">
        <v>8</v>
      </c>
      <c r="B319" s="29">
        <f>COUNTIFS(DATA_ACHATS!$A:$A,"DTSI",DATA_ACHATS!$C:$C,"EN COURS D'ENGAGEMENT")</f>
        <v>1</v>
      </c>
      <c r="C319" s="30">
        <f>SUMIFS(DATA_ACHATS!$E:$E,DATA_ACHATS!$A:$A,"DTSI",DATA_ACHATS!$C:$C,"EN COURS D'ENGAGEMENT")</f>
        <v>412077.77</v>
      </c>
    </row>
    <row r="320" spans="1:6">
      <c r="A320" s="55" t="s">
        <v>9</v>
      </c>
      <c r="B320" s="29">
        <f>COUNTIFS(DATA_ACHATS!$A:$A,"DTSI",DATA_ACHATS!$C:$C,"EN COURS DE PREENGAGEMENT")</f>
        <v>1</v>
      </c>
      <c r="C320" s="30">
        <f>SUMIFS(DATA_ACHATS!$E:$E,DATA_ACHATS!$A:$A,"DTSI",DATA_ACHATS!$C:$C,"EN COURS DE PREENGAGEMENT")</f>
        <v>0</v>
      </c>
    </row>
    <row r="321" spans="1:6">
      <c r="A321" s="56" t="s">
        <v>10</v>
      </c>
      <c r="B321" s="29">
        <f>COUNTIFS(DATA_ACHATS!$A:$A,"DTSI",DATA_ACHATS!$C:$C,"NON ENGAGE")</f>
        <v>10</v>
      </c>
      <c r="C321" s="30">
        <f>SUMIFS(DATA_ACHATS!$E:$E,DATA_ACHATS!$A:$A,"DTSI",DATA_ACHATS!$C:$C,"NON ENGAGE")</f>
        <v>96000</v>
      </c>
    </row>
    <row r="324" ht="20" customHeight="1" spans="1:6">
      <c r="A324" s="47" t="s">
        <v>83</v>
      </c>
      <c r="F324" s="48" t="s">
        <v>61</v>
      </c>
    </row>
    <row r="325" ht="29" spans="1:6">
      <c r="A325" s="13" t="s">
        <v>62</v>
      </c>
      <c r="B325" s="13" t="s">
        <v>55</v>
      </c>
      <c r="C325" s="13" t="s">
        <v>57</v>
      </c>
      <c r="D325" s="13" t="s">
        <v>63</v>
      </c>
    </row>
    <row r="326" spans="1:6">
      <c r="A326" s="38" t="s">
        <v>45</v>
      </c>
      <c r="B326" s="39">
        <f>COUNTIFS(DATA_ACHATS!$A:$A,"MAGHRIBIA",DATA_ACHATS!$D:$D,"CONTRAT")</f>
        <v>9</v>
      </c>
      <c r="C326" s="41">
        <f>SUMIFS(DATA_ACHATS!$E:$E,DATA_ACHATS!$A:$A,"MAGHRIBIA",DATA_ACHATS!$D:$D,"CONTRAT")</f>
        <v>1051200</v>
      </c>
      <c r="D326" s="40">
        <f>IFERROR(C326/$C$331,0)</f>
        <v>1</v>
      </c>
    </row>
    <row r="327" spans="1:6">
      <c r="A327" s="42" t="s">
        <v>46</v>
      </c>
      <c r="B327" s="39">
        <f>COUNTIFS(DATA_ACHATS!$A:$A,"MAGHRIBIA",DATA_ACHATS!$D:$D,"AOO-M")</f>
        <v>0</v>
      </c>
      <c r="C327" s="41">
        <f>SUMIFS(DATA_ACHATS!$E:$E,DATA_ACHATS!$A:$A,"MAGHRIBIA",DATA_ACHATS!$D:$D,"AOO-M")</f>
        <v>0</v>
      </c>
      <c r="D327" s="40">
        <f>IFERROR(C327/$C$331,0)</f>
        <v>0</v>
      </c>
    </row>
    <row r="328" spans="1:6">
      <c r="A328" s="43" t="s">
        <v>47</v>
      </c>
      <c r="B328" s="39">
        <f>COUNTIFS(DATA_ACHATS!$A:$A,"MAGHRIBIA",DATA_ACHATS!$D:$D,"AOO-CT")</f>
        <v>0</v>
      </c>
      <c r="C328" s="41">
        <f>SUMIFS(DATA_ACHATS!$E:$E,DATA_ACHATS!$A:$A,"MAGHRIBIA",DATA_ACHATS!$D:$D,"AOO-CT")</f>
        <v>0</v>
      </c>
      <c r="D328" s="40">
        <f>IFERROR(C328/$C$331,0)</f>
        <v>0</v>
      </c>
    </row>
    <row r="329" spans="1:6">
      <c r="A329" s="44" t="s">
        <v>48</v>
      </c>
      <c r="B329" s="39">
        <f>COUNTIFS(DATA_ACHATS!$A:$A,"MAGHRIBIA",DATA_ACHATS!$D:$D,"BCL")</f>
        <v>0</v>
      </c>
      <c r="C329" s="41">
        <f>SUMIFS(DATA_ACHATS!$E:$E,DATA_ACHATS!$A:$A,"MAGHRIBIA",DATA_ACHATS!$D:$D,"BCL")</f>
        <v>0</v>
      </c>
      <c r="D329" s="40">
        <f>IFERROR(C329/$C$331,0)</f>
        <v>0</v>
      </c>
    </row>
    <row r="330" spans="1:6">
      <c r="A330" s="45" t="s">
        <v>49</v>
      </c>
      <c r="B330" s="39">
        <f>COUNTIFS(DATA_ACHATS!$A:$A,"MAGHRIBIA",DATA_ACHATS!$D:$D,"BCI")</f>
        <v>0</v>
      </c>
      <c r="C330" s="41">
        <f>SUMIFS(DATA_ACHATS!$E:$E,DATA_ACHATS!$A:$A,"MAGHRIBIA",DATA_ACHATS!$D:$D,"BCI")</f>
        <v>0</v>
      </c>
      <c r="D330" s="40">
        <f>IFERROR(C330/$C$331,0)</f>
        <v>0</v>
      </c>
    </row>
    <row r="331" spans="1:6">
      <c r="A331" s="33" t="s">
        <v>64</v>
      </c>
      <c r="B331" s="34">
        <f>SUM(B326:B330)</f>
        <v>9</v>
      </c>
      <c r="C331" s="35">
        <f>SUM(C326:C330)</f>
        <v>1051200</v>
      </c>
      <c r="D331" s="46">
        <v>1</v>
      </c>
    </row>
    <row r="332" spans="1:6">
      <c r="A332" s="49" t="s">
        <v>65</v>
      </c>
      <c r="E332" s="50" t="s">
        <v>66</v>
      </c>
    </row>
    <row r="333" spans="1:6">
      <c r="A333" s="51" t="s">
        <v>6</v>
      </c>
      <c r="B333" s="29">
        <f>COUNTIFS(DATA_ACHATS!$A:$A,"MAGHRIBIA",DATA_ACHATS!$C:$C,"ENGAGE")</f>
        <v>9</v>
      </c>
      <c r="C333" s="30">
        <f>SUMIFS(DATA_ACHATS!$E:$E,DATA_ACHATS!$A:$A,"MAGHRIBIA",DATA_ACHATS!$C:$C,"ENGAGE")</f>
        <v>1051200</v>
      </c>
      <c r="E333" s="52">
        <f>IFERROR(SUMIFS(DATA_ACHATS!$E:$E,DATA_ACHATS!$A:$A,"MAGHRIBIA",DATA_ACHATS!$C:$C,"ENGAGE")/SUMIF(DATA_ACHATS!$A:$A,"MAGHRIBIA",DATA_ACHATS!$E:$E),0)</f>
        <v>1</v>
      </c>
    </row>
    <row r="334" spans="1:6">
      <c r="A334" s="53" t="s">
        <v>7</v>
      </c>
      <c r="B334" s="29">
        <f>COUNTIFS(DATA_ACHATS!$A:$A,"MAGHRIBIA",DATA_ACHATS!$C:$C,"PREENGAGE")</f>
        <v>0</v>
      </c>
      <c r="C334" s="30">
        <f>SUMIFS(DATA_ACHATS!$E:$E,DATA_ACHATS!$A:$A,"MAGHRIBIA",DATA_ACHATS!$C:$C,"PREENGAGE")</f>
        <v>0</v>
      </c>
    </row>
    <row r="335" spans="1:6">
      <c r="A335" s="54" t="s">
        <v>8</v>
      </c>
      <c r="B335" s="29">
        <f>COUNTIFS(DATA_ACHATS!$A:$A,"MAGHRIBIA",DATA_ACHATS!$C:$C,"EN COURS D'ENGAGEMENT")</f>
        <v>0</v>
      </c>
      <c r="C335" s="30">
        <f>SUMIFS(DATA_ACHATS!$E:$E,DATA_ACHATS!$A:$A,"MAGHRIBIA",DATA_ACHATS!$C:$C,"EN COURS D'ENGAGEMENT")</f>
        <v>0</v>
      </c>
    </row>
    <row r="336" spans="1:6">
      <c r="A336" s="55" t="s">
        <v>9</v>
      </c>
      <c r="B336" s="29">
        <f>COUNTIFS(DATA_ACHATS!$A:$A,"MAGHRIBIA",DATA_ACHATS!$C:$C,"EN COURS DE PREENGAGEMENT")</f>
        <v>0</v>
      </c>
      <c r="C336" s="30">
        <f>SUMIFS(DATA_ACHATS!$E:$E,DATA_ACHATS!$A:$A,"MAGHRIBIA",DATA_ACHATS!$C:$C,"EN COURS DE PREENGAGEMENT")</f>
        <v>0</v>
      </c>
    </row>
    <row r="337" spans="1:6">
      <c r="A337" s="56" t="s">
        <v>10</v>
      </c>
      <c r="B337" s="29">
        <f>COUNTIFS(DATA_ACHATS!$A:$A,"MAGHRIBIA",DATA_ACHATS!$C:$C,"NON ENGAGE")</f>
        <v>0</v>
      </c>
      <c r="C337" s="30">
        <f>SUMIFS(DATA_ACHATS!$E:$E,DATA_ACHATS!$A:$A,"MAGHRIBIA",DATA_ACHATS!$C:$C,"NON ENGAGE")</f>
        <v>0</v>
      </c>
    </row>
    <row r="340" ht="20" customHeight="1" spans="1:6">
      <c r="A340" s="47" t="s">
        <v>84</v>
      </c>
      <c r="F340" s="48" t="s">
        <v>61</v>
      </c>
    </row>
    <row r="341" ht="29" spans="1:6">
      <c r="A341" s="13" t="s">
        <v>62</v>
      </c>
      <c r="B341" s="13" t="s">
        <v>55</v>
      </c>
      <c r="C341" s="13" t="s">
        <v>57</v>
      </c>
      <c r="D341" s="13" t="s">
        <v>63</v>
      </c>
    </row>
    <row r="342" spans="1:6">
      <c r="A342" s="38" t="s">
        <v>45</v>
      </c>
      <c r="B342" s="39">
        <f>COUNTIFS(DATA_ACHATS!$A:$A,"TAMAZIGHT",DATA_ACHATS!$D:$D,"CONTRAT")</f>
        <v>56</v>
      </c>
      <c r="C342" s="41">
        <f>SUMIFS(DATA_ACHATS!$E:$E,DATA_ACHATS!$A:$A,"TAMAZIGHT",DATA_ACHATS!$D:$D,"CONTRAT")</f>
        <v>5680171.24</v>
      </c>
      <c r="D342" s="40">
        <f>IFERROR(C342/$C$347,0)</f>
        <v>1</v>
      </c>
    </row>
    <row r="343" spans="1:6">
      <c r="A343" s="42" t="s">
        <v>46</v>
      </c>
      <c r="B343" s="39">
        <f>COUNTIFS(DATA_ACHATS!$A:$A,"TAMAZIGHT",DATA_ACHATS!$D:$D,"AOO-M")</f>
        <v>0</v>
      </c>
      <c r="C343" s="41">
        <f>SUMIFS(DATA_ACHATS!$E:$E,DATA_ACHATS!$A:$A,"TAMAZIGHT",DATA_ACHATS!$D:$D,"AOO-M")</f>
        <v>0</v>
      </c>
      <c r="D343" s="40">
        <f>IFERROR(C343/$C$347,0)</f>
        <v>0</v>
      </c>
    </row>
    <row r="344" spans="1:6">
      <c r="A344" s="43" t="s">
        <v>47</v>
      </c>
      <c r="B344" s="39">
        <f>COUNTIFS(DATA_ACHATS!$A:$A,"TAMAZIGHT",DATA_ACHATS!$D:$D,"AOO-CT")</f>
        <v>0</v>
      </c>
      <c r="C344" s="41">
        <f>SUMIFS(DATA_ACHATS!$E:$E,DATA_ACHATS!$A:$A,"TAMAZIGHT",DATA_ACHATS!$D:$D,"AOO-CT")</f>
        <v>0</v>
      </c>
      <c r="D344" s="40">
        <f>IFERROR(C344/$C$347,0)</f>
        <v>0</v>
      </c>
    </row>
    <row r="345" spans="1:6">
      <c r="A345" s="44" t="s">
        <v>48</v>
      </c>
      <c r="B345" s="39">
        <f>COUNTIFS(DATA_ACHATS!$A:$A,"TAMAZIGHT",DATA_ACHATS!$D:$D,"BCL")</f>
        <v>0</v>
      </c>
      <c r="C345" s="41">
        <f>SUMIFS(DATA_ACHATS!$E:$E,DATA_ACHATS!$A:$A,"TAMAZIGHT",DATA_ACHATS!$D:$D,"BCL")</f>
        <v>0</v>
      </c>
      <c r="D345" s="40">
        <f>IFERROR(C345/$C$347,0)</f>
        <v>0</v>
      </c>
    </row>
    <row r="346" spans="1:6">
      <c r="A346" s="45" t="s">
        <v>49</v>
      </c>
      <c r="B346" s="39">
        <f>COUNTIFS(DATA_ACHATS!$A:$A,"TAMAZIGHT",DATA_ACHATS!$D:$D,"BCI")</f>
        <v>0</v>
      </c>
      <c r="C346" s="41">
        <f>SUMIFS(DATA_ACHATS!$E:$E,DATA_ACHATS!$A:$A,"TAMAZIGHT",DATA_ACHATS!$D:$D,"BCI")</f>
        <v>0</v>
      </c>
      <c r="D346" s="40">
        <f>IFERROR(C346/$C$347,0)</f>
        <v>0</v>
      </c>
    </row>
    <row r="347" spans="1:6">
      <c r="A347" s="33" t="s">
        <v>64</v>
      </c>
      <c r="B347" s="34">
        <f>SUM(B342:B346)</f>
        <v>56</v>
      </c>
      <c r="C347" s="35">
        <f>SUM(C342:C346)</f>
        <v>5680171.24</v>
      </c>
      <c r="D347" s="46">
        <v>1</v>
      </c>
    </row>
    <row r="348" spans="1:6">
      <c r="A348" s="49" t="s">
        <v>65</v>
      </c>
      <c r="E348" s="50" t="s">
        <v>66</v>
      </c>
    </row>
    <row r="349" spans="1:6">
      <c r="A349" s="51" t="s">
        <v>6</v>
      </c>
      <c r="B349" s="29">
        <f>COUNTIFS(DATA_ACHATS!$A:$A,"TAMAZIGHT",DATA_ACHATS!$C:$C,"ENGAGE")</f>
        <v>56</v>
      </c>
      <c r="C349" s="30">
        <f>SUMIFS(DATA_ACHATS!$E:$E,DATA_ACHATS!$A:$A,"TAMAZIGHT",DATA_ACHATS!$C:$C,"ENGAGE")</f>
        <v>5680171.24</v>
      </c>
      <c r="E349" s="52">
        <f>IFERROR(SUMIFS(DATA_ACHATS!$E:$E,DATA_ACHATS!$A:$A,"TAMAZIGHT",DATA_ACHATS!$C:$C,"ENGAGE")/SUMIF(DATA_ACHATS!$A:$A,"TAMAZIGHT",DATA_ACHATS!$E:$E),0)</f>
        <v>1</v>
      </c>
    </row>
    <row r="350" spans="1:6">
      <c r="A350" s="53" t="s">
        <v>7</v>
      </c>
      <c r="B350" s="29">
        <f>COUNTIFS(DATA_ACHATS!$A:$A,"TAMAZIGHT",DATA_ACHATS!$C:$C,"PREENGAGE")</f>
        <v>0</v>
      </c>
      <c r="C350" s="30">
        <f>SUMIFS(DATA_ACHATS!$E:$E,DATA_ACHATS!$A:$A,"TAMAZIGHT",DATA_ACHATS!$C:$C,"PREENGAGE")</f>
        <v>0</v>
      </c>
    </row>
    <row r="351" spans="1:6">
      <c r="A351" s="54" t="s">
        <v>8</v>
      </c>
      <c r="B351" s="29">
        <f>COUNTIFS(DATA_ACHATS!$A:$A,"TAMAZIGHT",DATA_ACHATS!$C:$C,"EN COURS D'ENGAGEMENT")</f>
        <v>0</v>
      </c>
      <c r="C351" s="30">
        <f>SUMIFS(DATA_ACHATS!$E:$E,DATA_ACHATS!$A:$A,"TAMAZIGHT",DATA_ACHATS!$C:$C,"EN COURS D'ENGAGEMENT")</f>
        <v>0</v>
      </c>
    </row>
    <row r="352" spans="1:6">
      <c r="A352" s="55" t="s">
        <v>9</v>
      </c>
      <c r="B352" s="29">
        <f>COUNTIFS(DATA_ACHATS!$A:$A,"TAMAZIGHT",DATA_ACHATS!$C:$C,"EN COURS DE PREENGAGEMENT")</f>
        <v>0</v>
      </c>
      <c r="C352" s="30">
        <f>SUMIFS(DATA_ACHATS!$E:$E,DATA_ACHATS!$A:$A,"TAMAZIGHT",DATA_ACHATS!$C:$C,"EN COURS DE PREENGAGEMENT")</f>
        <v>0</v>
      </c>
    </row>
    <row r="353" spans="1:6">
      <c r="A353" s="56" t="s">
        <v>10</v>
      </c>
      <c r="B353" s="29">
        <f>COUNTIFS(DATA_ACHATS!$A:$A,"TAMAZIGHT",DATA_ACHATS!$C:$C,"NON ENGAGE")</f>
        <v>0</v>
      </c>
      <c r="C353" s="30">
        <f>SUMIFS(DATA_ACHATS!$E:$E,DATA_ACHATS!$A:$A,"TAMAZIGHT",DATA_ACHATS!$C:$C,"NON ENGAGE")</f>
        <v>0</v>
      </c>
    </row>
    <row r="356" ht="20" customHeight="1" spans="1:6">
      <c r="A356" s="47" t="s">
        <v>85</v>
      </c>
      <c r="F356" s="48" t="s">
        <v>61</v>
      </c>
    </row>
    <row r="357" ht="29" spans="1:6">
      <c r="A357" s="13" t="s">
        <v>62</v>
      </c>
      <c r="B357" s="13" t="s">
        <v>55</v>
      </c>
      <c r="C357" s="13" t="s">
        <v>57</v>
      </c>
      <c r="D357" s="13" t="s">
        <v>63</v>
      </c>
    </row>
    <row r="358" spans="1:6">
      <c r="A358" s="38" t="s">
        <v>45</v>
      </c>
      <c r="B358" s="39">
        <f>COUNTIFS(DATA_ACHATS!$A:$A,"TDF -SITES",DATA_ACHATS!$D:$D,"CONTRAT")</f>
        <v>7</v>
      </c>
      <c r="C358" s="41">
        <f>SUMIFS(DATA_ACHATS!$E:$E,DATA_ACHATS!$A:$A,"TDF -SITES",DATA_ACHATS!$D:$D,"CONTRAT")</f>
        <v>105650333.35</v>
      </c>
      <c r="D358" s="40">
        <f>IFERROR(C358/$C$363,0)</f>
        <v>0.864441634945538</v>
      </c>
    </row>
    <row r="359" spans="1:6">
      <c r="A359" s="42" t="s">
        <v>46</v>
      </c>
      <c r="B359" s="39">
        <f>COUNTIFS(DATA_ACHATS!$A:$A,"TDF -SITES",DATA_ACHATS!$D:$D,"AOO-M")</f>
        <v>20</v>
      </c>
      <c r="C359" s="41">
        <f>SUMIFS(DATA_ACHATS!$E:$E,DATA_ACHATS!$A:$A,"TDF -SITES",DATA_ACHATS!$D:$D,"AOO-M")</f>
        <v>16318897.14</v>
      </c>
      <c r="D359" s="40">
        <f>IFERROR(C359/$C$363,0)</f>
        <v>0.133522854844922</v>
      </c>
    </row>
    <row r="360" spans="1:6">
      <c r="A360" s="43" t="s">
        <v>47</v>
      </c>
      <c r="B360" s="39">
        <f>COUNTIFS(DATA_ACHATS!$A:$A,"TDF -SITES",DATA_ACHATS!$D:$D,"AOO-CT")</f>
        <v>0</v>
      </c>
      <c r="C360" s="41">
        <f>SUMIFS(DATA_ACHATS!$E:$E,DATA_ACHATS!$A:$A,"TDF -SITES",DATA_ACHATS!$D:$D,"AOO-CT")</f>
        <v>0</v>
      </c>
      <c r="D360" s="40">
        <f>IFERROR(C360/$C$363,0)</f>
        <v>0</v>
      </c>
    </row>
    <row r="361" spans="1:6">
      <c r="A361" s="44" t="s">
        <v>48</v>
      </c>
      <c r="B361" s="39">
        <f>COUNTIFS(DATA_ACHATS!$A:$A,"TDF -SITES",DATA_ACHATS!$D:$D,"BCL")</f>
        <v>4</v>
      </c>
      <c r="C361" s="41">
        <f>SUMIFS(DATA_ACHATS!$E:$E,DATA_ACHATS!$A:$A,"TDF -SITES",DATA_ACHATS!$D:$D,"BCL")</f>
        <v>248776</v>
      </c>
      <c r="D361" s="40">
        <f>IFERROR(C361/$C$363,0)</f>
        <v>0.00203551020953983</v>
      </c>
    </row>
    <row r="362" spans="1:6">
      <c r="A362" s="45" t="s">
        <v>49</v>
      </c>
      <c r="B362" s="39">
        <f>COUNTIFS(DATA_ACHATS!$A:$A,"TDF -SITES",DATA_ACHATS!$D:$D,"BCI")</f>
        <v>0</v>
      </c>
      <c r="C362" s="41">
        <f>SUMIFS(DATA_ACHATS!$E:$E,DATA_ACHATS!$A:$A,"TDF -SITES",DATA_ACHATS!$D:$D,"BCI")</f>
        <v>0</v>
      </c>
      <c r="D362" s="40">
        <f>IFERROR(C362/$C$363,0)</f>
        <v>0</v>
      </c>
    </row>
    <row r="363" spans="1:6">
      <c r="A363" s="33" t="s">
        <v>64</v>
      </c>
      <c r="B363" s="34">
        <f>SUM(B358:B362)</f>
        <v>31</v>
      </c>
      <c r="C363" s="35">
        <f>SUM(C358:C362)</f>
        <v>122218006.49</v>
      </c>
      <c r="D363" s="46">
        <v>1</v>
      </c>
    </row>
    <row r="364" spans="1:6">
      <c r="A364" s="49" t="s">
        <v>65</v>
      </c>
      <c r="E364" s="50" t="s">
        <v>66</v>
      </c>
    </row>
    <row r="365" spans="1:6">
      <c r="A365" s="51" t="s">
        <v>6</v>
      </c>
      <c r="B365" s="29">
        <f>COUNTIFS(DATA_ACHATS!$A:$A,"TDF -SITES",DATA_ACHATS!$C:$C,"ENGAGE")</f>
        <v>19</v>
      </c>
      <c r="C365" s="30">
        <f>SUMIFS(DATA_ACHATS!$E:$E,DATA_ACHATS!$A:$A,"TDF -SITES",DATA_ACHATS!$C:$C,"ENGAGE")</f>
        <v>121135058.49</v>
      </c>
      <c r="E365" s="52">
        <f>IFERROR(SUMIFS(DATA_ACHATS!$E:$E,DATA_ACHATS!$A:$A,"TDF -SITES",DATA_ACHATS!$C:$C,"ENGAGE")/SUMIF(DATA_ACHATS!$A:$A,"TDF -SITES",DATA_ACHATS!$E:$E),0)</f>
        <v>0.991139210734151</v>
      </c>
    </row>
    <row r="366" spans="1:6">
      <c r="A366" s="53" t="s">
        <v>7</v>
      </c>
      <c r="B366" s="29">
        <f>COUNTIFS(DATA_ACHATS!$A:$A,"TDF -SITES",DATA_ACHATS!$C:$C,"PREENGAGE")</f>
        <v>3</v>
      </c>
      <c r="C366" s="30">
        <f>SUMIFS(DATA_ACHATS!$E:$E,DATA_ACHATS!$A:$A,"TDF -SITES",DATA_ACHATS!$C:$C,"PREENGAGE")</f>
        <v>978972</v>
      </c>
    </row>
    <row r="367" spans="1:6">
      <c r="A367" s="54" t="s">
        <v>8</v>
      </c>
      <c r="B367" s="29">
        <f>COUNTIFS(DATA_ACHATS!$A:$A,"TDF -SITES",DATA_ACHATS!$C:$C,"EN COURS D'ENGAGEMENT")</f>
        <v>2</v>
      </c>
      <c r="C367" s="30">
        <f>SUMIFS(DATA_ACHATS!$E:$E,DATA_ACHATS!$A:$A,"TDF -SITES",DATA_ACHATS!$C:$C,"EN COURS D'ENGAGEMENT")</f>
        <v>103976</v>
      </c>
    </row>
    <row r="368" spans="1:6">
      <c r="A368" s="55" t="s">
        <v>9</v>
      </c>
      <c r="B368" s="29">
        <f>COUNTIFS(DATA_ACHATS!$A:$A,"TDF -SITES",DATA_ACHATS!$C:$C,"EN COURS DE PREENGAGEMENT")</f>
        <v>6</v>
      </c>
      <c r="C368" s="30">
        <f>SUMIFS(DATA_ACHATS!$E:$E,DATA_ACHATS!$A:$A,"TDF -SITES",DATA_ACHATS!$C:$C,"EN COURS DE PREENGAGEMENT")</f>
        <v>0</v>
      </c>
    </row>
    <row r="369" spans="1:6">
      <c r="A369" s="56" t="s">
        <v>10</v>
      </c>
      <c r="B369" s="29">
        <f>COUNTIFS(DATA_ACHATS!$A:$A,"TDF -SITES",DATA_ACHATS!$C:$C,"NON ENGAGE")</f>
        <v>1</v>
      </c>
      <c r="C369" s="30">
        <f>SUMIFS(DATA_ACHATS!$E:$E,DATA_ACHATS!$A:$A,"TDF -SITES",DATA_ACHATS!$C:$C,"NON ENGAGE")</f>
        <v>0</v>
      </c>
    </row>
    <row r="372" ht="20" customHeight="1" spans="1:6">
      <c r="A372" s="47" t="s">
        <v>86</v>
      </c>
      <c r="F372" s="48" t="s">
        <v>61</v>
      </c>
    </row>
    <row r="373" ht="29" spans="1:6">
      <c r="A373" s="13" t="s">
        <v>62</v>
      </c>
      <c r="B373" s="13" t="s">
        <v>55</v>
      </c>
      <c r="C373" s="13" t="s">
        <v>57</v>
      </c>
      <c r="D373" s="13" t="s">
        <v>63</v>
      </c>
    </row>
    <row r="374" spans="1:6">
      <c r="A374" s="38" t="s">
        <v>45</v>
      </c>
      <c r="B374" s="39">
        <f>COUNTIFS(DATA_ACHATS!$A:$A,"TDF-EXP&amp;MAIN",DATA_ACHATS!$D:$D,"CONTRAT")</f>
        <v>0</v>
      </c>
      <c r="C374" s="41">
        <f>SUMIFS(DATA_ACHATS!$E:$E,DATA_ACHATS!$A:$A,"TDF-EXP&amp;MAIN",DATA_ACHATS!$D:$D,"CONTRAT")</f>
        <v>0</v>
      </c>
      <c r="D374" s="40">
        <f>IFERROR(C374/$C$379,0)</f>
        <v>0</v>
      </c>
    </row>
    <row r="375" spans="1:6">
      <c r="A375" s="42" t="s">
        <v>46</v>
      </c>
      <c r="B375" s="39">
        <f>COUNTIFS(DATA_ACHATS!$A:$A,"TDF-EXP&amp;MAIN",DATA_ACHATS!$D:$D,"AOO-M")</f>
        <v>12</v>
      </c>
      <c r="C375" s="41">
        <f>SUMIFS(DATA_ACHATS!$E:$E,DATA_ACHATS!$A:$A,"TDF-EXP&amp;MAIN",DATA_ACHATS!$D:$D,"AOO-M")</f>
        <v>3790494</v>
      </c>
      <c r="D375" s="40">
        <f>IFERROR(C375/$C$379,0)</f>
        <v>0.967923270796786</v>
      </c>
    </row>
    <row r="376" spans="1:6">
      <c r="A376" s="43" t="s">
        <v>47</v>
      </c>
      <c r="B376" s="39">
        <f>COUNTIFS(DATA_ACHATS!$A:$A,"TDF-EXP&amp;MAIN",DATA_ACHATS!$D:$D,"AOO-CT")</f>
        <v>0</v>
      </c>
      <c r="C376" s="41">
        <f>SUMIFS(DATA_ACHATS!$E:$E,DATA_ACHATS!$A:$A,"TDF-EXP&amp;MAIN",DATA_ACHATS!$D:$D,"AOO-CT")</f>
        <v>0</v>
      </c>
      <c r="D376" s="40">
        <f>IFERROR(C376/$C$379,0)</f>
        <v>0</v>
      </c>
    </row>
    <row r="377" spans="1:6">
      <c r="A377" s="44" t="s">
        <v>48</v>
      </c>
      <c r="B377" s="39">
        <f>COUNTIFS(DATA_ACHATS!$A:$A,"TDF-EXP&amp;MAIN",DATA_ACHATS!$D:$D,"BCL")</f>
        <v>3</v>
      </c>
      <c r="C377" s="41">
        <f>SUMIFS(DATA_ACHATS!$E:$E,DATA_ACHATS!$A:$A,"TDF-EXP&amp;MAIN",DATA_ACHATS!$D:$D,"BCL")</f>
        <v>125616</v>
      </c>
      <c r="D377" s="40">
        <f>IFERROR(C377/$C$379,0)</f>
        <v>0.0320767292032144</v>
      </c>
    </row>
    <row r="378" spans="1:6">
      <c r="A378" s="45" t="s">
        <v>49</v>
      </c>
      <c r="B378" s="39">
        <f>COUNTIFS(DATA_ACHATS!$A:$A,"TDF-EXP&amp;MAIN",DATA_ACHATS!$D:$D,"BCI")</f>
        <v>0</v>
      </c>
      <c r="C378" s="41">
        <f>SUMIFS(DATA_ACHATS!$E:$E,DATA_ACHATS!$A:$A,"TDF-EXP&amp;MAIN",DATA_ACHATS!$D:$D,"BCI")</f>
        <v>0</v>
      </c>
      <c r="D378" s="40">
        <f>IFERROR(C378/$C$379,0)</f>
        <v>0</v>
      </c>
    </row>
    <row r="379" spans="1:6">
      <c r="A379" s="33" t="s">
        <v>64</v>
      </c>
      <c r="B379" s="34">
        <f>SUM(B374:B378)</f>
        <v>15</v>
      </c>
      <c r="C379" s="35">
        <f>SUM(C374:C378)</f>
        <v>3916110</v>
      </c>
      <c r="D379" s="46">
        <v>1</v>
      </c>
    </row>
    <row r="380" spans="1:6">
      <c r="A380" s="49" t="s">
        <v>65</v>
      </c>
      <c r="E380" s="50" t="s">
        <v>66</v>
      </c>
    </row>
    <row r="381" spans="1:6">
      <c r="A381" s="51" t="s">
        <v>6</v>
      </c>
      <c r="B381" s="29">
        <f>COUNTIFS(DATA_ACHATS!$A:$A,"TDF-EXP&amp;MAIN",DATA_ACHATS!$C:$C,"ENGAGE")</f>
        <v>2</v>
      </c>
      <c r="C381" s="30">
        <f>SUMIFS(DATA_ACHATS!$E:$E,DATA_ACHATS!$A:$A,"TDF-EXP&amp;MAIN",DATA_ACHATS!$C:$C,"ENGAGE")</f>
        <v>2958360</v>
      </c>
      <c r="E381" s="52">
        <f>IFERROR(SUMIFS(DATA_ACHATS!$E:$E,DATA_ACHATS!$A:$A,"TDF-EXP&amp;MAIN",DATA_ACHATS!$C:$C,"ENGAGE")/SUMIF(DATA_ACHATS!$A:$A,"TDF-EXP&amp;MAIN",DATA_ACHATS!$E:$E),0)</f>
        <v>0.755433325417315</v>
      </c>
    </row>
    <row r="382" spans="1:6">
      <c r="A382" s="53" t="s">
        <v>7</v>
      </c>
      <c r="B382" s="29">
        <f>COUNTIFS(DATA_ACHATS!$A:$A,"TDF-EXP&amp;MAIN",DATA_ACHATS!$C:$C,"PREENGAGE")</f>
        <v>3</v>
      </c>
      <c r="C382" s="30">
        <f>SUMIFS(DATA_ACHATS!$E:$E,DATA_ACHATS!$A:$A,"TDF-EXP&amp;MAIN",DATA_ACHATS!$C:$C,"PREENGAGE")</f>
        <v>832134</v>
      </c>
    </row>
    <row r="383" spans="1:6">
      <c r="A383" s="54" t="s">
        <v>8</v>
      </c>
      <c r="B383" s="29">
        <f>COUNTIFS(DATA_ACHATS!$A:$A,"TDF-EXP&amp;MAIN",DATA_ACHATS!$C:$C,"EN COURS D'ENGAGEMENT")</f>
        <v>3</v>
      </c>
      <c r="C383" s="30">
        <f>SUMIFS(DATA_ACHATS!$E:$E,DATA_ACHATS!$A:$A,"TDF-EXP&amp;MAIN",DATA_ACHATS!$C:$C,"EN COURS D'ENGAGEMENT")</f>
        <v>125616</v>
      </c>
    </row>
    <row r="384" spans="1:6">
      <c r="A384" s="55" t="s">
        <v>9</v>
      </c>
      <c r="B384" s="29">
        <f>COUNTIFS(DATA_ACHATS!$A:$A,"TDF-EXP&amp;MAIN",DATA_ACHATS!$C:$C,"EN COURS DE PREENGAGEMENT")</f>
        <v>4</v>
      </c>
      <c r="C384" s="30">
        <f>SUMIFS(DATA_ACHATS!$E:$E,DATA_ACHATS!$A:$A,"TDF-EXP&amp;MAIN",DATA_ACHATS!$C:$C,"EN COURS DE PREENGAGEMENT")</f>
        <v>0</v>
      </c>
    </row>
    <row r="385" spans="1:6">
      <c r="A385" s="56" t="s">
        <v>10</v>
      </c>
      <c r="B385" s="29">
        <f>COUNTIFS(DATA_ACHATS!$A:$A,"TDF-EXP&amp;MAIN",DATA_ACHATS!$C:$C,"NON ENGAGE")</f>
        <v>3</v>
      </c>
      <c r="C385" s="30">
        <f>SUMIFS(DATA_ACHATS!$E:$E,DATA_ACHATS!$A:$A,"TDF-EXP&amp;MAIN",DATA_ACHATS!$C:$C,"NON ENGAGE")</f>
        <v>0</v>
      </c>
    </row>
    <row r="388" ht="20" customHeight="1" spans="1:6">
      <c r="A388" s="47" t="s">
        <v>87</v>
      </c>
      <c r="F388" s="48" t="s">
        <v>61</v>
      </c>
    </row>
    <row r="389" ht="29" spans="1:6">
      <c r="A389" s="13" t="s">
        <v>62</v>
      </c>
      <c r="B389" s="13" t="s">
        <v>55</v>
      </c>
      <c r="C389" s="13" t="s">
        <v>57</v>
      </c>
      <c r="D389" s="13" t="s">
        <v>63</v>
      </c>
    </row>
    <row r="390" spans="1:6">
      <c r="A390" s="38" t="s">
        <v>45</v>
      </c>
      <c r="B390" s="39">
        <f>COUNTIFS(DATA_ACHATS!$A:$A,"TV LAAYOUNE",DATA_ACHATS!$D:$D,"CONTRAT")</f>
        <v>5</v>
      </c>
      <c r="C390" s="41">
        <f>SUMIFS(DATA_ACHATS!$E:$E,DATA_ACHATS!$A:$A,"TV LAAYOUNE",DATA_ACHATS!$D:$D,"CONTRAT")</f>
        <v>1061800.66</v>
      </c>
      <c r="D390" s="40">
        <f>IFERROR(C390/$C$395,0)</f>
        <v>0.0469976440004527</v>
      </c>
    </row>
    <row r="391" spans="1:6">
      <c r="A391" s="42" t="s">
        <v>46</v>
      </c>
      <c r="B391" s="39">
        <f>COUNTIFS(DATA_ACHATS!$A:$A,"TV LAAYOUNE",DATA_ACHATS!$D:$D,"AOO-M")</f>
        <v>0</v>
      </c>
      <c r="C391" s="41">
        <f>SUMIFS(DATA_ACHATS!$E:$E,DATA_ACHATS!$A:$A,"TV LAAYOUNE",DATA_ACHATS!$D:$D,"AOO-M")</f>
        <v>0</v>
      </c>
      <c r="D391" s="40">
        <f>IFERROR(C391/$C$395,0)</f>
        <v>0</v>
      </c>
    </row>
    <row r="392" spans="1:6">
      <c r="A392" s="43" t="s">
        <v>47</v>
      </c>
      <c r="B392" s="39">
        <f>COUNTIFS(DATA_ACHATS!$A:$A,"TV LAAYOUNE",DATA_ACHATS!$D:$D,"AOO-CT")</f>
        <v>18</v>
      </c>
      <c r="C392" s="41">
        <f>SUMIFS(DATA_ACHATS!$E:$E,DATA_ACHATS!$A:$A,"TV LAAYOUNE",DATA_ACHATS!$D:$D,"AOO-CT")</f>
        <v>21385985.26</v>
      </c>
      <c r="D392" s="40">
        <f>IFERROR(C392/$C$395,0)</f>
        <v>0.946590974852482</v>
      </c>
    </row>
    <row r="393" spans="1:6">
      <c r="A393" s="44" t="s">
        <v>48</v>
      </c>
      <c r="B393" s="39">
        <f>COUNTIFS(DATA_ACHATS!$A:$A,"TV LAAYOUNE",DATA_ACHATS!$D:$D,"BCL")</f>
        <v>3</v>
      </c>
      <c r="C393" s="41">
        <f>SUMIFS(DATA_ACHATS!$E:$E,DATA_ACHATS!$A:$A,"TV LAAYOUNE",DATA_ACHATS!$D:$D,"BCL")</f>
        <v>144850</v>
      </c>
      <c r="D393" s="40">
        <f>IFERROR(C393/$C$395,0)</f>
        <v>0.00641138114706537</v>
      </c>
    </row>
    <row r="394" spans="1:6">
      <c r="A394" s="45" t="s">
        <v>49</v>
      </c>
      <c r="B394" s="39">
        <f>COUNTIFS(DATA_ACHATS!$A:$A,"TV LAAYOUNE",DATA_ACHATS!$D:$D,"BCI")</f>
        <v>0</v>
      </c>
      <c r="C394" s="41">
        <f>SUMIFS(DATA_ACHATS!$E:$E,DATA_ACHATS!$A:$A,"TV LAAYOUNE",DATA_ACHATS!$D:$D,"BCI")</f>
        <v>0</v>
      </c>
      <c r="D394" s="40">
        <f>IFERROR(C394/$C$395,0)</f>
        <v>0</v>
      </c>
    </row>
    <row r="395" spans="1:6">
      <c r="A395" s="33" t="s">
        <v>64</v>
      </c>
      <c r="B395" s="34">
        <f>SUM(B390:B394)</f>
        <v>26</v>
      </c>
      <c r="C395" s="35">
        <f>SUM(C390:C394)</f>
        <v>22592635.92</v>
      </c>
      <c r="D395" s="46">
        <v>1</v>
      </c>
    </row>
    <row r="396" spans="1:6">
      <c r="A396" s="49" t="s">
        <v>65</v>
      </c>
      <c r="E396" s="50" t="s">
        <v>66</v>
      </c>
    </row>
    <row r="397" spans="1:6">
      <c r="A397" s="51" t="s">
        <v>6</v>
      </c>
      <c r="B397" s="29">
        <f>COUNTIFS(DATA_ACHATS!$A:$A,"TV LAAYOUNE",DATA_ACHATS!$C:$C,"ENGAGE")</f>
        <v>26</v>
      </c>
      <c r="C397" s="30">
        <f>SUMIFS(DATA_ACHATS!$E:$E,DATA_ACHATS!$A:$A,"TV LAAYOUNE",DATA_ACHATS!$C:$C,"ENGAGE")</f>
        <v>22592635.92</v>
      </c>
      <c r="E397" s="52">
        <f>IFERROR(SUMIFS(DATA_ACHATS!$E:$E,DATA_ACHATS!$A:$A,"TV LAAYOUNE",DATA_ACHATS!$C:$C,"ENGAGE")/SUMIF(DATA_ACHATS!$A:$A,"TV LAAYOUNE",DATA_ACHATS!$E:$E),0)</f>
        <v>1</v>
      </c>
    </row>
    <row r="398" spans="1:6">
      <c r="A398" s="53" t="s">
        <v>7</v>
      </c>
      <c r="B398" s="29">
        <f>COUNTIFS(DATA_ACHATS!$A:$A,"TV LAAYOUNE",DATA_ACHATS!$C:$C,"PREENGAGE")</f>
        <v>0</v>
      </c>
      <c r="C398" s="30">
        <f>SUMIFS(DATA_ACHATS!$E:$E,DATA_ACHATS!$A:$A,"TV LAAYOUNE",DATA_ACHATS!$C:$C,"PREENGAGE")</f>
        <v>0</v>
      </c>
    </row>
    <row r="399" spans="1:6">
      <c r="A399" s="54" t="s">
        <v>8</v>
      </c>
      <c r="B399" s="29">
        <f>COUNTIFS(DATA_ACHATS!$A:$A,"TV LAAYOUNE",DATA_ACHATS!$C:$C,"EN COURS D'ENGAGEMENT")</f>
        <v>0</v>
      </c>
      <c r="C399" s="30">
        <f>SUMIFS(DATA_ACHATS!$E:$E,DATA_ACHATS!$A:$A,"TV LAAYOUNE",DATA_ACHATS!$C:$C,"EN COURS D'ENGAGEMENT")</f>
        <v>0</v>
      </c>
    </row>
    <row r="400" spans="1:6">
      <c r="A400" s="55" t="s">
        <v>9</v>
      </c>
      <c r="B400" s="29">
        <f>COUNTIFS(DATA_ACHATS!$A:$A,"TV LAAYOUNE",DATA_ACHATS!$C:$C,"EN COURS DE PREENGAGEMENT")</f>
        <v>0</v>
      </c>
      <c r="C400" s="30">
        <f>SUMIFS(DATA_ACHATS!$E:$E,DATA_ACHATS!$A:$A,"TV LAAYOUNE",DATA_ACHATS!$C:$C,"EN COURS DE PREENGAGEMENT")</f>
        <v>0</v>
      </c>
    </row>
    <row r="401" spans="1:3">
      <c r="A401" s="56" t="s">
        <v>10</v>
      </c>
      <c r="B401" s="29">
        <f>COUNTIFS(DATA_ACHATS!$A:$A,"TV LAAYOUNE",DATA_ACHATS!$C:$C,"NON ENGAGE")</f>
        <v>0</v>
      </c>
      <c r="C401" s="30">
        <f>SUMIFS(DATA_ACHATS!$E:$E,DATA_ACHATS!$A:$A,"TV LAAYOUNE",DATA_ACHATS!$C:$C,"NON ENGAGE")</f>
        <v>0</v>
      </c>
    </row>
  </sheetData>
  <mergeCells count="88">
    <mergeCell ref="A1:N1"/>
    <mergeCell ref="A2:N2"/>
    <mergeCell ref="A4:B4"/>
    <mergeCell ref="D4:E4"/>
    <mergeCell ref="G4:H4"/>
    <mergeCell ref="J4:K4"/>
    <mergeCell ref="M4:N4"/>
    <mergeCell ref="A5:B5"/>
    <mergeCell ref="D5:E5"/>
    <mergeCell ref="G5:H5"/>
    <mergeCell ref="J5:K5"/>
    <mergeCell ref="M5:N5"/>
    <mergeCell ref="A7:N7"/>
    <mergeCell ref="A8:C8"/>
    <mergeCell ref="D8:F8"/>
    <mergeCell ref="G8:I8"/>
    <mergeCell ref="J8:N8"/>
    <mergeCell ref="A9:C9"/>
    <mergeCell ref="D9:F9"/>
    <mergeCell ref="G9:I9"/>
    <mergeCell ref="J9:N9"/>
    <mergeCell ref="A10:C10"/>
    <mergeCell ref="D10:F10"/>
    <mergeCell ref="G10:I10"/>
    <mergeCell ref="J10:N10"/>
    <mergeCell ref="A11:C11"/>
    <mergeCell ref="D11:F11"/>
    <mergeCell ref="G11:I11"/>
    <mergeCell ref="J11:N11"/>
    <mergeCell ref="A12:C12"/>
    <mergeCell ref="D12:F12"/>
    <mergeCell ref="G12:I12"/>
    <mergeCell ref="J12:N12"/>
    <mergeCell ref="A13:C13"/>
    <mergeCell ref="D13:F13"/>
    <mergeCell ref="A15:N15"/>
    <mergeCell ref="B16:C16"/>
    <mergeCell ref="D16:E16"/>
    <mergeCell ref="F16:G16"/>
    <mergeCell ref="H16:I16"/>
    <mergeCell ref="J16:K16"/>
    <mergeCell ref="L16:M16"/>
    <mergeCell ref="A42:F42"/>
    <mergeCell ref="A52:E52"/>
    <mergeCell ref="A68:E68"/>
    <mergeCell ref="A84:E84"/>
    <mergeCell ref="A100:E100"/>
    <mergeCell ref="A116:E116"/>
    <mergeCell ref="A132:E132"/>
    <mergeCell ref="A148:E148"/>
    <mergeCell ref="A164:E164"/>
    <mergeCell ref="A180:E180"/>
    <mergeCell ref="A196:E196"/>
    <mergeCell ref="A212:E212"/>
    <mergeCell ref="A228:E228"/>
    <mergeCell ref="A244:E244"/>
    <mergeCell ref="A260:E260"/>
    <mergeCell ref="A276:E276"/>
    <mergeCell ref="A292:E292"/>
    <mergeCell ref="A308:E308"/>
    <mergeCell ref="A324:E324"/>
    <mergeCell ref="A340:E340"/>
    <mergeCell ref="A356:E356"/>
    <mergeCell ref="A372:E372"/>
    <mergeCell ref="A388:E388"/>
    <mergeCell ref="A16:A17"/>
    <mergeCell ref="E61:E65"/>
    <mergeCell ref="E77:E81"/>
    <mergeCell ref="E93:E97"/>
    <mergeCell ref="E109:E113"/>
    <mergeCell ref="E125:E129"/>
    <mergeCell ref="E141:E145"/>
    <mergeCell ref="E157:E161"/>
    <mergeCell ref="E173:E177"/>
    <mergeCell ref="E189:E193"/>
    <mergeCell ref="E205:E209"/>
    <mergeCell ref="E221:E225"/>
    <mergeCell ref="E237:E241"/>
    <mergeCell ref="E253:E257"/>
    <mergeCell ref="E269:E273"/>
    <mergeCell ref="E285:E289"/>
    <mergeCell ref="E301:E305"/>
    <mergeCell ref="E317:E321"/>
    <mergeCell ref="E333:E337"/>
    <mergeCell ref="E349:E353"/>
    <mergeCell ref="E365:E369"/>
    <mergeCell ref="E381:E385"/>
    <mergeCell ref="E397:E401"/>
  </mergeCells>
  <hyperlinks>
    <hyperlink ref="A8" location="'Achats par Direction'!A52" display="ARRIYADIA" tooltip="Voir la fiche ARRIYADIA"/>
    <hyperlink ref="D8" location="'Achats par Direction'!A68" display="ASSADISSA" tooltip="Voir la fiche ASSADISSA"/>
    <hyperlink ref="G8" location="'Achats par Direction'!A84" display="DA" tooltip="Voir la fiche DA"/>
    <hyperlink ref="J8" location="'Achats par Direction'!A100" display="DACG" tooltip="Voir la fiche DACG"/>
    <hyperlink ref="A9" location="'Achats par Direction'!A116" display="DAR" tooltip="Voir la fiche DAR"/>
    <hyperlink ref="D9" location="'Achats par Direction'!A132" display="DCPA" tooltip="Voir la fiche DCPA"/>
    <hyperlink ref="G9" location="'Achats par Direction'!A148" display="DCRI" tooltip="Voir la fiche DCRI"/>
    <hyperlink ref="J9" location="'Achats par Direction'!A164" display="DG" tooltip="Voir la fiche DG"/>
    <hyperlink ref="A10" location="'Achats par Direction'!A180" display="DINFORADIO" tooltip="Voir la fiche DINFORADIO"/>
    <hyperlink ref="D10" location="'Achats par Direction'!A196" display="DINFOTV" tooltip="Voir la fiche DINFOTV"/>
    <hyperlink ref="G10" location="'Achats par Direction'!A212" display="DJURIDIQUE" tooltip="Voir la fiche DJURIDIQUE"/>
    <hyperlink ref="J10" location="'Achats par Direction'!A228" display="DMPTV" tooltip="Voir la fiche DMPTV"/>
    <hyperlink ref="A11" location="'Achats par Direction'!A244" display="DPMG" tooltip="Voir la fiche DPMG"/>
    <hyperlink ref="D11" location="'Achats par Direction'!A260" display="DPPR" tooltip="Voir la fiche DPPR"/>
    <hyperlink ref="G11" location="'Achats par Direction'!A276" display="DRH" tooltip="Voir la fiche DRH"/>
    <hyperlink ref="J11" location="'Achats par Direction'!A292" display="DRPSD" tooltip="Voir la fiche DRPSD"/>
    <hyperlink ref="A12" location="'Achats par Direction'!A308" display="DTSI" tooltip="Voir la fiche DTSI"/>
    <hyperlink ref="D12" location="'Achats par Direction'!A324" display="MAGHRIBIA" tooltip="Voir la fiche MAGHRIBIA"/>
    <hyperlink ref="G12" location="'Achats par Direction'!A340" display="TAMAZIGHT" tooltip="Voir la fiche TAMAZIGHT"/>
    <hyperlink ref="J12" location="'Achats par Direction'!A356" display="TDF -SITES" tooltip="Voir la fiche TDF -SITES"/>
    <hyperlink ref="A13" location="'Achats par Direction'!A372" display="TDF-EXP&amp;MAIN" tooltip="Voir la fiche TDF-EXP&amp;MAIN"/>
    <hyperlink ref="D13" location="'Achats par Direction'!A388" display="TV LAAYOUNE" tooltip="Voir la fiche TV LAAYOUNE"/>
    <hyperlink ref="F52" location="'Achats par Direction'!A7" display="↑ Retour au menu"/>
    <hyperlink ref="F68" location="'Achats par Direction'!A7" display="↑ Retour au menu"/>
    <hyperlink ref="F84" location="'Achats par Direction'!A7" display="↑ Retour au menu"/>
    <hyperlink ref="F100" location="'Achats par Direction'!A7" display="↑ Retour au menu"/>
    <hyperlink ref="F116" location="'Achats par Direction'!A7" display="↑ Retour au menu"/>
    <hyperlink ref="F132" location="'Achats par Direction'!A7" display="↑ Retour au menu"/>
    <hyperlink ref="F148" location="'Achats par Direction'!A7" display="↑ Retour au menu"/>
    <hyperlink ref="F164" location="'Achats par Direction'!A7" display="↑ Retour au menu"/>
    <hyperlink ref="F180" location="'Achats par Direction'!A7" display="↑ Retour au menu"/>
    <hyperlink ref="F196" location="'Achats par Direction'!A7" display="↑ Retour au menu"/>
    <hyperlink ref="F212" location="'Achats par Direction'!A7" display="↑ Retour au menu"/>
    <hyperlink ref="F228" location="'Achats par Direction'!A7" display="↑ Retour au menu"/>
    <hyperlink ref="F244" location="'Achats par Direction'!A7" display="↑ Retour au menu"/>
    <hyperlink ref="F260" location="'Achats par Direction'!A7" display="↑ Retour au menu"/>
    <hyperlink ref="F276" location="'Achats par Direction'!A7" display="↑ Retour au menu"/>
    <hyperlink ref="F292" location="'Achats par Direction'!A7" display="↑ Retour au menu"/>
    <hyperlink ref="F308" location="'Achats par Direction'!A7" display="↑ Retour au menu"/>
    <hyperlink ref="F324" location="'Achats par Direction'!A7" display="↑ Retour au menu"/>
    <hyperlink ref="F340" location="'Achats par Direction'!A7" display="↑ Retour au menu"/>
    <hyperlink ref="F356" location="'Achats par Direction'!A7" display="↑ Retour au menu"/>
    <hyperlink ref="F372" location="'Achats par Direction'!A7" display="↑ Retour au menu"/>
    <hyperlink ref="F388" location="'Achats par Direction'!A7" display="↑ Retour au menu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9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5" outlineLevelCol="3"/>
  <cols>
    <col min="1" max="1" width="18" customWidth="1"/>
    <col min="2" max="2" width="16" customWidth="1"/>
    <col min="3" max="3" width="28" customWidth="1"/>
    <col min="4" max="4" width="20" customWidth="1"/>
  </cols>
  <sheetData>
    <row r="1" spans="1:4">
      <c r="A1" s="2" t="s">
        <v>2</v>
      </c>
      <c r="B1" s="2" t="s">
        <v>88</v>
      </c>
      <c r="C1" s="2" t="s">
        <v>89</v>
      </c>
      <c r="D1" s="2" t="s">
        <v>90</v>
      </c>
    </row>
    <row r="2" spans="1:4">
      <c r="A2" s="3" t="s">
        <v>27</v>
      </c>
      <c r="B2" s="3" t="s">
        <v>3</v>
      </c>
      <c r="C2" s="3" t="s">
        <v>6</v>
      </c>
      <c r="D2" s="4">
        <v>995042.4</v>
      </c>
    </row>
    <row r="3" spans="1:4">
      <c r="A3" s="3" t="s">
        <v>18</v>
      </c>
      <c r="B3" s="3" t="s">
        <v>3</v>
      </c>
      <c r="C3" s="3" t="s">
        <v>6</v>
      </c>
      <c r="D3" s="4">
        <v>154000</v>
      </c>
    </row>
    <row r="4" spans="1:4">
      <c r="A4" s="3" t="s">
        <v>18</v>
      </c>
      <c r="B4" s="3" t="s">
        <v>3</v>
      </c>
      <c r="C4" s="3" t="s">
        <v>6</v>
      </c>
      <c r="D4" s="4">
        <v>375000</v>
      </c>
    </row>
    <row r="5" spans="1:4">
      <c r="A5" s="3" t="s">
        <v>18</v>
      </c>
      <c r="B5" s="3" t="s">
        <v>3</v>
      </c>
      <c r="C5" s="3" t="s">
        <v>6</v>
      </c>
      <c r="D5" s="4">
        <v>445714.08</v>
      </c>
    </row>
    <row r="6" spans="1:4">
      <c r="A6" s="3" t="s">
        <v>18</v>
      </c>
      <c r="B6" s="3" t="s">
        <v>3</v>
      </c>
      <c r="C6" s="3" t="s">
        <v>6</v>
      </c>
      <c r="D6" s="4">
        <v>880000</v>
      </c>
    </row>
    <row r="7" spans="1:4">
      <c r="A7" s="3" t="s">
        <v>18</v>
      </c>
      <c r="B7" s="3" t="s">
        <v>3</v>
      </c>
      <c r="C7" s="3" t="s">
        <v>6</v>
      </c>
      <c r="D7" s="4">
        <v>176000</v>
      </c>
    </row>
    <row r="8" spans="1:4">
      <c r="A8" s="3" t="s">
        <v>18</v>
      </c>
      <c r="B8" s="3" t="s">
        <v>3</v>
      </c>
      <c r="C8" s="3" t="s">
        <v>6</v>
      </c>
      <c r="D8" s="4">
        <v>342857</v>
      </c>
    </row>
    <row r="9" spans="1:4">
      <c r="A9" s="3" t="s">
        <v>13</v>
      </c>
      <c r="B9" s="3" t="s">
        <v>3</v>
      </c>
      <c r="C9" s="3" t="s">
        <v>6</v>
      </c>
      <c r="D9" s="4">
        <v>113142.48</v>
      </c>
    </row>
    <row r="10" spans="1:4">
      <c r="A10" s="3" t="s">
        <v>13</v>
      </c>
      <c r="B10" s="3" t="s">
        <v>3</v>
      </c>
      <c r="C10" s="3" t="s">
        <v>6</v>
      </c>
      <c r="D10" s="4">
        <v>113142.48</v>
      </c>
    </row>
    <row r="11" spans="1:4">
      <c r="A11" s="3" t="s">
        <v>13</v>
      </c>
      <c r="B11" s="3" t="s">
        <v>3</v>
      </c>
      <c r="C11" s="3" t="s">
        <v>6</v>
      </c>
      <c r="D11" s="4">
        <v>113142.48</v>
      </c>
    </row>
    <row r="12" spans="1:4">
      <c r="A12" s="3" t="s">
        <v>13</v>
      </c>
      <c r="B12" s="3" t="s">
        <v>3</v>
      </c>
      <c r="C12" s="3" t="s">
        <v>6</v>
      </c>
      <c r="D12" s="4">
        <v>113142.48</v>
      </c>
    </row>
    <row r="13" spans="1:4">
      <c r="A13" s="3" t="s">
        <v>13</v>
      </c>
      <c r="B13" s="3" t="s">
        <v>3</v>
      </c>
      <c r="C13" s="3" t="s">
        <v>6</v>
      </c>
      <c r="D13" s="4">
        <v>113142.48</v>
      </c>
    </row>
    <row r="14" spans="1:4">
      <c r="A14" s="3" t="s">
        <v>13</v>
      </c>
      <c r="B14" s="3" t="s">
        <v>3</v>
      </c>
      <c r="C14" s="3" t="s">
        <v>6</v>
      </c>
      <c r="D14" s="4">
        <v>113142.48</v>
      </c>
    </row>
    <row r="15" spans="1:4">
      <c r="A15" s="3" t="s">
        <v>13</v>
      </c>
      <c r="B15" s="3" t="s">
        <v>3</v>
      </c>
      <c r="C15" s="3" t="s">
        <v>6</v>
      </c>
      <c r="D15" s="4">
        <v>113142.48</v>
      </c>
    </row>
    <row r="16" spans="1:4">
      <c r="A16" s="3" t="s">
        <v>13</v>
      </c>
      <c r="B16" s="3" t="s">
        <v>3</v>
      </c>
      <c r="C16" s="3" t="s">
        <v>6</v>
      </c>
      <c r="D16" s="4">
        <v>113142.48</v>
      </c>
    </row>
    <row r="17" spans="1:4">
      <c r="A17" s="3" t="s">
        <v>13</v>
      </c>
      <c r="B17" s="3" t="s">
        <v>3</v>
      </c>
      <c r="C17" s="3" t="s">
        <v>6</v>
      </c>
      <c r="D17" s="4">
        <v>113142.48</v>
      </c>
    </row>
    <row r="18" spans="1:4">
      <c r="A18" s="3" t="s">
        <v>13</v>
      </c>
      <c r="B18" s="3" t="s">
        <v>3</v>
      </c>
      <c r="C18" s="3" t="s">
        <v>6</v>
      </c>
      <c r="D18" s="4">
        <v>113142.48</v>
      </c>
    </row>
    <row r="19" spans="1:4">
      <c r="A19" s="3" t="s">
        <v>13</v>
      </c>
      <c r="B19" s="3" t="s">
        <v>3</v>
      </c>
      <c r="C19" s="3" t="s">
        <v>6</v>
      </c>
      <c r="D19" s="4">
        <v>113142.48</v>
      </c>
    </row>
    <row r="20" spans="1:4">
      <c r="A20" s="3" t="s">
        <v>13</v>
      </c>
      <c r="B20" s="3" t="s">
        <v>3</v>
      </c>
      <c r="C20" s="3" t="s">
        <v>6</v>
      </c>
      <c r="D20" s="4">
        <v>113142.48</v>
      </c>
    </row>
    <row r="21" spans="1:4">
      <c r="A21" s="3" t="s">
        <v>13</v>
      </c>
      <c r="B21" s="3" t="s">
        <v>3</v>
      </c>
      <c r="C21" s="3" t="s">
        <v>6</v>
      </c>
      <c r="D21" s="4">
        <v>113142.48</v>
      </c>
    </row>
    <row r="22" spans="1:4">
      <c r="A22" s="3" t="s">
        <v>13</v>
      </c>
      <c r="B22" s="3" t="s">
        <v>3</v>
      </c>
      <c r="C22" s="3" t="s">
        <v>6</v>
      </c>
      <c r="D22" s="4">
        <v>113142.48</v>
      </c>
    </row>
    <row r="23" spans="1:4">
      <c r="A23" s="3" t="s">
        <v>13</v>
      </c>
      <c r="B23" s="3" t="s">
        <v>3</v>
      </c>
      <c r="C23" s="3" t="s">
        <v>6</v>
      </c>
      <c r="D23" s="4">
        <v>156000</v>
      </c>
    </row>
    <row r="24" spans="1:4">
      <c r="A24" s="3" t="s">
        <v>13</v>
      </c>
      <c r="B24" s="3" t="s">
        <v>3</v>
      </c>
      <c r="C24" s="3" t="s">
        <v>6</v>
      </c>
      <c r="D24" s="4">
        <v>113142.48</v>
      </c>
    </row>
    <row r="25" spans="1:4">
      <c r="A25" s="3" t="s">
        <v>13</v>
      </c>
      <c r="B25" s="3" t="s">
        <v>3</v>
      </c>
      <c r="C25" s="3" t="s">
        <v>6</v>
      </c>
      <c r="D25" s="4">
        <v>113142.48</v>
      </c>
    </row>
    <row r="26" spans="1:4">
      <c r="A26" s="3" t="s">
        <v>13</v>
      </c>
      <c r="B26" s="3" t="s">
        <v>3</v>
      </c>
      <c r="C26" s="3" t="s">
        <v>6</v>
      </c>
      <c r="D26" s="4">
        <v>113142.48</v>
      </c>
    </row>
    <row r="27" spans="1:4">
      <c r="A27" s="3" t="s">
        <v>13</v>
      </c>
      <c r="B27" s="3" t="s">
        <v>3</v>
      </c>
      <c r="C27" s="3" t="s">
        <v>6</v>
      </c>
      <c r="D27" s="4">
        <v>144000</v>
      </c>
    </row>
    <row r="28" spans="1:4">
      <c r="A28" s="3" t="s">
        <v>13</v>
      </c>
      <c r="B28" s="3" t="s">
        <v>3</v>
      </c>
      <c r="C28" s="3" t="s">
        <v>6</v>
      </c>
      <c r="D28" s="4">
        <v>113142.48</v>
      </c>
    </row>
    <row r="29" spans="1:4">
      <c r="A29" s="3" t="s">
        <v>13</v>
      </c>
      <c r="B29" s="3" t="s">
        <v>3</v>
      </c>
      <c r="C29" s="3" t="s">
        <v>6</v>
      </c>
      <c r="D29" s="4">
        <v>113142.48</v>
      </c>
    </row>
    <row r="30" spans="1:4">
      <c r="A30" s="3" t="s">
        <v>13</v>
      </c>
      <c r="B30" s="3" t="s">
        <v>3</v>
      </c>
      <c r="C30" s="3" t="s">
        <v>6</v>
      </c>
      <c r="D30" s="4">
        <v>113142.48</v>
      </c>
    </row>
    <row r="31" spans="1:4">
      <c r="A31" s="3" t="s">
        <v>13</v>
      </c>
      <c r="B31" s="3" t="s">
        <v>3</v>
      </c>
      <c r="C31" s="3" t="s">
        <v>6</v>
      </c>
      <c r="D31" s="4">
        <v>113142.48</v>
      </c>
    </row>
    <row r="32" spans="1:4">
      <c r="A32" s="3" t="s">
        <v>13</v>
      </c>
      <c r="B32" s="3" t="s">
        <v>3</v>
      </c>
      <c r="C32" s="3" t="s">
        <v>6</v>
      </c>
      <c r="D32" s="4">
        <v>144000</v>
      </c>
    </row>
    <row r="33" spans="1:4">
      <c r="A33" s="3" t="s">
        <v>13</v>
      </c>
      <c r="B33" s="3" t="s">
        <v>3</v>
      </c>
      <c r="C33" s="3" t="s">
        <v>6</v>
      </c>
      <c r="D33" s="4">
        <v>113142.48</v>
      </c>
    </row>
    <row r="34" spans="1:4">
      <c r="A34" s="3" t="s">
        <v>13</v>
      </c>
      <c r="B34" s="3" t="s">
        <v>3</v>
      </c>
      <c r="C34" s="3" t="s">
        <v>6</v>
      </c>
      <c r="D34" s="4">
        <v>113142.48</v>
      </c>
    </row>
    <row r="35" spans="1:4">
      <c r="A35" s="3" t="s">
        <v>13</v>
      </c>
      <c r="B35" s="3" t="s">
        <v>3</v>
      </c>
      <c r="C35" s="3" t="s">
        <v>6</v>
      </c>
      <c r="D35" s="4">
        <v>113142.48</v>
      </c>
    </row>
    <row r="36" spans="1:4">
      <c r="A36" s="3" t="s">
        <v>13</v>
      </c>
      <c r="B36" s="3" t="s">
        <v>3</v>
      </c>
      <c r="C36" s="3" t="s">
        <v>6</v>
      </c>
      <c r="D36" s="4">
        <v>113142.48</v>
      </c>
    </row>
    <row r="37" spans="1:4">
      <c r="A37" s="3" t="s">
        <v>13</v>
      </c>
      <c r="B37" s="3" t="s">
        <v>3</v>
      </c>
      <c r="C37" s="3" t="s">
        <v>6</v>
      </c>
      <c r="D37" s="4">
        <v>204000</v>
      </c>
    </row>
    <row r="38" spans="1:4">
      <c r="A38" s="3" t="s">
        <v>13</v>
      </c>
      <c r="B38" s="3" t="s">
        <v>3</v>
      </c>
      <c r="C38" s="3" t="s">
        <v>6</v>
      </c>
      <c r="D38" s="4">
        <v>180000</v>
      </c>
    </row>
    <row r="39" spans="1:4">
      <c r="A39" s="3" t="s">
        <v>13</v>
      </c>
      <c r="B39" s="3" t="s">
        <v>3</v>
      </c>
      <c r="C39" s="3" t="s">
        <v>6</v>
      </c>
      <c r="D39" s="4">
        <v>144000</v>
      </c>
    </row>
    <row r="40" spans="1:4">
      <c r="A40" s="3" t="s">
        <v>13</v>
      </c>
      <c r="B40" s="3" t="s">
        <v>3</v>
      </c>
      <c r="C40" s="3" t="s">
        <v>6</v>
      </c>
      <c r="D40" s="4">
        <v>113142.48</v>
      </c>
    </row>
    <row r="41" spans="1:4">
      <c r="A41" s="3" t="s">
        <v>13</v>
      </c>
      <c r="B41" s="3" t="s">
        <v>3</v>
      </c>
      <c r="C41" s="3" t="s">
        <v>6</v>
      </c>
      <c r="D41" s="4">
        <v>132000</v>
      </c>
    </row>
    <row r="42" spans="1:4">
      <c r="A42" s="3" t="s">
        <v>13</v>
      </c>
      <c r="B42" s="3" t="s">
        <v>3</v>
      </c>
      <c r="C42" s="3" t="s">
        <v>6</v>
      </c>
      <c r="D42" s="4">
        <v>113142.48</v>
      </c>
    </row>
    <row r="43" spans="1:4">
      <c r="A43" s="3" t="s">
        <v>13</v>
      </c>
      <c r="B43" s="3" t="s">
        <v>3</v>
      </c>
      <c r="C43" s="3" t="s">
        <v>6</v>
      </c>
      <c r="D43" s="4">
        <v>113142.48</v>
      </c>
    </row>
    <row r="44" spans="1:4">
      <c r="A44" s="3" t="s">
        <v>13</v>
      </c>
      <c r="B44" s="3" t="s">
        <v>3</v>
      </c>
      <c r="C44" s="3" t="s">
        <v>6</v>
      </c>
      <c r="D44" s="4">
        <v>113142.48</v>
      </c>
    </row>
    <row r="45" spans="1:4">
      <c r="A45" s="3" t="s">
        <v>13</v>
      </c>
      <c r="B45" s="3" t="s">
        <v>3</v>
      </c>
      <c r="C45" s="3" t="s">
        <v>6</v>
      </c>
      <c r="D45" s="4">
        <v>113142.48</v>
      </c>
    </row>
    <row r="46" spans="1:4">
      <c r="A46" s="3" t="s">
        <v>13</v>
      </c>
      <c r="B46" s="3" t="s">
        <v>3</v>
      </c>
      <c r="C46" s="3" t="s">
        <v>6</v>
      </c>
      <c r="D46" s="4">
        <v>113142.48</v>
      </c>
    </row>
    <row r="47" spans="1:4">
      <c r="A47" s="3" t="s">
        <v>13</v>
      </c>
      <c r="B47" s="3" t="s">
        <v>3</v>
      </c>
      <c r="C47" s="3" t="s">
        <v>6</v>
      </c>
      <c r="D47" s="4">
        <v>113142.48</v>
      </c>
    </row>
    <row r="48" spans="1:4">
      <c r="A48" s="3" t="s">
        <v>13</v>
      </c>
      <c r="B48" s="3" t="s">
        <v>3</v>
      </c>
      <c r="C48" s="3" t="s">
        <v>6</v>
      </c>
      <c r="D48" s="4">
        <v>113142.48</v>
      </c>
    </row>
    <row r="49" spans="1:4">
      <c r="A49" s="3" t="s">
        <v>13</v>
      </c>
      <c r="B49" s="3" t="s">
        <v>3</v>
      </c>
      <c r="C49" s="3" t="s">
        <v>6</v>
      </c>
      <c r="D49" s="4">
        <v>113142.48</v>
      </c>
    </row>
    <row r="50" spans="1:4">
      <c r="A50" s="3" t="s">
        <v>13</v>
      </c>
      <c r="B50" s="3" t="s">
        <v>3</v>
      </c>
      <c r="C50" s="3" t="s">
        <v>6</v>
      </c>
      <c r="D50" s="4">
        <v>113142.48</v>
      </c>
    </row>
    <row r="51" spans="1:4">
      <c r="A51" s="3" t="s">
        <v>13</v>
      </c>
      <c r="B51" s="3" t="s">
        <v>3</v>
      </c>
      <c r="C51" s="3" t="s">
        <v>6</v>
      </c>
      <c r="D51" s="4">
        <v>113142.48</v>
      </c>
    </row>
    <row r="52" spans="1:4">
      <c r="A52" s="3" t="s">
        <v>13</v>
      </c>
      <c r="B52" s="3" t="s">
        <v>3</v>
      </c>
      <c r="C52" s="3" t="s">
        <v>6</v>
      </c>
      <c r="D52" s="4">
        <v>171360</v>
      </c>
    </row>
    <row r="53" spans="1:4">
      <c r="A53" s="3" t="s">
        <v>13</v>
      </c>
      <c r="B53" s="3" t="s">
        <v>3</v>
      </c>
      <c r="C53" s="3" t="s">
        <v>6</v>
      </c>
      <c r="D53" s="4">
        <v>113142.48</v>
      </c>
    </row>
    <row r="54" spans="1:4">
      <c r="A54" s="3" t="s">
        <v>13</v>
      </c>
      <c r="B54" s="3" t="s">
        <v>3</v>
      </c>
      <c r="C54" s="3" t="s">
        <v>6</v>
      </c>
      <c r="D54" s="4">
        <v>113142.48</v>
      </c>
    </row>
    <row r="55" spans="1:4">
      <c r="A55" s="3" t="s">
        <v>13</v>
      </c>
      <c r="B55" s="3" t="s">
        <v>3</v>
      </c>
      <c r="C55" s="3" t="s">
        <v>6</v>
      </c>
      <c r="D55" s="4">
        <v>150000</v>
      </c>
    </row>
    <row r="56" spans="1:4">
      <c r="A56" s="3" t="s">
        <v>13</v>
      </c>
      <c r="B56" s="3" t="s">
        <v>3</v>
      </c>
      <c r="C56" s="3" t="s">
        <v>6</v>
      </c>
      <c r="D56" s="4">
        <v>150000</v>
      </c>
    </row>
    <row r="57" spans="1:4">
      <c r="A57" s="3" t="s">
        <v>13</v>
      </c>
      <c r="B57" s="3" t="s">
        <v>3</v>
      </c>
      <c r="C57" s="3" t="s">
        <v>6</v>
      </c>
      <c r="D57" s="4">
        <v>150500</v>
      </c>
    </row>
    <row r="58" spans="1:4">
      <c r="A58" s="3" t="s">
        <v>13</v>
      </c>
      <c r="B58" s="3" t="s">
        <v>3</v>
      </c>
      <c r="C58" s="3" t="s">
        <v>6</v>
      </c>
      <c r="D58" s="4">
        <v>150000</v>
      </c>
    </row>
    <row r="59" spans="1:4">
      <c r="A59" s="3" t="s">
        <v>14</v>
      </c>
      <c r="B59" s="3" t="s">
        <v>3</v>
      </c>
      <c r="C59" s="3" t="s">
        <v>6</v>
      </c>
      <c r="D59" s="4">
        <v>108000</v>
      </c>
    </row>
    <row r="60" spans="1:4">
      <c r="A60" s="3" t="s">
        <v>14</v>
      </c>
      <c r="B60" s="3" t="s">
        <v>3</v>
      </c>
      <c r="C60" s="3" t="s">
        <v>6</v>
      </c>
      <c r="D60" s="4">
        <v>72000</v>
      </c>
    </row>
    <row r="61" spans="1:4">
      <c r="A61" s="3" t="s">
        <v>14</v>
      </c>
      <c r="B61" s="3" t="s">
        <v>3</v>
      </c>
      <c r="C61" s="3" t="s">
        <v>6</v>
      </c>
      <c r="D61" s="4">
        <v>84000</v>
      </c>
    </row>
    <row r="62" spans="1:4">
      <c r="A62" s="3" t="s">
        <v>14</v>
      </c>
      <c r="B62" s="3" t="s">
        <v>3</v>
      </c>
      <c r="C62" s="3" t="s">
        <v>6</v>
      </c>
      <c r="D62" s="4">
        <v>84000</v>
      </c>
    </row>
    <row r="63" spans="1:4">
      <c r="A63" s="3" t="s">
        <v>14</v>
      </c>
      <c r="B63" s="3" t="s">
        <v>3</v>
      </c>
      <c r="C63" s="3" t="s">
        <v>6</v>
      </c>
      <c r="D63" s="4">
        <v>84000</v>
      </c>
    </row>
    <row r="64" spans="1:4">
      <c r="A64" s="3" t="s">
        <v>14</v>
      </c>
      <c r="B64" s="3" t="s">
        <v>3</v>
      </c>
      <c r="C64" s="3" t="s">
        <v>6</v>
      </c>
      <c r="D64" s="4">
        <v>84000</v>
      </c>
    </row>
    <row r="65" spans="1:4">
      <c r="A65" s="3" t="s">
        <v>14</v>
      </c>
      <c r="B65" s="3" t="s">
        <v>3</v>
      </c>
      <c r="C65" s="3" t="s">
        <v>6</v>
      </c>
      <c r="D65" s="4">
        <v>84000</v>
      </c>
    </row>
    <row r="66" spans="1:4">
      <c r="A66" s="3" t="s">
        <v>14</v>
      </c>
      <c r="B66" s="3" t="s">
        <v>3</v>
      </c>
      <c r="C66" s="3" t="s">
        <v>6</v>
      </c>
      <c r="D66" s="4">
        <v>84000</v>
      </c>
    </row>
    <row r="67" spans="1:4">
      <c r="A67" s="3" t="s">
        <v>14</v>
      </c>
      <c r="B67" s="3" t="s">
        <v>3</v>
      </c>
      <c r="C67" s="3" t="s">
        <v>6</v>
      </c>
      <c r="D67" s="4">
        <v>84000</v>
      </c>
    </row>
    <row r="68" spans="1:4">
      <c r="A68" s="3" t="s">
        <v>14</v>
      </c>
      <c r="B68" s="3" t="s">
        <v>3</v>
      </c>
      <c r="C68" s="3" t="s">
        <v>6</v>
      </c>
      <c r="D68" s="4">
        <v>84000</v>
      </c>
    </row>
    <row r="69" spans="1:4">
      <c r="A69" s="3" t="s">
        <v>14</v>
      </c>
      <c r="B69" s="3" t="s">
        <v>3</v>
      </c>
      <c r="C69" s="3" t="s">
        <v>6</v>
      </c>
      <c r="D69" s="4">
        <v>144000</v>
      </c>
    </row>
    <row r="70" spans="1:4">
      <c r="A70" s="3" t="s">
        <v>14</v>
      </c>
      <c r="B70" s="3" t="s">
        <v>3</v>
      </c>
      <c r="C70" s="3" t="s">
        <v>6</v>
      </c>
      <c r="D70" s="4">
        <v>144000</v>
      </c>
    </row>
    <row r="71" spans="1:4">
      <c r="A71" s="3" t="s">
        <v>14</v>
      </c>
      <c r="B71" s="3" t="s">
        <v>3</v>
      </c>
      <c r="C71" s="3" t="s">
        <v>6</v>
      </c>
      <c r="D71" s="4">
        <v>60000</v>
      </c>
    </row>
    <row r="72" spans="1:4">
      <c r="A72" s="3" t="s">
        <v>14</v>
      </c>
      <c r="B72" s="3" t="s">
        <v>3</v>
      </c>
      <c r="C72" s="3" t="s">
        <v>6</v>
      </c>
      <c r="D72" s="4">
        <v>72000</v>
      </c>
    </row>
    <row r="73" spans="1:4">
      <c r="A73" s="3" t="s">
        <v>14</v>
      </c>
      <c r="B73" s="3" t="s">
        <v>3</v>
      </c>
      <c r="C73" s="3" t="s">
        <v>6</v>
      </c>
      <c r="D73" s="4">
        <v>84000</v>
      </c>
    </row>
    <row r="74" spans="1:4">
      <c r="A74" s="3" t="s">
        <v>14</v>
      </c>
      <c r="B74" s="3" t="s">
        <v>3</v>
      </c>
      <c r="C74" s="3" t="s">
        <v>6</v>
      </c>
      <c r="D74" s="4">
        <v>84000</v>
      </c>
    </row>
    <row r="75" spans="1:4">
      <c r="A75" s="3" t="s">
        <v>14</v>
      </c>
      <c r="B75" s="3" t="s">
        <v>3</v>
      </c>
      <c r="C75" s="3" t="s">
        <v>6</v>
      </c>
      <c r="D75" s="4">
        <v>84000</v>
      </c>
    </row>
    <row r="76" spans="1:4">
      <c r="A76" s="3" t="s">
        <v>17</v>
      </c>
      <c r="B76" s="3" t="s">
        <v>3</v>
      </c>
      <c r="C76" s="3" t="s">
        <v>6</v>
      </c>
      <c r="D76" s="4">
        <v>108000</v>
      </c>
    </row>
    <row r="77" spans="1:4">
      <c r="A77" s="3" t="s">
        <v>25</v>
      </c>
      <c r="B77" s="3" t="s">
        <v>3</v>
      </c>
      <c r="C77" s="3" t="s">
        <v>6</v>
      </c>
      <c r="D77" s="4">
        <v>102857.16</v>
      </c>
    </row>
    <row r="78" spans="1:4">
      <c r="A78" s="3" t="s">
        <v>25</v>
      </c>
      <c r="B78" s="3" t="s">
        <v>3</v>
      </c>
      <c r="C78" s="3" t="s">
        <v>6</v>
      </c>
      <c r="D78" s="4">
        <v>77142.84</v>
      </c>
    </row>
    <row r="79" spans="1:4">
      <c r="A79" s="3" t="s">
        <v>25</v>
      </c>
      <c r="B79" s="3" t="s">
        <v>3</v>
      </c>
      <c r="C79" s="3" t="s">
        <v>6</v>
      </c>
      <c r="D79" s="4">
        <v>84000</v>
      </c>
    </row>
    <row r="80" spans="1:4">
      <c r="A80" s="3" t="s">
        <v>21</v>
      </c>
      <c r="B80" s="3" t="s">
        <v>3</v>
      </c>
      <c r="C80" s="3" t="s">
        <v>6</v>
      </c>
      <c r="D80" s="4">
        <v>1837404</v>
      </c>
    </row>
    <row r="81" spans="1:4">
      <c r="A81" s="3" t="s">
        <v>21</v>
      </c>
      <c r="B81" s="3" t="s">
        <v>3</v>
      </c>
      <c r="C81" s="3" t="s">
        <v>6</v>
      </c>
      <c r="D81" s="4">
        <v>171428.52</v>
      </c>
    </row>
    <row r="82" spans="1:4">
      <c r="A82" s="3" t="s">
        <v>21</v>
      </c>
      <c r="B82" s="3" t="s">
        <v>3</v>
      </c>
      <c r="C82" s="3" t="s">
        <v>6</v>
      </c>
      <c r="D82" s="4">
        <v>132000</v>
      </c>
    </row>
    <row r="83" spans="1:4">
      <c r="A83" s="3" t="s">
        <v>21</v>
      </c>
      <c r="B83" s="3" t="s">
        <v>3</v>
      </c>
      <c r="C83" s="3" t="s">
        <v>6</v>
      </c>
      <c r="D83" s="4">
        <v>156000</v>
      </c>
    </row>
    <row r="84" spans="1:4">
      <c r="A84" s="3" t="s">
        <v>21</v>
      </c>
      <c r="B84" s="3" t="s">
        <v>3</v>
      </c>
      <c r="C84" s="3" t="s">
        <v>6</v>
      </c>
      <c r="D84" s="4">
        <v>132000</v>
      </c>
    </row>
    <row r="85" spans="1:4">
      <c r="A85" s="3" t="s">
        <v>21</v>
      </c>
      <c r="B85" s="3" t="s">
        <v>3</v>
      </c>
      <c r="C85" s="3" t="s">
        <v>6</v>
      </c>
      <c r="D85" s="4">
        <v>132000</v>
      </c>
    </row>
    <row r="86" spans="1:4">
      <c r="A86" s="3" t="s">
        <v>22</v>
      </c>
      <c r="B86" s="3" t="s">
        <v>3</v>
      </c>
      <c r="C86" s="3" t="s">
        <v>6</v>
      </c>
      <c r="D86" s="4">
        <v>96000</v>
      </c>
    </row>
    <row r="87" spans="1:4">
      <c r="A87" s="3" t="s">
        <v>22</v>
      </c>
      <c r="B87" s="3" t="s">
        <v>3</v>
      </c>
      <c r="C87" s="3" t="s">
        <v>6</v>
      </c>
      <c r="D87" s="4">
        <v>144000</v>
      </c>
    </row>
    <row r="88" spans="1:4">
      <c r="A88" s="3" t="s">
        <v>22</v>
      </c>
      <c r="B88" s="3" t="s">
        <v>3</v>
      </c>
      <c r="C88" s="3" t="s">
        <v>6</v>
      </c>
      <c r="D88" s="4">
        <v>154285.68</v>
      </c>
    </row>
    <row r="89" spans="1:4">
      <c r="A89" s="3" t="s">
        <v>22</v>
      </c>
      <c r="B89" s="3" t="s">
        <v>3</v>
      </c>
      <c r="C89" s="3" t="s">
        <v>6</v>
      </c>
      <c r="D89" s="4">
        <v>72000</v>
      </c>
    </row>
    <row r="90" spans="1:4">
      <c r="A90" s="3" t="s">
        <v>22</v>
      </c>
      <c r="B90" s="3" t="s">
        <v>3</v>
      </c>
      <c r="C90" s="3" t="s">
        <v>6</v>
      </c>
      <c r="D90" s="4">
        <v>120000</v>
      </c>
    </row>
    <row r="91" spans="1:4">
      <c r="A91" s="3" t="s">
        <v>22</v>
      </c>
      <c r="B91" s="3" t="s">
        <v>3</v>
      </c>
      <c r="C91" s="3" t="s">
        <v>6</v>
      </c>
      <c r="D91" s="4">
        <v>24000</v>
      </c>
    </row>
    <row r="92" spans="1:4">
      <c r="A92" s="3" t="s">
        <v>22</v>
      </c>
      <c r="B92" s="3" t="s">
        <v>3</v>
      </c>
      <c r="C92" s="3" t="s">
        <v>6</v>
      </c>
      <c r="D92" s="4">
        <v>44571.36</v>
      </c>
    </row>
    <row r="93" spans="1:4">
      <c r="A93" s="3" t="s">
        <v>22</v>
      </c>
      <c r="B93" s="3" t="s">
        <v>3</v>
      </c>
      <c r="C93" s="3" t="s">
        <v>6</v>
      </c>
      <c r="D93" s="4">
        <v>72000</v>
      </c>
    </row>
    <row r="94" spans="1:4">
      <c r="A94" s="3" t="s">
        <v>22</v>
      </c>
      <c r="B94" s="3" t="s">
        <v>3</v>
      </c>
      <c r="C94" s="3" t="s">
        <v>6</v>
      </c>
      <c r="D94" s="4">
        <v>72000</v>
      </c>
    </row>
    <row r="95" spans="1:4">
      <c r="A95" s="3" t="s">
        <v>22</v>
      </c>
      <c r="B95" s="3" t="s">
        <v>3</v>
      </c>
      <c r="C95" s="3" t="s">
        <v>6</v>
      </c>
      <c r="D95" s="4">
        <v>120000</v>
      </c>
    </row>
    <row r="96" spans="1:4">
      <c r="A96" s="3" t="s">
        <v>22</v>
      </c>
      <c r="B96" s="3" t="s">
        <v>3</v>
      </c>
      <c r="C96" s="3" t="s">
        <v>6</v>
      </c>
      <c r="D96" s="4">
        <v>108000</v>
      </c>
    </row>
    <row r="97" spans="1:4">
      <c r="A97" s="3" t="s">
        <v>22</v>
      </c>
      <c r="B97" s="3" t="s">
        <v>3</v>
      </c>
      <c r="C97" s="3" t="s">
        <v>6</v>
      </c>
      <c r="D97" s="4">
        <v>72000</v>
      </c>
    </row>
    <row r="98" spans="1:4">
      <c r="A98" s="3" t="s">
        <v>22</v>
      </c>
      <c r="B98" s="3" t="s">
        <v>3</v>
      </c>
      <c r="C98" s="3" t="s">
        <v>6</v>
      </c>
      <c r="D98" s="4">
        <v>240000</v>
      </c>
    </row>
    <row r="99" spans="1:4">
      <c r="A99" s="3" t="s">
        <v>22</v>
      </c>
      <c r="B99" s="3" t="s">
        <v>3</v>
      </c>
      <c r="C99" s="3" t="s">
        <v>6</v>
      </c>
      <c r="D99" s="4">
        <v>240000</v>
      </c>
    </row>
    <row r="100" spans="1:4">
      <c r="A100" s="3" t="s">
        <v>22</v>
      </c>
      <c r="B100" s="3" t="s">
        <v>3</v>
      </c>
      <c r="C100" s="3" t="s">
        <v>6</v>
      </c>
      <c r="D100" s="4">
        <v>846449.14</v>
      </c>
    </row>
    <row r="101" spans="1:4">
      <c r="A101" s="3" t="s">
        <v>22</v>
      </c>
      <c r="B101" s="3" t="s">
        <v>3</v>
      </c>
      <c r="C101" s="3" t="s">
        <v>6</v>
      </c>
      <c r="D101" s="4">
        <v>214800</v>
      </c>
    </row>
    <row r="102" spans="1:4">
      <c r="A102" s="3" t="s">
        <v>22</v>
      </c>
      <c r="B102" s="3" t="s">
        <v>3</v>
      </c>
      <c r="C102" s="3" t="s">
        <v>6</v>
      </c>
      <c r="D102" s="4">
        <v>145714.32</v>
      </c>
    </row>
    <row r="103" spans="1:4">
      <c r="A103" s="3" t="s">
        <v>22</v>
      </c>
      <c r="B103" s="3" t="s">
        <v>3</v>
      </c>
      <c r="C103" s="3" t="s">
        <v>6</v>
      </c>
      <c r="D103" s="4">
        <v>150000</v>
      </c>
    </row>
    <row r="104" spans="1:4">
      <c r="A104" s="3" t="s">
        <v>22</v>
      </c>
      <c r="B104" s="3" t="s">
        <v>3</v>
      </c>
      <c r="C104" s="3" t="s">
        <v>6</v>
      </c>
      <c r="D104" s="4">
        <v>120000</v>
      </c>
    </row>
    <row r="105" spans="1:4">
      <c r="A105" s="3" t="s">
        <v>34</v>
      </c>
      <c r="B105" s="3" t="s">
        <v>3</v>
      </c>
      <c r="C105" s="3" t="s">
        <v>6</v>
      </c>
      <c r="D105" s="4">
        <v>171428.64</v>
      </c>
    </row>
    <row r="106" spans="1:4">
      <c r="A106" s="3" t="s">
        <v>34</v>
      </c>
      <c r="B106" s="3" t="s">
        <v>3</v>
      </c>
      <c r="C106" s="3" t="s">
        <v>6</v>
      </c>
      <c r="D106" s="4">
        <v>280000</v>
      </c>
    </row>
    <row r="107" spans="1:4">
      <c r="A107" s="3" t="s">
        <v>34</v>
      </c>
      <c r="B107" s="3" t="s">
        <v>3</v>
      </c>
      <c r="C107" s="3" t="s">
        <v>6</v>
      </c>
      <c r="D107" s="4">
        <v>171429.12</v>
      </c>
    </row>
    <row r="108" spans="1:4">
      <c r="A108" s="3" t="s">
        <v>34</v>
      </c>
      <c r="B108" s="3" t="s">
        <v>3</v>
      </c>
      <c r="C108" s="3" t="s">
        <v>6</v>
      </c>
      <c r="D108" s="4">
        <v>257142.9</v>
      </c>
    </row>
    <row r="109" spans="1:4">
      <c r="A109" s="3" t="s">
        <v>34</v>
      </c>
      <c r="B109" s="3" t="s">
        <v>3</v>
      </c>
      <c r="C109" s="3" t="s">
        <v>6</v>
      </c>
      <c r="D109" s="4">
        <v>181800</v>
      </c>
    </row>
    <row r="110" spans="1:4">
      <c r="A110" s="3" t="s">
        <v>30</v>
      </c>
      <c r="B110" s="3" t="s">
        <v>3</v>
      </c>
      <c r="C110" s="3" t="s">
        <v>6</v>
      </c>
      <c r="D110" s="4">
        <v>144000</v>
      </c>
    </row>
    <row r="111" spans="1:4">
      <c r="A111" s="3" t="s">
        <v>30</v>
      </c>
      <c r="B111" s="3" t="s">
        <v>3</v>
      </c>
      <c r="C111" s="3" t="s">
        <v>6</v>
      </c>
      <c r="D111" s="4">
        <v>100800</v>
      </c>
    </row>
    <row r="112" spans="1:4">
      <c r="A112" s="3" t="s">
        <v>30</v>
      </c>
      <c r="B112" s="3" t="s">
        <v>3</v>
      </c>
      <c r="C112" s="3" t="s">
        <v>6</v>
      </c>
      <c r="D112" s="4">
        <v>100800</v>
      </c>
    </row>
    <row r="113" spans="1:4">
      <c r="A113" s="3" t="s">
        <v>30</v>
      </c>
      <c r="B113" s="3" t="s">
        <v>3</v>
      </c>
      <c r="C113" s="3" t="s">
        <v>6</v>
      </c>
      <c r="D113" s="4">
        <v>144000</v>
      </c>
    </row>
    <row r="114" spans="1:4">
      <c r="A114" s="3" t="s">
        <v>30</v>
      </c>
      <c r="B114" s="3" t="s">
        <v>3</v>
      </c>
      <c r="C114" s="3" t="s">
        <v>6</v>
      </c>
      <c r="D114" s="4">
        <v>144000</v>
      </c>
    </row>
    <row r="115" spans="1:4">
      <c r="A115" s="3" t="s">
        <v>30</v>
      </c>
      <c r="B115" s="3" t="s">
        <v>3</v>
      </c>
      <c r="C115" s="3" t="s">
        <v>6</v>
      </c>
      <c r="D115" s="4">
        <v>100800</v>
      </c>
    </row>
    <row r="116" spans="1:4">
      <c r="A116" s="3" t="s">
        <v>30</v>
      </c>
      <c r="B116" s="3" t="s">
        <v>3</v>
      </c>
      <c r="C116" s="3" t="s">
        <v>6</v>
      </c>
      <c r="D116" s="4">
        <v>100800</v>
      </c>
    </row>
    <row r="117" spans="1:4">
      <c r="A117" s="3" t="s">
        <v>30</v>
      </c>
      <c r="B117" s="3" t="s">
        <v>3</v>
      </c>
      <c r="C117" s="3" t="s">
        <v>6</v>
      </c>
      <c r="D117" s="4">
        <v>144000</v>
      </c>
    </row>
    <row r="118" spans="1:4">
      <c r="A118" s="3" t="s">
        <v>30</v>
      </c>
      <c r="B118" s="3" t="s">
        <v>3</v>
      </c>
      <c r="C118" s="3" t="s">
        <v>6</v>
      </c>
      <c r="D118" s="4">
        <v>72000</v>
      </c>
    </row>
    <row r="119" spans="1:4">
      <c r="A119" s="3" t="s">
        <v>24</v>
      </c>
      <c r="B119" s="3" t="s">
        <v>3</v>
      </c>
      <c r="C119" s="3" t="s">
        <v>6</v>
      </c>
      <c r="D119" s="4">
        <v>257142.84</v>
      </c>
    </row>
    <row r="120" spans="1:4">
      <c r="A120" s="3" t="s">
        <v>24</v>
      </c>
      <c r="B120" s="3" t="s">
        <v>3</v>
      </c>
      <c r="C120" s="3" t="s">
        <v>6</v>
      </c>
      <c r="D120" s="4">
        <v>84000</v>
      </c>
    </row>
    <row r="121" spans="1:4">
      <c r="A121" s="3" t="s">
        <v>24</v>
      </c>
      <c r="B121" s="3" t="s">
        <v>3</v>
      </c>
      <c r="C121" s="3" t="s">
        <v>6</v>
      </c>
      <c r="D121" s="4">
        <v>120000</v>
      </c>
    </row>
    <row r="122" spans="1:4">
      <c r="A122" s="3" t="s">
        <v>24</v>
      </c>
      <c r="B122" s="3" t="s">
        <v>3</v>
      </c>
      <c r="C122" s="3" t="s">
        <v>6</v>
      </c>
      <c r="D122" s="4">
        <v>264000</v>
      </c>
    </row>
    <row r="123" spans="1:4">
      <c r="A123" s="3" t="s">
        <v>24</v>
      </c>
      <c r="B123" s="3" t="s">
        <v>3</v>
      </c>
      <c r="C123" s="3" t="s">
        <v>6</v>
      </c>
      <c r="D123" s="4">
        <v>216000</v>
      </c>
    </row>
    <row r="124" spans="1:4">
      <c r="A124" s="3" t="s">
        <v>24</v>
      </c>
      <c r="B124" s="3" t="s">
        <v>3</v>
      </c>
      <c r="C124" s="3" t="s">
        <v>6</v>
      </c>
      <c r="D124" s="4">
        <v>144000</v>
      </c>
    </row>
    <row r="125" spans="1:4">
      <c r="A125" s="3" t="s">
        <v>24</v>
      </c>
      <c r="B125" s="3" t="s">
        <v>3</v>
      </c>
      <c r="C125" s="3" t="s">
        <v>6</v>
      </c>
      <c r="D125" s="4">
        <v>132000</v>
      </c>
    </row>
    <row r="126" spans="1:4">
      <c r="A126" s="3" t="s">
        <v>24</v>
      </c>
      <c r="B126" s="3" t="s">
        <v>3</v>
      </c>
      <c r="C126" s="3" t="s">
        <v>6</v>
      </c>
      <c r="D126" s="4">
        <v>252000</v>
      </c>
    </row>
    <row r="127" spans="1:4">
      <c r="A127" s="3" t="s">
        <v>24</v>
      </c>
      <c r="B127" s="3" t="s">
        <v>3</v>
      </c>
      <c r="C127" s="3" t="s">
        <v>6</v>
      </c>
      <c r="D127" s="4">
        <v>84000</v>
      </c>
    </row>
    <row r="128" spans="1:4">
      <c r="A128" s="3" t="s">
        <v>24</v>
      </c>
      <c r="B128" s="3" t="s">
        <v>3</v>
      </c>
      <c r="C128" s="3" t="s">
        <v>6</v>
      </c>
      <c r="D128" s="4">
        <v>84000</v>
      </c>
    </row>
    <row r="129" spans="1:4">
      <c r="A129" s="3" t="s">
        <v>24</v>
      </c>
      <c r="B129" s="3" t="s">
        <v>3</v>
      </c>
      <c r="C129" s="3" t="s">
        <v>6</v>
      </c>
      <c r="D129" s="4">
        <v>276000</v>
      </c>
    </row>
    <row r="130" spans="1:4">
      <c r="A130" s="3" t="s">
        <v>24</v>
      </c>
      <c r="B130" s="3" t="s">
        <v>3</v>
      </c>
      <c r="C130" s="3" t="s">
        <v>6</v>
      </c>
      <c r="D130" s="4">
        <v>144000</v>
      </c>
    </row>
    <row r="131" spans="1:4">
      <c r="A131" s="3" t="s">
        <v>24</v>
      </c>
      <c r="B131" s="3" t="s">
        <v>3</v>
      </c>
      <c r="C131" s="3" t="s">
        <v>6</v>
      </c>
      <c r="D131" s="4">
        <v>108000</v>
      </c>
    </row>
    <row r="132" spans="1:4">
      <c r="A132" s="3" t="s">
        <v>24</v>
      </c>
      <c r="B132" s="3" t="s">
        <v>3</v>
      </c>
      <c r="C132" s="3" t="s">
        <v>6</v>
      </c>
      <c r="D132" s="4">
        <v>240000</v>
      </c>
    </row>
    <row r="133" spans="1:4">
      <c r="A133" s="3" t="s">
        <v>26</v>
      </c>
      <c r="B133" s="3" t="s">
        <v>3</v>
      </c>
      <c r="C133" s="3" t="s">
        <v>6</v>
      </c>
      <c r="D133" s="4">
        <v>84000</v>
      </c>
    </row>
    <row r="134" spans="1:4">
      <c r="A134" s="3" t="s">
        <v>26</v>
      </c>
      <c r="B134" s="3" t="s">
        <v>3</v>
      </c>
      <c r="C134" s="3" t="s">
        <v>6</v>
      </c>
      <c r="D134" s="4">
        <v>120000</v>
      </c>
    </row>
    <row r="135" spans="1:4">
      <c r="A135" s="3" t="s">
        <v>26</v>
      </c>
      <c r="B135" s="3" t="s">
        <v>3</v>
      </c>
      <c r="C135" s="3" t="s">
        <v>6</v>
      </c>
      <c r="D135" s="4">
        <v>180000</v>
      </c>
    </row>
    <row r="136" spans="1:4">
      <c r="A136" s="3" t="s">
        <v>26</v>
      </c>
      <c r="B136" s="3" t="s">
        <v>3</v>
      </c>
      <c r="C136" s="3" t="s">
        <v>6</v>
      </c>
      <c r="D136" s="4">
        <v>120000</v>
      </c>
    </row>
    <row r="137" spans="1:4">
      <c r="A137" s="3" t="s">
        <v>26</v>
      </c>
      <c r="B137" s="3" t="s">
        <v>3</v>
      </c>
      <c r="C137" s="3" t="s">
        <v>6</v>
      </c>
      <c r="D137" s="4">
        <v>216000</v>
      </c>
    </row>
    <row r="138" spans="1:4">
      <c r="A138" s="3" t="s">
        <v>26</v>
      </c>
      <c r="B138" s="3" t="s">
        <v>3</v>
      </c>
      <c r="C138" s="3" t="s">
        <v>6</v>
      </c>
      <c r="D138" s="4">
        <v>240000</v>
      </c>
    </row>
    <row r="139" spans="1:4">
      <c r="A139" s="3" t="s">
        <v>26</v>
      </c>
      <c r="B139" s="3" t="s">
        <v>3</v>
      </c>
      <c r="C139" s="3" t="s">
        <v>6</v>
      </c>
      <c r="D139" s="4">
        <v>156000</v>
      </c>
    </row>
    <row r="140" spans="1:4">
      <c r="A140" s="3" t="s">
        <v>26</v>
      </c>
      <c r="B140" s="3" t="s">
        <v>3</v>
      </c>
      <c r="C140" s="3" t="s">
        <v>6</v>
      </c>
      <c r="D140" s="4">
        <v>96000</v>
      </c>
    </row>
    <row r="141" spans="1:4">
      <c r="A141" s="3" t="s">
        <v>26</v>
      </c>
      <c r="B141" s="3" t="s">
        <v>3</v>
      </c>
      <c r="C141" s="3" t="s">
        <v>6</v>
      </c>
      <c r="D141" s="4">
        <v>24000</v>
      </c>
    </row>
    <row r="142" spans="1:4">
      <c r="A142" s="3" t="s">
        <v>26</v>
      </c>
      <c r="B142" s="3" t="s">
        <v>3</v>
      </c>
      <c r="C142" s="3" t="s">
        <v>6</v>
      </c>
      <c r="D142" s="4">
        <v>96000</v>
      </c>
    </row>
    <row r="143" spans="1:4">
      <c r="A143" s="3" t="s">
        <v>26</v>
      </c>
      <c r="B143" s="3" t="s">
        <v>3</v>
      </c>
      <c r="C143" s="3" t="s">
        <v>6</v>
      </c>
      <c r="D143" s="4">
        <v>96000</v>
      </c>
    </row>
    <row r="144" spans="1:4">
      <c r="A144" s="3" t="s">
        <v>26</v>
      </c>
      <c r="B144" s="3" t="s">
        <v>3</v>
      </c>
      <c r="C144" s="3" t="s">
        <v>6</v>
      </c>
      <c r="D144" s="4">
        <v>60000</v>
      </c>
    </row>
    <row r="145" spans="1:4">
      <c r="A145" s="3" t="s">
        <v>26</v>
      </c>
      <c r="B145" s="3" t="s">
        <v>3</v>
      </c>
      <c r="C145" s="3" t="s">
        <v>6</v>
      </c>
      <c r="D145" s="4">
        <v>96000</v>
      </c>
    </row>
    <row r="146" spans="1:4">
      <c r="A146" s="3" t="s">
        <v>26</v>
      </c>
      <c r="B146" s="3" t="s">
        <v>3</v>
      </c>
      <c r="C146" s="3" t="s">
        <v>6</v>
      </c>
      <c r="D146" s="4">
        <v>84000</v>
      </c>
    </row>
    <row r="147" spans="1:4">
      <c r="A147" s="3" t="s">
        <v>26</v>
      </c>
      <c r="B147" s="3" t="s">
        <v>3</v>
      </c>
      <c r="C147" s="3" t="s">
        <v>6</v>
      </c>
      <c r="D147" s="4">
        <v>78000</v>
      </c>
    </row>
    <row r="148" spans="1:4">
      <c r="A148" s="3" t="s">
        <v>26</v>
      </c>
      <c r="B148" s="3" t="s">
        <v>3</v>
      </c>
      <c r="C148" s="3" t="s">
        <v>6</v>
      </c>
      <c r="D148" s="4">
        <v>78000</v>
      </c>
    </row>
    <row r="149" spans="1:4">
      <c r="A149" s="3" t="s">
        <v>26</v>
      </c>
      <c r="B149" s="3" t="s">
        <v>3</v>
      </c>
      <c r="C149" s="3" t="s">
        <v>6</v>
      </c>
      <c r="D149" s="4">
        <v>96000</v>
      </c>
    </row>
    <row r="150" spans="1:4">
      <c r="A150" s="3" t="s">
        <v>26</v>
      </c>
      <c r="B150" s="3" t="s">
        <v>3</v>
      </c>
      <c r="C150" s="3" t="s">
        <v>6</v>
      </c>
      <c r="D150" s="4">
        <v>96000</v>
      </c>
    </row>
    <row r="151" spans="1:4">
      <c r="A151" s="3" t="s">
        <v>26</v>
      </c>
      <c r="B151" s="3" t="s">
        <v>3</v>
      </c>
      <c r="C151" s="3" t="s">
        <v>6</v>
      </c>
      <c r="D151" s="4">
        <v>96000</v>
      </c>
    </row>
    <row r="152" spans="1:4">
      <c r="A152" s="3" t="s">
        <v>26</v>
      </c>
      <c r="B152" s="3" t="s">
        <v>3</v>
      </c>
      <c r="C152" s="3" t="s">
        <v>6</v>
      </c>
      <c r="D152" s="4">
        <v>48000</v>
      </c>
    </row>
    <row r="153" spans="1:4">
      <c r="A153" s="3" t="s">
        <v>26</v>
      </c>
      <c r="B153" s="3" t="s">
        <v>3</v>
      </c>
      <c r="C153" s="3" t="s">
        <v>6</v>
      </c>
      <c r="D153" s="4">
        <v>72000</v>
      </c>
    </row>
    <row r="154" spans="1:4">
      <c r="A154" s="3" t="s">
        <v>26</v>
      </c>
      <c r="B154" s="3" t="s">
        <v>3</v>
      </c>
      <c r="C154" s="3" t="s">
        <v>6</v>
      </c>
      <c r="D154" s="4">
        <v>72000</v>
      </c>
    </row>
    <row r="155" spans="1:4">
      <c r="A155" s="3" t="s">
        <v>26</v>
      </c>
      <c r="B155" s="3" t="s">
        <v>3</v>
      </c>
      <c r="C155" s="3" t="s">
        <v>6</v>
      </c>
      <c r="D155" s="4">
        <v>96000</v>
      </c>
    </row>
    <row r="156" spans="1:4">
      <c r="A156" s="3" t="s">
        <v>26</v>
      </c>
      <c r="B156" s="3" t="s">
        <v>3</v>
      </c>
      <c r="C156" s="3" t="s">
        <v>6</v>
      </c>
      <c r="D156" s="4">
        <v>180000</v>
      </c>
    </row>
    <row r="157" spans="1:4">
      <c r="A157" s="3" t="s">
        <v>26</v>
      </c>
      <c r="B157" s="3" t="s">
        <v>3</v>
      </c>
      <c r="C157" s="3" t="s">
        <v>6</v>
      </c>
      <c r="D157" s="4">
        <v>96000</v>
      </c>
    </row>
    <row r="158" spans="1:4">
      <c r="A158" s="3" t="s">
        <v>26</v>
      </c>
      <c r="B158" s="3" t="s">
        <v>3</v>
      </c>
      <c r="C158" s="3" t="s">
        <v>6</v>
      </c>
      <c r="D158" s="4">
        <v>96000</v>
      </c>
    </row>
    <row r="159" spans="1:4">
      <c r="A159" s="3" t="s">
        <v>26</v>
      </c>
      <c r="B159" s="3" t="s">
        <v>3</v>
      </c>
      <c r="C159" s="3" t="s">
        <v>6</v>
      </c>
      <c r="D159" s="4">
        <v>96000</v>
      </c>
    </row>
    <row r="160" spans="1:4">
      <c r="A160" s="3" t="s">
        <v>26</v>
      </c>
      <c r="B160" s="3" t="s">
        <v>3</v>
      </c>
      <c r="C160" s="3" t="s">
        <v>6</v>
      </c>
      <c r="D160" s="4">
        <v>96000</v>
      </c>
    </row>
    <row r="161" spans="1:4">
      <c r="A161" s="3" t="s">
        <v>26</v>
      </c>
      <c r="B161" s="3" t="s">
        <v>3</v>
      </c>
      <c r="C161" s="3" t="s">
        <v>6</v>
      </c>
      <c r="D161" s="4">
        <v>96000</v>
      </c>
    </row>
    <row r="162" spans="1:4">
      <c r="A162" s="3" t="s">
        <v>26</v>
      </c>
      <c r="B162" s="3" t="s">
        <v>3</v>
      </c>
      <c r="C162" s="3" t="s">
        <v>6</v>
      </c>
      <c r="D162" s="4">
        <v>96000</v>
      </c>
    </row>
    <row r="163" spans="1:4">
      <c r="A163" s="3" t="s">
        <v>26</v>
      </c>
      <c r="B163" s="3" t="s">
        <v>3</v>
      </c>
      <c r="C163" s="3" t="s">
        <v>6</v>
      </c>
      <c r="D163" s="4">
        <v>72000</v>
      </c>
    </row>
    <row r="164" spans="1:4">
      <c r="A164" s="3" t="s">
        <v>26</v>
      </c>
      <c r="B164" s="3" t="s">
        <v>3</v>
      </c>
      <c r="C164" s="3" t="s">
        <v>6</v>
      </c>
      <c r="D164" s="4">
        <v>120000</v>
      </c>
    </row>
    <row r="165" spans="1:4">
      <c r="A165" s="3" t="s">
        <v>26</v>
      </c>
      <c r="B165" s="3" t="s">
        <v>3</v>
      </c>
      <c r="C165" s="3" t="s">
        <v>6</v>
      </c>
      <c r="D165" s="4">
        <v>120000</v>
      </c>
    </row>
    <row r="166" spans="1:4">
      <c r="A166" s="3" t="s">
        <v>26</v>
      </c>
      <c r="B166" s="3" t="s">
        <v>3</v>
      </c>
      <c r="C166" s="3" t="s">
        <v>6</v>
      </c>
      <c r="D166" s="4">
        <v>96000</v>
      </c>
    </row>
    <row r="167" spans="1:4">
      <c r="A167" s="3" t="s">
        <v>26</v>
      </c>
      <c r="B167" s="3" t="s">
        <v>3</v>
      </c>
      <c r="C167" s="3" t="s">
        <v>6</v>
      </c>
      <c r="D167" s="4">
        <v>300000</v>
      </c>
    </row>
    <row r="168" spans="1:4">
      <c r="A168" s="3" t="s">
        <v>26</v>
      </c>
      <c r="B168" s="3" t="s">
        <v>3</v>
      </c>
      <c r="C168" s="3" t="s">
        <v>6</v>
      </c>
      <c r="D168" s="4">
        <v>130000</v>
      </c>
    </row>
    <row r="169" spans="1:4">
      <c r="A169" s="3" t="s">
        <v>26</v>
      </c>
      <c r="B169" s="3" t="s">
        <v>3</v>
      </c>
      <c r="C169" s="3" t="s">
        <v>6</v>
      </c>
      <c r="D169" s="4">
        <v>130000</v>
      </c>
    </row>
    <row r="170" spans="1:4">
      <c r="A170" s="3" t="s">
        <v>26</v>
      </c>
      <c r="B170" s="3" t="s">
        <v>3</v>
      </c>
      <c r="C170" s="3" t="s">
        <v>6</v>
      </c>
      <c r="D170" s="4">
        <v>78000</v>
      </c>
    </row>
    <row r="171" spans="1:4">
      <c r="A171" s="3" t="s">
        <v>28</v>
      </c>
      <c r="B171" s="3" t="s">
        <v>3</v>
      </c>
      <c r="C171" s="3" t="s">
        <v>6</v>
      </c>
      <c r="D171" s="4">
        <v>120000</v>
      </c>
    </row>
    <row r="172" spans="1:4">
      <c r="A172" s="3" t="s">
        <v>28</v>
      </c>
      <c r="B172" s="3" t="s">
        <v>3</v>
      </c>
      <c r="C172" s="3" t="s">
        <v>6</v>
      </c>
      <c r="D172" s="4">
        <v>120000</v>
      </c>
    </row>
    <row r="173" spans="1:4">
      <c r="A173" s="3" t="s">
        <v>28</v>
      </c>
      <c r="B173" s="3" t="s">
        <v>3</v>
      </c>
      <c r="C173" s="3" t="s">
        <v>6</v>
      </c>
      <c r="D173" s="4">
        <v>121212.12</v>
      </c>
    </row>
    <row r="174" spans="1:4">
      <c r="A174" s="3" t="s">
        <v>28</v>
      </c>
      <c r="B174" s="3" t="s">
        <v>3</v>
      </c>
      <c r="C174" s="3" t="s">
        <v>6</v>
      </c>
      <c r="D174" s="4">
        <v>694285.68</v>
      </c>
    </row>
    <row r="175" spans="1:4">
      <c r="A175" s="3" t="s">
        <v>28</v>
      </c>
      <c r="B175" s="3" t="s">
        <v>3</v>
      </c>
      <c r="C175" s="3" t="s">
        <v>6</v>
      </c>
      <c r="D175" s="4">
        <v>127272.72</v>
      </c>
    </row>
    <row r="176" spans="1:4">
      <c r="A176" s="3" t="s">
        <v>28</v>
      </c>
      <c r="B176" s="3" t="s">
        <v>3</v>
      </c>
      <c r="C176" s="3" t="s">
        <v>6</v>
      </c>
      <c r="D176" s="4">
        <v>193939.44</v>
      </c>
    </row>
    <row r="177" spans="1:4">
      <c r="A177" s="3" t="s">
        <v>28</v>
      </c>
      <c r="B177" s="3" t="s">
        <v>3</v>
      </c>
      <c r="C177" s="3" t="s">
        <v>6</v>
      </c>
      <c r="D177" s="4">
        <v>240000</v>
      </c>
    </row>
    <row r="178" spans="1:4">
      <c r="A178" s="3" t="s">
        <v>28</v>
      </c>
      <c r="B178" s="3" t="s">
        <v>3</v>
      </c>
      <c r="C178" s="3" t="s">
        <v>6</v>
      </c>
      <c r="D178" s="4">
        <v>377142.72</v>
      </c>
    </row>
    <row r="179" spans="1:4">
      <c r="A179" s="3" t="s">
        <v>28</v>
      </c>
      <c r="B179" s="3" t="s">
        <v>3</v>
      </c>
      <c r="C179" s="3" t="s">
        <v>6</v>
      </c>
      <c r="D179" s="4">
        <v>342857.04</v>
      </c>
    </row>
    <row r="180" spans="1:4">
      <c r="A180" s="3" t="s">
        <v>28</v>
      </c>
      <c r="B180" s="3" t="s">
        <v>3</v>
      </c>
      <c r="C180" s="3" t="s">
        <v>6</v>
      </c>
      <c r="D180" s="4">
        <v>126000</v>
      </c>
    </row>
    <row r="181" spans="1:4">
      <c r="A181" s="3" t="s">
        <v>28</v>
      </c>
      <c r="B181" s="3" t="s">
        <v>3</v>
      </c>
      <c r="C181" s="3" t="s">
        <v>6</v>
      </c>
      <c r="D181" s="4">
        <v>126000</v>
      </c>
    </row>
    <row r="182" spans="1:4">
      <c r="A182" s="3" t="s">
        <v>31</v>
      </c>
      <c r="B182" s="3" t="s">
        <v>3</v>
      </c>
      <c r="C182" s="3" t="s">
        <v>6</v>
      </c>
      <c r="D182" s="4">
        <v>84000</v>
      </c>
    </row>
    <row r="183" spans="1:4">
      <c r="A183" s="3" t="s">
        <v>31</v>
      </c>
      <c r="B183" s="3" t="s">
        <v>3</v>
      </c>
      <c r="C183" s="3" t="s">
        <v>6</v>
      </c>
      <c r="D183" s="4">
        <v>109200</v>
      </c>
    </row>
    <row r="184" spans="1:4">
      <c r="A184" s="3" t="s">
        <v>31</v>
      </c>
      <c r="B184" s="3" t="s">
        <v>3</v>
      </c>
      <c r="C184" s="3" t="s">
        <v>6</v>
      </c>
      <c r="D184" s="4">
        <v>124800</v>
      </c>
    </row>
    <row r="185" spans="1:4">
      <c r="A185" s="3" t="s">
        <v>31</v>
      </c>
      <c r="B185" s="3" t="s">
        <v>3</v>
      </c>
      <c r="C185" s="3" t="s">
        <v>6</v>
      </c>
      <c r="D185" s="4">
        <v>85800</v>
      </c>
    </row>
    <row r="186" spans="1:4">
      <c r="A186" s="3" t="s">
        <v>31</v>
      </c>
      <c r="B186" s="3" t="s">
        <v>3</v>
      </c>
      <c r="C186" s="3" t="s">
        <v>6</v>
      </c>
      <c r="D186" s="4">
        <v>109200</v>
      </c>
    </row>
    <row r="187" spans="1:4">
      <c r="A187" s="3" t="s">
        <v>31</v>
      </c>
      <c r="B187" s="3" t="s">
        <v>3</v>
      </c>
      <c r="C187" s="3" t="s">
        <v>6</v>
      </c>
      <c r="D187" s="4">
        <v>78000</v>
      </c>
    </row>
    <row r="188" spans="1:4">
      <c r="A188" s="3" t="s">
        <v>31</v>
      </c>
      <c r="B188" s="3" t="s">
        <v>3</v>
      </c>
      <c r="C188" s="3" t="s">
        <v>6</v>
      </c>
      <c r="D188" s="4">
        <v>62400</v>
      </c>
    </row>
    <row r="189" spans="1:4">
      <c r="A189" s="3" t="s">
        <v>31</v>
      </c>
      <c r="B189" s="3" t="s">
        <v>3</v>
      </c>
      <c r="C189" s="3" t="s">
        <v>6</v>
      </c>
      <c r="D189" s="4">
        <v>72000</v>
      </c>
    </row>
    <row r="190" spans="1:4">
      <c r="A190" s="3" t="s">
        <v>31</v>
      </c>
      <c r="B190" s="3" t="s">
        <v>3</v>
      </c>
      <c r="C190" s="3" t="s">
        <v>6</v>
      </c>
      <c r="D190" s="4">
        <v>90000</v>
      </c>
    </row>
    <row r="191" spans="1:4">
      <c r="A191" s="3" t="s">
        <v>31</v>
      </c>
      <c r="B191" s="3" t="s">
        <v>3</v>
      </c>
      <c r="C191" s="3" t="s">
        <v>6</v>
      </c>
      <c r="D191" s="4">
        <v>84000</v>
      </c>
    </row>
    <row r="192" spans="1:4">
      <c r="A192" s="3" t="s">
        <v>31</v>
      </c>
      <c r="B192" s="3" t="s">
        <v>3</v>
      </c>
      <c r="C192" s="3" t="s">
        <v>6</v>
      </c>
      <c r="D192" s="4">
        <v>84000</v>
      </c>
    </row>
    <row r="193" spans="1:4">
      <c r="A193" s="3" t="s">
        <v>31</v>
      </c>
      <c r="B193" s="3" t="s">
        <v>3</v>
      </c>
      <c r="C193" s="3" t="s">
        <v>6</v>
      </c>
      <c r="D193" s="4">
        <v>96000</v>
      </c>
    </row>
    <row r="194" spans="1:4">
      <c r="A194" s="3" t="s">
        <v>31</v>
      </c>
      <c r="B194" s="3" t="s">
        <v>3</v>
      </c>
      <c r="C194" s="3" t="s">
        <v>6</v>
      </c>
      <c r="D194" s="4">
        <v>108000</v>
      </c>
    </row>
    <row r="195" spans="1:4">
      <c r="A195" s="3" t="s">
        <v>31</v>
      </c>
      <c r="B195" s="3" t="s">
        <v>3</v>
      </c>
      <c r="C195" s="3" t="s">
        <v>6</v>
      </c>
      <c r="D195" s="4">
        <v>78000</v>
      </c>
    </row>
    <row r="196" spans="1:4">
      <c r="A196" s="3" t="s">
        <v>31</v>
      </c>
      <c r="B196" s="3" t="s">
        <v>3</v>
      </c>
      <c r="C196" s="3" t="s">
        <v>6</v>
      </c>
      <c r="D196" s="4">
        <v>84000</v>
      </c>
    </row>
    <row r="197" spans="1:4">
      <c r="A197" s="3" t="s">
        <v>31</v>
      </c>
      <c r="B197" s="3" t="s">
        <v>3</v>
      </c>
      <c r="C197" s="3" t="s">
        <v>6</v>
      </c>
      <c r="D197" s="4">
        <v>96000</v>
      </c>
    </row>
    <row r="198" spans="1:4">
      <c r="A198" s="3" t="s">
        <v>31</v>
      </c>
      <c r="B198" s="3" t="s">
        <v>3</v>
      </c>
      <c r="C198" s="3" t="s">
        <v>6</v>
      </c>
      <c r="D198" s="4">
        <v>96000</v>
      </c>
    </row>
    <row r="199" spans="1:4">
      <c r="A199" s="3" t="s">
        <v>31</v>
      </c>
      <c r="B199" s="3" t="s">
        <v>3</v>
      </c>
      <c r="C199" s="3" t="s">
        <v>6</v>
      </c>
      <c r="D199" s="4">
        <v>72000</v>
      </c>
    </row>
    <row r="200" spans="1:4">
      <c r="A200" s="3" t="s">
        <v>31</v>
      </c>
      <c r="B200" s="3" t="s">
        <v>3</v>
      </c>
      <c r="C200" s="3" t="s">
        <v>6</v>
      </c>
      <c r="D200" s="4">
        <v>72000</v>
      </c>
    </row>
    <row r="201" spans="1:4">
      <c r="A201" s="3" t="s">
        <v>31</v>
      </c>
      <c r="B201" s="3" t="s">
        <v>3</v>
      </c>
      <c r="C201" s="3" t="s">
        <v>6</v>
      </c>
      <c r="D201" s="4">
        <v>96000</v>
      </c>
    </row>
    <row r="202" spans="1:4">
      <c r="A202" s="3" t="s">
        <v>31</v>
      </c>
      <c r="B202" s="3" t="s">
        <v>3</v>
      </c>
      <c r="C202" s="3" t="s">
        <v>6</v>
      </c>
      <c r="D202" s="4">
        <v>144000</v>
      </c>
    </row>
    <row r="203" spans="1:4">
      <c r="A203" s="3" t="s">
        <v>31</v>
      </c>
      <c r="B203" s="3" t="s">
        <v>3</v>
      </c>
      <c r="C203" s="3" t="s">
        <v>6</v>
      </c>
      <c r="D203" s="4">
        <v>132000</v>
      </c>
    </row>
    <row r="204" spans="1:4">
      <c r="A204" s="3" t="s">
        <v>31</v>
      </c>
      <c r="B204" s="3" t="s">
        <v>3</v>
      </c>
      <c r="C204" s="3" t="s">
        <v>6</v>
      </c>
      <c r="D204" s="4">
        <v>96000</v>
      </c>
    </row>
    <row r="205" spans="1:4">
      <c r="A205" s="3" t="s">
        <v>31</v>
      </c>
      <c r="B205" s="3" t="s">
        <v>3</v>
      </c>
      <c r="C205" s="3" t="s">
        <v>6</v>
      </c>
      <c r="D205" s="4">
        <v>124800</v>
      </c>
    </row>
    <row r="206" spans="1:4">
      <c r="A206" s="3" t="s">
        <v>31</v>
      </c>
      <c r="B206" s="3" t="s">
        <v>3</v>
      </c>
      <c r="C206" s="3" t="s">
        <v>6</v>
      </c>
      <c r="D206" s="4">
        <v>171428.52</v>
      </c>
    </row>
    <row r="207" spans="1:4">
      <c r="A207" s="3" t="s">
        <v>31</v>
      </c>
      <c r="B207" s="3" t="s">
        <v>3</v>
      </c>
      <c r="C207" s="3" t="s">
        <v>6</v>
      </c>
      <c r="D207" s="4">
        <v>180000</v>
      </c>
    </row>
    <row r="208" spans="1:4">
      <c r="A208" s="3" t="s">
        <v>31</v>
      </c>
      <c r="B208" s="3" t="s">
        <v>3</v>
      </c>
      <c r="C208" s="3" t="s">
        <v>6</v>
      </c>
      <c r="D208" s="4">
        <v>120000</v>
      </c>
    </row>
    <row r="209" spans="1:4">
      <c r="A209" s="3" t="s">
        <v>31</v>
      </c>
      <c r="B209" s="3" t="s">
        <v>3</v>
      </c>
      <c r="C209" s="3" t="s">
        <v>6</v>
      </c>
      <c r="D209" s="4">
        <v>96000</v>
      </c>
    </row>
    <row r="210" spans="1:4">
      <c r="A210" s="3" t="s">
        <v>31</v>
      </c>
      <c r="B210" s="3" t="s">
        <v>3</v>
      </c>
      <c r="C210" s="3" t="s">
        <v>6</v>
      </c>
      <c r="D210" s="4">
        <v>84000</v>
      </c>
    </row>
    <row r="211" spans="1:4">
      <c r="A211" s="3" t="s">
        <v>31</v>
      </c>
      <c r="B211" s="3" t="s">
        <v>3</v>
      </c>
      <c r="C211" s="3" t="s">
        <v>6</v>
      </c>
      <c r="D211" s="4">
        <v>96000</v>
      </c>
    </row>
    <row r="212" spans="1:4">
      <c r="A212" s="3" t="s">
        <v>31</v>
      </c>
      <c r="B212" s="3" t="s">
        <v>3</v>
      </c>
      <c r="C212" s="3" t="s">
        <v>6</v>
      </c>
      <c r="D212" s="4">
        <v>96000</v>
      </c>
    </row>
    <row r="213" spans="1:4">
      <c r="A213" s="3" t="s">
        <v>31</v>
      </c>
      <c r="B213" s="3" t="s">
        <v>3</v>
      </c>
      <c r="C213" s="3" t="s">
        <v>6</v>
      </c>
      <c r="D213" s="4">
        <v>84000</v>
      </c>
    </row>
    <row r="214" spans="1:4">
      <c r="A214" s="3" t="s">
        <v>31</v>
      </c>
      <c r="B214" s="3" t="s">
        <v>3</v>
      </c>
      <c r="C214" s="3" t="s">
        <v>6</v>
      </c>
      <c r="D214" s="4">
        <v>96000</v>
      </c>
    </row>
    <row r="215" spans="1:4">
      <c r="A215" s="3" t="s">
        <v>31</v>
      </c>
      <c r="B215" s="3" t="s">
        <v>3</v>
      </c>
      <c r="C215" s="3" t="s">
        <v>6</v>
      </c>
      <c r="D215" s="4">
        <v>96000</v>
      </c>
    </row>
    <row r="216" spans="1:4">
      <c r="A216" s="3" t="s">
        <v>31</v>
      </c>
      <c r="B216" s="3" t="s">
        <v>3</v>
      </c>
      <c r="C216" s="3" t="s">
        <v>6</v>
      </c>
      <c r="D216" s="4">
        <v>96000</v>
      </c>
    </row>
    <row r="217" spans="1:4">
      <c r="A217" s="3" t="s">
        <v>31</v>
      </c>
      <c r="B217" s="3" t="s">
        <v>3</v>
      </c>
      <c r="C217" s="3" t="s">
        <v>6</v>
      </c>
      <c r="D217" s="4">
        <v>96000</v>
      </c>
    </row>
    <row r="218" spans="1:4">
      <c r="A218" s="3" t="s">
        <v>31</v>
      </c>
      <c r="B218" s="3" t="s">
        <v>3</v>
      </c>
      <c r="C218" s="3" t="s">
        <v>6</v>
      </c>
      <c r="D218" s="4">
        <v>96000</v>
      </c>
    </row>
    <row r="219" spans="1:4">
      <c r="A219" s="3" t="s">
        <v>31</v>
      </c>
      <c r="B219" s="3" t="s">
        <v>3</v>
      </c>
      <c r="C219" s="3" t="s">
        <v>6</v>
      </c>
      <c r="D219" s="4">
        <v>96000</v>
      </c>
    </row>
    <row r="220" spans="1:4">
      <c r="A220" s="3" t="s">
        <v>31</v>
      </c>
      <c r="B220" s="3" t="s">
        <v>3</v>
      </c>
      <c r="C220" s="3" t="s">
        <v>6</v>
      </c>
      <c r="D220" s="4">
        <v>96000</v>
      </c>
    </row>
    <row r="221" spans="1:4">
      <c r="A221" s="3" t="s">
        <v>31</v>
      </c>
      <c r="B221" s="3" t="s">
        <v>3</v>
      </c>
      <c r="C221" s="3" t="s">
        <v>6</v>
      </c>
      <c r="D221" s="4">
        <v>96000</v>
      </c>
    </row>
    <row r="222" spans="1:4">
      <c r="A222" s="3" t="s">
        <v>31</v>
      </c>
      <c r="B222" s="3" t="s">
        <v>3</v>
      </c>
      <c r="C222" s="3" t="s">
        <v>6</v>
      </c>
      <c r="D222" s="4">
        <v>96000</v>
      </c>
    </row>
    <row r="223" spans="1:4">
      <c r="A223" s="3" t="s">
        <v>31</v>
      </c>
      <c r="B223" s="3" t="s">
        <v>3</v>
      </c>
      <c r="C223" s="3" t="s">
        <v>6</v>
      </c>
      <c r="D223" s="4">
        <v>132000</v>
      </c>
    </row>
    <row r="224" spans="1:4">
      <c r="A224" s="3" t="s">
        <v>31</v>
      </c>
      <c r="B224" s="3" t="s">
        <v>3</v>
      </c>
      <c r="C224" s="3" t="s">
        <v>6</v>
      </c>
      <c r="D224" s="4">
        <v>84000</v>
      </c>
    </row>
    <row r="225" spans="1:4">
      <c r="A225" s="3" t="s">
        <v>31</v>
      </c>
      <c r="B225" s="3" t="s">
        <v>3</v>
      </c>
      <c r="C225" s="3" t="s">
        <v>6</v>
      </c>
      <c r="D225" s="4">
        <v>96000</v>
      </c>
    </row>
    <row r="226" spans="1:4">
      <c r="A226" s="3" t="s">
        <v>31</v>
      </c>
      <c r="B226" s="3" t="s">
        <v>3</v>
      </c>
      <c r="C226" s="3" t="s">
        <v>6</v>
      </c>
      <c r="D226" s="4">
        <v>96000</v>
      </c>
    </row>
    <row r="227" spans="1:4">
      <c r="A227" s="3" t="s">
        <v>31</v>
      </c>
      <c r="B227" s="3" t="s">
        <v>3</v>
      </c>
      <c r="C227" s="3" t="s">
        <v>6</v>
      </c>
      <c r="D227" s="4">
        <v>96000</v>
      </c>
    </row>
    <row r="228" spans="1:4">
      <c r="A228" s="3" t="s">
        <v>31</v>
      </c>
      <c r="B228" s="3" t="s">
        <v>3</v>
      </c>
      <c r="C228" s="3" t="s">
        <v>6</v>
      </c>
      <c r="D228" s="4">
        <v>96000</v>
      </c>
    </row>
    <row r="229" spans="1:4">
      <c r="A229" s="3" t="s">
        <v>31</v>
      </c>
      <c r="B229" s="3" t="s">
        <v>3</v>
      </c>
      <c r="C229" s="3" t="s">
        <v>6</v>
      </c>
      <c r="D229" s="4">
        <v>96000</v>
      </c>
    </row>
    <row r="230" spans="1:4">
      <c r="A230" s="3" t="s">
        <v>31</v>
      </c>
      <c r="B230" s="3" t="s">
        <v>3</v>
      </c>
      <c r="C230" s="3" t="s">
        <v>6</v>
      </c>
      <c r="D230" s="4">
        <v>96000</v>
      </c>
    </row>
    <row r="231" spans="1:4">
      <c r="A231" s="3" t="s">
        <v>31</v>
      </c>
      <c r="B231" s="3" t="s">
        <v>3</v>
      </c>
      <c r="C231" s="3" t="s">
        <v>6</v>
      </c>
      <c r="D231" s="4">
        <v>457142.72</v>
      </c>
    </row>
    <row r="232" spans="1:4">
      <c r="A232" s="3" t="s">
        <v>31</v>
      </c>
      <c r="B232" s="3" t="s">
        <v>3</v>
      </c>
      <c r="C232" s="3" t="s">
        <v>6</v>
      </c>
      <c r="D232" s="4">
        <v>41600</v>
      </c>
    </row>
    <row r="233" spans="1:4">
      <c r="A233" s="3" t="s">
        <v>31</v>
      </c>
      <c r="B233" s="3" t="s">
        <v>3</v>
      </c>
      <c r="C233" s="3" t="s">
        <v>6</v>
      </c>
      <c r="D233" s="4">
        <v>71400</v>
      </c>
    </row>
    <row r="234" spans="1:4">
      <c r="A234" s="3" t="s">
        <v>31</v>
      </c>
      <c r="B234" s="3" t="s">
        <v>3</v>
      </c>
      <c r="C234" s="3" t="s">
        <v>6</v>
      </c>
      <c r="D234" s="4">
        <v>71400</v>
      </c>
    </row>
    <row r="235" spans="1:4">
      <c r="A235" s="3" t="s">
        <v>31</v>
      </c>
      <c r="B235" s="3" t="s">
        <v>3</v>
      </c>
      <c r="C235" s="3" t="s">
        <v>6</v>
      </c>
      <c r="D235" s="4">
        <v>71400</v>
      </c>
    </row>
    <row r="236" spans="1:4">
      <c r="A236" s="3" t="s">
        <v>31</v>
      </c>
      <c r="B236" s="3" t="s">
        <v>3</v>
      </c>
      <c r="C236" s="3" t="s">
        <v>6</v>
      </c>
      <c r="D236" s="4">
        <v>41600</v>
      </c>
    </row>
    <row r="237" spans="1:4">
      <c r="A237" s="3" t="s">
        <v>14</v>
      </c>
      <c r="B237" s="3" t="s">
        <v>3</v>
      </c>
      <c r="C237" s="3" t="s">
        <v>6</v>
      </c>
      <c r="D237" s="4">
        <v>96000</v>
      </c>
    </row>
    <row r="238" spans="1:4">
      <c r="A238" s="3" t="s">
        <v>14</v>
      </c>
      <c r="B238" s="3" t="s">
        <v>3</v>
      </c>
      <c r="C238" s="3" t="s">
        <v>6</v>
      </c>
      <c r="D238" s="4">
        <v>51600</v>
      </c>
    </row>
    <row r="239" spans="1:4">
      <c r="A239" s="3" t="s">
        <v>14</v>
      </c>
      <c r="B239" s="3" t="s">
        <v>3</v>
      </c>
      <c r="C239" s="3" t="s">
        <v>6</v>
      </c>
      <c r="D239" s="4">
        <v>51600</v>
      </c>
    </row>
    <row r="240" spans="1:4">
      <c r="A240" s="3" t="s">
        <v>14</v>
      </c>
      <c r="B240" s="3" t="s">
        <v>3</v>
      </c>
      <c r="C240" s="3" t="s">
        <v>6</v>
      </c>
      <c r="D240" s="4">
        <v>51600</v>
      </c>
    </row>
    <row r="241" spans="1:4">
      <c r="A241" s="3" t="s">
        <v>14</v>
      </c>
      <c r="B241" s="3" t="s">
        <v>3</v>
      </c>
      <c r="C241" s="3" t="s">
        <v>6</v>
      </c>
      <c r="D241" s="4">
        <v>51600</v>
      </c>
    </row>
    <row r="242" spans="1:4">
      <c r="A242" s="3" t="s">
        <v>14</v>
      </c>
      <c r="B242" s="3" t="s">
        <v>3</v>
      </c>
      <c r="C242" s="3" t="s">
        <v>6</v>
      </c>
      <c r="D242" s="4">
        <v>51600</v>
      </c>
    </row>
    <row r="243" spans="1:4">
      <c r="A243" s="3" t="s">
        <v>14</v>
      </c>
      <c r="B243" s="3" t="s">
        <v>3</v>
      </c>
      <c r="C243" s="3" t="s">
        <v>6</v>
      </c>
      <c r="D243" s="4">
        <v>51600</v>
      </c>
    </row>
    <row r="244" spans="1:4">
      <c r="A244" s="3" t="s">
        <v>14</v>
      </c>
      <c r="B244" s="3" t="s">
        <v>3</v>
      </c>
      <c r="C244" s="3" t="s">
        <v>6</v>
      </c>
      <c r="D244" s="4">
        <v>51600</v>
      </c>
    </row>
    <row r="245" spans="1:4">
      <c r="A245" s="3" t="s">
        <v>14</v>
      </c>
      <c r="B245" s="3" t="s">
        <v>3</v>
      </c>
      <c r="C245" s="3" t="s">
        <v>6</v>
      </c>
      <c r="D245" s="4">
        <v>51600</v>
      </c>
    </row>
    <row r="246" spans="1:4">
      <c r="A246" s="3" t="s">
        <v>14</v>
      </c>
      <c r="B246" s="3" t="s">
        <v>3</v>
      </c>
      <c r="C246" s="3" t="s">
        <v>6</v>
      </c>
      <c r="D246" s="4">
        <v>51600</v>
      </c>
    </row>
    <row r="247" spans="1:4">
      <c r="A247" s="3" t="s">
        <v>14</v>
      </c>
      <c r="B247" s="3" t="s">
        <v>3</v>
      </c>
      <c r="C247" s="3" t="s">
        <v>6</v>
      </c>
      <c r="D247" s="4">
        <v>51600</v>
      </c>
    </row>
    <row r="248" spans="1:4">
      <c r="A248" s="3" t="s">
        <v>14</v>
      </c>
      <c r="B248" s="3" t="s">
        <v>3</v>
      </c>
      <c r="C248" s="3" t="s">
        <v>6</v>
      </c>
      <c r="D248" s="4">
        <v>51600</v>
      </c>
    </row>
    <row r="249" spans="1:4">
      <c r="A249" s="3" t="s">
        <v>14</v>
      </c>
      <c r="B249" s="3" t="s">
        <v>3</v>
      </c>
      <c r="C249" s="3" t="s">
        <v>6</v>
      </c>
      <c r="D249" s="4">
        <v>51600</v>
      </c>
    </row>
    <row r="250" spans="1:4">
      <c r="A250" s="3" t="s">
        <v>29</v>
      </c>
      <c r="B250" s="3" t="s">
        <v>3</v>
      </c>
      <c r="C250" s="3" t="s">
        <v>6</v>
      </c>
      <c r="D250" s="4">
        <v>148800</v>
      </c>
    </row>
    <row r="251" spans="1:4">
      <c r="A251" s="3" t="s">
        <v>29</v>
      </c>
      <c r="B251" s="3" t="s">
        <v>3</v>
      </c>
      <c r="C251" s="3" t="s">
        <v>6</v>
      </c>
      <c r="D251" s="4">
        <v>148800</v>
      </c>
    </row>
    <row r="252" spans="1:4">
      <c r="A252" s="3" t="s">
        <v>29</v>
      </c>
      <c r="B252" s="3" t="s">
        <v>3</v>
      </c>
      <c r="C252" s="3" t="s">
        <v>6</v>
      </c>
      <c r="D252" s="4">
        <v>96000</v>
      </c>
    </row>
    <row r="253" spans="1:4">
      <c r="A253" s="3" t="s">
        <v>29</v>
      </c>
      <c r="B253" s="3" t="s">
        <v>3</v>
      </c>
      <c r="C253" s="3" t="s">
        <v>10</v>
      </c>
      <c r="D253" s="4">
        <v>96000</v>
      </c>
    </row>
    <row r="254" spans="1:4">
      <c r="A254" s="3" t="s">
        <v>29</v>
      </c>
      <c r="B254" s="3" t="s">
        <v>3</v>
      </c>
      <c r="C254" s="3" t="s">
        <v>6</v>
      </c>
      <c r="D254" s="4">
        <v>96000</v>
      </c>
    </row>
    <row r="255" spans="1:4">
      <c r="A255" s="3" t="s">
        <v>29</v>
      </c>
      <c r="B255" s="3" t="s">
        <v>3</v>
      </c>
      <c r="C255" s="3" t="s">
        <v>6</v>
      </c>
      <c r="D255" s="4">
        <v>96000</v>
      </c>
    </row>
    <row r="256" spans="1:4">
      <c r="A256" s="3" t="s">
        <v>29</v>
      </c>
      <c r="B256" s="3" t="s">
        <v>3</v>
      </c>
      <c r="C256" s="3" t="s">
        <v>6</v>
      </c>
      <c r="D256" s="4">
        <v>96000</v>
      </c>
    </row>
    <row r="257" spans="1:4">
      <c r="A257" s="3" t="s">
        <v>14</v>
      </c>
      <c r="B257" s="3" t="s">
        <v>3</v>
      </c>
      <c r="C257" s="3" t="s">
        <v>6</v>
      </c>
      <c r="D257" s="4">
        <v>60000</v>
      </c>
    </row>
    <row r="258" spans="1:4">
      <c r="A258" s="3" t="s">
        <v>14</v>
      </c>
      <c r="B258" s="3" t="s">
        <v>3</v>
      </c>
      <c r="C258" s="3" t="s">
        <v>6</v>
      </c>
      <c r="D258" s="4">
        <v>200000</v>
      </c>
    </row>
    <row r="259" spans="1:4">
      <c r="A259" s="3" t="s">
        <v>14</v>
      </c>
      <c r="B259" s="3" t="s">
        <v>3</v>
      </c>
      <c r="C259" s="3" t="s">
        <v>6</v>
      </c>
      <c r="D259" s="4">
        <v>228571.2</v>
      </c>
    </row>
    <row r="260" spans="1:4">
      <c r="A260" s="3" t="s">
        <v>14</v>
      </c>
      <c r="B260" s="3" t="s">
        <v>3</v>
      </c>
      <c r="C260" s="3" t="s">
        <v>6</v>
      </c>
      <c r="D260" s="4">
        <v>228571.2</v>
      </c>
    </row>
    <row r="261" spans="1:4">
      <c r="A261" s="3" t="s">
        <v>14</v>
      </c>
      <c r="B261" s="3" t="s">
        <v>3</v>
      </c>
      <c r="C261" s="3" t="s">
        <v>6</v>
      </c>
      <c r="D261" s="4">
        <v>171428.4</v>
      </c>
    </row>
    <row r="262" spans="1:4">
      <c r="A262" s="3" t="s">
        <v>14</v>
      </c>
      <c r="B262" s="3" t="s">
        <v>3</v>
      </c>
      <c r="C262" s="3" t="s">
        <v>6</v>
      </c>
      <c r="D262" s="4">
        <v>228571.2</v>
      </c>
    </row>
    <row r="263" spans="1:4">
      <c r="A263" s="3" t="s">
        <v>14</v>
      </c>
      <c r="B263" s="3" t="s">
        <v>3</v>
      </c>
      <c r="C263" s="3" t="s">
        <v>6</v>
      </c>
      <c r="D263" s="4">
        <v>171428.4</v>
      </c>
    </row>
    <row r="264" spans="1:4">
      <c r="A264" s="3" t="s">
        <v>14</v>
      </c>
      <c r="B264" s="3" t="s">
        <v>3</v>
      </c>
      <c r="C264" s="3" t="s">
        <v>6</v>
      </c>
      <c r="D264" s="4">
        <v>290399.76</v>
      </c>
    </row>
    <row r="265" spans="1:4">
      <c r="A265" s="3" t="s">
        <v>14</v>
      </c>
      <c r="B265" s="3" t="s">
        <v>3</v>
      </c>
      <c r="C265" s="3" t="s">
        <v>6</v>
      </c>
      <c r="D265" s="4">
        <v>171428.4</v>
      </c>
    </row>
    <row r="266" spans="1:4">
      <c r="A266" s="3" t="s">
        <v>14</v>
      </c>
      <c r="B266" s="3" t="s">
        <v>3</v>
      </c>
      <c r="C266" s="3" t="s">
        <v>6</v>
      </c>
      <c r="D266" s="4">
        <v>125714.16</v>
      </c>
    </row>
    <row r="267" spans="1:4">
      <c r="A267" s="3" t="s">
        <v>14</v>
      </c>
      <c r="B267" s="3" t="s">
        <v>3</v>
      </c>
      <c r="C267" s="3" t="s">
        <v>6</v>
      </c>
      <c r="D267" s="4">
        <v>152114.16</v>
      </c>
    </row>
    <row r="268" spans="1:4">
      <c r="A268" s="3" t="s">
        <v>14</v>
      </c>
      <c r="B268" s="3" t="s">
        <v>3</v>
      </c>
      <c r="C268" s="3" t="s">
        <v>6</v>
      </c>
      <c r="D268" s="4">
        <v>125714.16</v>
      </c>
    </row>
    <row r="269" spans="1:4">
      <c r="A269" s="3" t="s">
        <v>14</v>
      </c>
      <c r="B269" s="3" t="s">
        <v>3</v>
      </c>
      <c r="C269" s="3" t="s">
        <v>6</v>
      </c>
      <c r="D269" s="4">
        <v>111428.46</v>
      </c>
    </row>
    <row r="270" spans="1:4">
      <c r="A270" s="3" t="s">
        <v>14</v>
      </c>
      <c r="B270" s="3" t="s">
        <v>3</v>
      </c>
      <c r="C270" s="3" t="s">
        <v>6</v>
      </c>
      <c r="D270" s="4">
        <v>42857.1</v>
      </c>
    </row>
    <row r="271" spans="1:4">
      <c r="A271" s="3" t="s">
        <v>14</v>
      </c>
      <c r="B271" s="3" t="s">
        <v>3</v>
      </c>
      <c r="C271" s="3" t="s">
        <v>6</v>
      </c>
      <c r="D271" s="4">
        <v>57142.8</v>
      </c>
    </row>
    <row r="272" spans="1:4">
      <c r="A272" s="3" t="s">
        <v>14</v>
      </c>
      <c r="B272" s="3" t="s">
        <v>3</v>
      </c>
      <c r="C272" s="3" t="s">
        <v>6</v>
      </c>
      <c r="D272" s="4">
        <v>142857</v>
      </c>
    </row>
    <row r="273" spans="1:4">
      <c r="A273" s="3" t="s">
        <v>14</v>
      </c>
      <c r="B273" s="3" t="s">
        <v>3</v>
      </c>
      <c r="C273" s="3" t="s">
        <v>6</v>
      </c>
      <c r="D273" s="4">
        <v>99000</v>
      </c>
    </row>
    <row r="274" spans="1:4">
      <c r="A274" s="3" t="s">
        <v>14</v>
      </c>
      <c r="B274" s="3" t="s">
        <v>3</v>
      </c>
      <c r="C274" s="3" t="s">
        <v>6</v>
      </c>
      <c r="D274" s="4">
        <v>99000</v>
      </c>
    </row>
    <row r="275" spans="1:4">
      <c r="A275" s="3" t="s">
        <v>14</v>
      </c>
      <c r="B275" s="3" t="s">
        <v>3</v>
      </c>
      <c r="C275" s="3" t="s">
        <v>6</v>
      </c>
      <c r="D275" s="4">
        <v>146571.36</v>
      </c>
    </row>
    <row r="276" spans="1:4">
      <c r="A276" s="3" t="s">
        <v>14</v>
      </c>
      <c r="B276" s="3" t="s">
        <v>3</v>
      </c>
      <c r="C276" s="3" t="s">
        <v>6</v>
      </c>
      <c r="D276" s="4">
        <v>12000</v>
      </c>
    </row>
    <row r="277" spans="1:4">
      <c r="A277" s="3" t="s">
        <v>14</v>
      </c>
      <c r="B277" s="3" t="s">
        <v>3</v>
      </c>
      <c r="C277" s="3" t="s">
        <v>6</v>
      </c>
      <c r="D277" s="4">
        <v>185280</v>
      </c>
    </row>
    <row r="278" spans="1:4">
      <c r="A278" s="3" t="s">
        <v>14</v>
      </c>
      <c r="B278" s="3" t="s">
        <v>3</v>
      </c>
      <c r="C278" s="3" t="s">
        <v>6</v>
      </c>
      <c r="D278" s="4">
        <v>138000</v>
      </c>
    </row>
    <row r="279" spans="1:4">
      <c r="A279" s="3" t="s">
        <v>14</v>
      </c>
      <c r="B279" s="3" t="s">
        <v>3</v>
      </c>
      <c r="C279" s="3" t="s">
        <v>6</v>
      </c>
      <c r="D279" s="4">
        <v>60000</v>
      </c>
    </row>
    <row r="280" spans="1:4">
      <c r="A280" s="3" t="s">
        <v>14</v>
      </c>
      <c r="B280" s="3" t="s">
        <v>3</v>
      </c>
      <c r="C280" s="3" t="s">
        <v>6</v>
      </c>
      <c r="D280" s="4">
        <v>54000</v>
      </c>
    </row>
    <row r="281" spans="1:4">
      <c r="A281" s="3" t="s">
        <v>14</v>
      </c>
      <c r="B281" s="3" t="s">
        <v>3</v>
      </c>
      <c r="C281" s="3" t="s">
        <v>6</v>
      </c>
      <c r="D281" s="4">
        <v>60000</v>
      </c>
    </row>
    <row r="282" spans="1:4">
      <c r="A282" s="3" t="s">
        <v>14</v>
      </c>
      <c r="B282" s="3" t="s">
        <v>3</v>
      </c>
      <c r="C282" s="3" t="s">
        <v>6</v>
      </c>
      <c r="D282" s="4">
        <v>100000</v>
      </c>
    </row>
    <row r="283" spans="1:4">
      <c r="A283" s="3" t="s">
        <v>14</v>
      </c>
      <c r="B283" s="3" t="s">
        <v>3</v>
      </c>
      <c r="C283" s="3" t="s">
        <v>6</v>
      </c>
      <c r="D283" s="4">
        <v>26000</v>
      </c>
    </row>
    <row r="284" spans="1:4">
      <c r="A284" s="3" t="s">
        <v>14</v>
      </c>
      <c r="B284" s="3" t="s">
        <v>3</v>
      </c>
      <c r="C284" s="3" t="s">
        <v>6</v>
      </c>
      <c r="D284" s="4">
        <v>72000</v>
      </c>
    </row>
    <row r="285" spans="1:4">
      <c r="A285" s="3" t="s">
        <v>14</v>
      </c>
      <c r="B285" s="3" t="s">
        <v>3</v>
      </c>
      <c r="C285" s="3" t="s">
        <v>6</v>
      </c>
      <c r="D285" s="4">
        <v>208000</v>
      </c>
    </row>
    <row r="286" spans="1:4">
      <c r="A286" s="3" t="s">
        <v>14</v>
      </c>
      <c r="B286" s="3" t="s">
        <v>3</v>
      </c>
      <c r="C286" s="3" t="s">
        <v>6</v>
      </c>
      <c r="D286" s="4">
        <v>130000</v>
      </c>
    </row>
    <row r="287" spans="1:4">
      <c r="A287" s="3" t="s">
        <v>14</v>
      </c>
      <c r="B287" s="3" t="s">
        <v>3</v>
      </c>
      <c r="C287" s="3" t="s">
        <v>6</v>
      </c>
      <c r="D287" s="4">
        <v>208000</v>
      </c>
    </row>
    <row r="288" spans="1:4">
      <c r="A288" s="3" t="s">
        <v>14</v>
      </c>
      <c r="B288" s="3" t="s">
        <v>3</v>
      </c>
      <c r="C288" s="3" t="s">
        <v>6</v>
      </c>
      <c r="D288" s="4">
        <v>148200</v>
      </c>
    </row>
    <row r="289" spans="1:4">
      <c r="A289" s="3" t="s">
        <v>14</v>
      </c>
      <c r="B289" s="3" t="s">
        <v>3</v>
      </c>
      <c r="C289" s="3" t="s">
        <v>6</v>
      </c>
      <c r="D289" s="4">
        <v>85800</v>
      </c>
    </row>
    <row r="290" spans="1:4">
      <c r="A290" s="3" t="s">
        <v>14</v>
      </c>
      <c r="B290" s="3" t="s">
        <v>3</v>
      </c>
      <c r="C290" s="3" t="s">
        <v>6</v>
      </c>
      <c r="D290" s="4">
        <v>72000</v>
      </c>
    </row>
    <row r="291" spans="1:4">
      <c r="A291" s="3" t="s">
        <v>14</v>
      </c>
      <c r="B291" s="3" t="s">
        <v>3</v>
      </c>
      <c r="C291" s="3" t="s">
        <v>6</v>
      </c>
      <c r="D291" s="4">
        <v>156000</v>
      </c>
    </row>
    <row r="292" spans="1:4">
      <c r="A292" s="3" t="s">
        <v>14</v>
      </c>
      <c r="B292" s="3" t="s">
        <v>3</v>
      </c>
      <c r="C292" s="3" t="s">
        <v>6</v>
      </c>
      <c r="D292" s="4">
        <v>128000</v>
      </c>
    </row>
    <row r="293" spans="1:4">
      <c r="A293" s="3" t="s">
        <v>14</v>
      </c>
      <c r="B293" s="3" t="s">
        <v>3</v>
      </c>
      <c r="C293" s="3" t="s">
        <v>6</v>
      </c>
      <c r="D293" s="4">
        <v>24000</v>
      </c>
    </row>
    <row r="294" spans="1:4">
      <c r="A294" s="3" t="s">
        <v>14</v>
      </c>
      <c r="B294" s="3" t="s">
        <v>3</v>
      </c>
      <c r="C294" s="3" t="s">
        <v>6</v>
      </c>
      <c r="D294" s="4">
        <v>45000</v>
      </c>
    </row>
    <row r="295" spans="1:4">
      <c r="A295" s="3" t="s">
        <v>14</v>
      </c>
      <c r="B295" s="3" t="s">
        <v>3</v>
      </c>
      <c r="C295" s="3" t="s">
        <v>6</v>
      </c>
      <c r="D295" s="4">
        <v>80000</v>
      </c>
    </row>
    <row r="296" spans="1:4">
      <c r="A296" s="3" t="s">
        <v>14</v>
      </c>
      <c r="B296" s="3" t="s">
        <v>3</v>
      </c>
      <c r="C296" s="3" t="s">
        <v>6</v>
      </c>
      <c r="D296" s="4">
        <v>72000</v>
      </c>
    </row>
    <row r="297" spans="1:4">
      <c r="A297" s="3" t="s">
        <v>14</v>
      </c>
      <c r="B297" s="3" t="s">
        <v>3</v>
      </c>
      <c r="C297" s="3" t="s">
        <v>6</v>
      </c>
      <c r="D297" s="4">
        <v>80000</v>
      </c>
    </row>
    <row r="298" spans="1:4">
      <c r="A298" s="3" t="s">
        <v>14</v>
      </c>
      <c r="B298" s="3" t="s">
        <v>3</v>
      </c>
      <c r="C298" s="3" t="s">
        <v>6</v>
      </c>
      <c r="D298" s="4">
        <v>96000</v>
      </c>
    </row>
    <row r="299" spans="1:4">
      <c r="A299" s="3" t="s">
        <v>14</v>
      </c>
      <c r="B299" s="3" t="s">
        <v>3</v>
      </c>
      <c r="C299" s="3" t="s">
        <v>6</v>
      </c>
      <c r="D299" s="4">
        <v>128000</v>
      </c>
    </row>
    <row r="300" spans="1:4">
      <c r="A300" s="3" t="s">
        <v>14</v>
      </c>
      <c r="B300" s="3" t="s">
        <v>3</v>
      </c>
      <c r="C300" s="3" t="s">
        <v>6</v>
      </c>
      <c r="D300" s="4">
        <v>80000</v>
      </c>
    </row>
    <row r="301" spans="1:4">
      <c r="A301" s="3" t="s">
        <v>14</v>
      </c>
      <c r="B301" s="3" t="s">
        <v>3</v>
      </c>
      <c r="C301" s="3" t="s">
        <v>6</v>
      </c>
      <c r="D301" s="4">
        <v>51428.52</v>
      </c>
    </row>
    <row r="302" spans="1:4">
      <c r="A302" s="3" t="s">
        <v>34</v>
      </c>
      <c r="B302" s="3" t="s">
        <v>3</v>
      </c>
      <c r="C302" s="3" t="s">
        <v>6</v>
      </c>
      <c r="D302" s="4">
        <v>1030959.9</v>
      </c>
    </row>
    <row r="303" spans="1:4">
      <c r="A303" s="3" t="s">
        <v>34</v>
      </c>
      <c r="B303" s="3" t="s">
        <v>3</v>
      </c>
      <c r="C303" s="3" t="s">
        <v>6</v>
      </c>
      <c r="D303" s="4">
        <v>696639.96</v>
      </c>
    </row>
    <row r="304" spans="1:4">
      <c r="A304" s="3" t="s">
        <v>34</v>
      </c>
      <c r="B304" s="3" t="s">
        <v>3</v>
      </c>
      <c r="C304" s="3" t="s">
        <v>6</v>
      </c>
      <c r="D304" s="4">
        <v>1195599.9</v>
      </c>
    </row>
    <row r="305" spans="1:4">
      <c r="A305" s="3" t="s">
        <v>34</v>
      </c>
      <c r="B305" s="3" t="s">
        <v>3</v>
      </c>
      <c r="C305" s="3" t="s">
        <v>6</v>
      </c>
      <c r="D305" s="4">
        <v>1687503.9</v>
      </c>
    </row>
    <row r="306" spans="1:4">
      <c r="A306" s="3" t="s">
        <v>34</v>
      </c>
      <c r="B306" s="3" t="s">
        <v>3</v>
      </c>
      <c r="C306" s="3" t="s">
        <v>6</v>
      </c>
      <c r="D306" s="4">
        <v>933296.1</v>
      </c>
    </row>
    <row r="307" spans="1:4">
      <c r="A307" s="3" t="s">
        <v>34</v>
      </c>
      <c r="B307" s="3" t="s">
        <v>3</v>
      </c>
      <c r="C307" s="3" t="s">
        <v>6</v>
      </c>
      <c r="D307" s="4">
        <v>1184400</v>
      </c>
    </row>
    <row r="308" spans="1:4">
      <c r="A308" s="3" t="s">
        <v>34</v>
      </c>
      <c r="B308" s="3" t="s">
        <v>3</v>
      </c>
      <c r="C308" s="3" t="s">
        <v>6</v>
      </c>
      <c r="D308" s="4">
        <v>875616</v>
      </c>
    </row>
    <row r="309" spans="1:4">
      <c r="A309" s="3" t="s">
        <v>34</v>
      </c>
      <c r="B309" s="3" t="s">
        <v>3</v>
      </c>
      <c r="C309" s="3" t="s">
        <v>6</v>
      </c>
      <c r="D309" s="4">
        <v>625408</v>
      </c>
    </row>
    <row r="310" spans="1:4">
      <c r="A310" s="3" t="s">
        <v>34</v>
      </c>
      <c r="B310" s="3" t="s">
        <v>3</v>
      </c>
      <c r="C310" s="3" t="s">
        <v>6</v>
      </c>
      <c r="D310" s="4">
        <v>1156108.8</v>
      </c>
    </row>
    <row r="311" spans="1:4">
      <c r="A311" s="3" t="s">
        <v>34</v>
      </c>
      <c r="B311" s="3" t="s">
        <v>3</v>
      </c>
      <c r="C311" s="3" t="s">
        <v>6</v>
      </c>
      <c r="D311" s="4">
        <v>817935.9</v>
      </c>
    </row>
    <row r="312" spans="1:4">
      <c r="A312" s="3" t="s">
        <v>34</v>
      </c>
      <c r="B312" s="3" t="s">
        <v>3</v>
      </c>
      <c r="C312" s="3" t="s">
        <v>6</v>
      </c>
      <c r="D312" s="4">
        <v>882000</v>
      </c>
    </row>
    <row r="313" spans="1:4">
      <c r="A313" s="3" t="s">
        <v>34</v>
      </c>
      <c r="B313" s="3" t="s">
        <v>3</v>
      </c>
      <c r="C313" s="3" t="s">
        <v>6</v>
      </c>
      <c r="D313" s="4">
        <v>1190246.4</v>
      </c>
    </row>
    <row r="314" spans="1:4">
      <c r="A314" s="3" t="s">
        <v>34</v>
      </c>
      <c r="B314" s="3" t="s">
        <v>3</v>
      </c>
      <c r="C314" s="3" t="s">
        <v>6</v>
      </c>
      <c r="D314" s="4">
        <v>2334998.4</v>
      </c>
    </row>
    <row r="315" spans="1:4">
      <c r="A315" s="3" t="s">
        <v>34</v>
      </c>
      <c r="B315" s="3" t="s">
        <v>3</v>
      </c>
      <c r="C315" s="3" t="s">
        <v>6</v>
      </c>
      <c r="D315" s="4">
        <v>1204224.12</v>
      </c>
    </row>
    <row r="316" spans="1:4">
      <c r="A316" s="3" t="s">
        <v>34</v>
      </c>
      <c r="B316" s="3" t="s">
        <v>3</v>
      </c>
      <c r="C316" s="3" t="s">
        <v>6</v>
      </c>
      <c r="D316" s="4">
        <v>1029503.88</v>
      </c>
    </row>
    <row r="317" spans="1:4">
      <c r="A317" s="3" t="s">
        <v>34</v>
      </c>
      <c r="B317" s="3" t="s">
        <v>3</v>
      </c>
      <c r="C317" s="3" t="s">
        <v>6</v>
      </c>
      <c r="D317" s="4">
        <v>491736</v>
      </c>
    </row>
    <row r="318" spans="1:4">
      <c r="A318" s="3" t="s">
        <v>34</v>
      </c>
      <c r="B318" s="3" t="s">
        <v>3</v>
      </c>
      <c r="C318" s="3" t="s">
        <v>6</v>
      </c>
      <c r="D318" s="4">
        <v>2335872</v>
      </c>
    </row>
    <row r="319" spans="1:4">
      <c r="A319" s="3" t="s">
        <v>34</v>
      </c>
      <c r="B319" s="3" t="s">
        <v>3</v>
      </c>
      <c r="C319" s="3" t="s">
        <v>6</v>
      </c>
      <c r="D319" s="4">
        <v>1713936</v>
      </c>
    </row>
    <row r="320" spans="1:4">
      <c r="A320" s="3" t="s">
        <v>15</v>
      </c>
      <c r="B320" s="3" t="s">
        <v>3</v>
      </c>
      <c r="C320" s="3" t="s">
        <v>6</v>
      </c>
      <c r="D320" s="4">
        <v>6360</v>
      </c>
    </row>
    <row r="321" spans="1:4">
      <c r="A321" s="3" t="s">
        <v>18</v>
      </c>
      <c r="B321" s="3" t="s">
        <v>3</v>
      </c>
      <c r="C321" s="3" t="s">
        <v>6</v>
      </c>
      <c r="D321" s="4">
        <v>146341.46</v>
      </c>
    </row>
    <row r="322" spans="1:4">
      <c r="A322" s="3" t="s">
        <v>24</v>
      </c>
      <c r="B322" s="3" t="s">
        <v>3</v>
      </c>
      <c r="C322" s="3" t="s">
        <v>6</v>
      </c>
      <c r="D322" s="4">
        <v>6720001.92</v>
      </c>
    </row>
    <row r="323" spans="1:4">
      <c r="A323" s="3" t="s">
        <v>25</v>
      </c>
      <c r="B323" s="3" t="s">
        <v>3</v>
      </c>
      <c r="C323" s="3" t="s">
        <v>6</v>
      </c>
      <c r="D323" s="4">
        <v>9199242.61</v>
      </c>
    </row>
    <row r="324" spans="1:4">
      <c r="A324" s="3" t="s">
        <v>25</v>
      </c>
      <c r="B324" s="3" t="s">
        <v>4</v>
      </c>
      <c r="C324" s="3" t="s">
        <v>9</v>
      </c>
      <c r="D324" s="4">
        <v>0</v>
      </c>
    </row>
    <row r="325" spans="1:4">
      <c r="A325" s="3" t="s">
        <v>25</v>
      </c>
      <c r="B325" s="3" t="s">
        <v>4</v>
      </c>
      <c r="C325" s="3" t="s">
        <v>9</v>
      </c>
      <c r="D325" s="4">
        <v>0</v>
      </c>
    </row>
    <row r="326" spans="1:4">
      <c r="A326" s="3" t="s">
        <v>25</v>
      </c>
      <c r="B326" s="3" t="s">
        <v>4</v>
      </c>
      <c r="C326" s="3" t="s">
        <v>9</v>
      </c>
      <c r="D326" s="4">
        <v>0</v>
      </c>
    </row>
    <row r="327" spans="1:4">
      <c r="A327" s="3" t="s">
        <v>25</v>
      </c>
      <c r="B327" s="3" t="s">
        <v>4</v>
      </c>
      <c r="C327" s="3" t="s">
        <v>6</v>
      </c>
      <c r="D327" s="4">
        <v>819139.2</v>
      </c>
    </row>
    <row r="328" spans="1:4">
      <c r="A328" s="3" t="s">
        <v>25</v>
      </c>
      <c r="B328" s="3" t="s">
        <v>4</v>
      </c>
      <c r="C328" s="3" t="s">
        <v>10</v>
      </c>
      <c r="D328" s="4">
        <v>0</v>
      </c>
    </row>
    <row r="329" spans="1:4">
      <c r="A329" s="3" t="s">
        <v>25</v>
      </c>
      <c r="B329" s="3" t="s">
        <v>3</v>
      </c>
      <c r="C329" s="3" t="s">
        <v>10</v>
      </c>
      <c r="D329" s="4">
        <v>0</v>
      </c>
    </row>
    <row r="330" spans="1:4">
      <c r="A330" s="3" t="s">
        <v>32</v>
      </c>
      <c r="B330" s="3" t="s">
        <v>4</v>
      </c>
      <c r="C330" s="3" t="s">
        <v>6</v>
      </c>
      <c r="D330" s="4">
        <v>3228000</v>
      </c>
    </row>
    <row r="331" spans="1:4">
      <c r="A331" s="3" t="s">
        <v>32</v>
      </c>
      <c r="B331" s="3" t="s">
        <v>4</v>
      </c>
      <c r="C331" s="3" t="s">
        <v>6</v>
      </c>
      <c r="D331" s="4">
        <v>2497248</v>
      </c>
    </row>
    <row r="332" spans="1:4">
      <c r="A332" s="3" t="s">
        <v>15</v>
      </c>
      <c r="B332" s="3" t="s">
        <v>3</v>
      </c>
      <c r="C332" s="3" t="s">
        <v>6</v>
      </c>
      <c r="D332" s="4">
        <v>96000</v>
      </c>
    </row>
    <row r="333" spans="1:4">
      <c r="A333" s="3" t="s">
        <v>15</v>
      </c>
      <c r="B333" s="3" t="s">
        <v>3</v>
      </c>
      <c r="C333" s="3" t="s">
        <v>6</v>
      </c>
      <c r="D333" s="4">
        <v>181400</v>
      </c>
    </row>
    <row r="334" spans="1:4">
      <c r="A334" s="3" t="s">
        <v>15</v>
      </c>
      <c r="B334" s="3" t="s">
        <v>3</v>
      </c>
      <c r="C334" s="3" t="s">
        <v>6</v>
      </c>
      <c r="D334" s="4">
        <v>96000</v>
      </c>
    </row>
    <row r="335" spans="1:4">
      <c r="A335" s="3" t="s">
        <v>15</v>
      </c>
      <c r="B335" s="3" t="s">
        <v>3</v>
      </c>
      <c r="C335" s="3" t="s">
        <v>6</v>
      </c>
      <c r="D335" s="4">
        <v>48000</v>
      </c>
    </row>
    <row r="336" spans="1:4">
      <c r="A336" s="3" t="s">
        <v>18</v>
      </c>
      <c r="B336" s="3" t="s">
        <v>3</v>
      </c>
      <c r="C336" s="3" t="s">
        <v>6</v>
      </c>
      <c r="D336" s="4">
        <v>12605142.02</v>
      </c>
    </row>
    <row r="337" spans="1:4">
      <c r="A337" s="3" t="s">
        <v>27</v>
      </c>
      <c r="B337" s="3" t="s">
        <v>3</v>
      </c>
      <c r="C337" s="3" t="s">
        <v>6</v>
      </c>
      <c r="D337" s="4">
        <v>5042037</v>
      </c>
    </row>
    <row r="338" spans="1:4">
      <c r="A338" s="3" t="s">
        <v>25</v>
      </c>
      <c r="B338" s="3" t="s">
        <v>3</v>
      </c>
      <c r="C338" s="3" t="s">
        <v>6</v>
      </c>
      <c r="D338" s="4">
        <v>5616675.48</v>
      </c>
    </row>
    <row r="339" spans="1:4">
      <c r="A339" s="3" t="s">
        <v>25</v>
      </c>
      <c r="B339" s="3" t="s">
        <v>3</v>
      </c>
      <c r="C339" s="3" t="s">
        <v>6</v>
      </c>
      <c r="D339" s="4">
        <v>1290060</v>
      </c>
    </row>
    <row r="340" spans="1:4">
      <c r="A340" s="3" t="s">
        <v>18</v>
      </c>
      <c r="B340" s="3" t="s">
        <v>3</v>
      </c>
      <c r="C340" s="3" t="s">
        <v>6</v>
      </c>
      <c r="D340" s="4">
        <v>60975.61</v>
      </c>
    </row>
    <row r="341" spans="1:4">
      <c r="A341" s="3" t="s">
        <v>18</v>
      </c>
      <c r="B341" s="3" t="s">
        <v>3</v>
      </c>
      <c r="C341" s="3" t="s">
        <v>6</v>
      </c>
      <c r="D341" s="4">
        <v>60975.61</v>
      </c>
    </row>
    <row r="342" spans="1:4">
      <c r="A342" s="3" t="s">
        <v>18</v>
      </c>
      <c r="B342" s="3" t="s">
        <v>3</v>
      </c>
      <c r="C342" s="3" t="s">
        <v>6</v>
      </c>
      <c r="D342" s="4">
        <v>317073.17</v>
      </c>
    </row>
    <row r="343" spans="1:4">
      <c r="A343" s="3" t="s">
        <v>18</v>
      </c>
      <c r="B343" s="3" t="s">
        <v>3</v>
      </c>
      <c r="C343" s="3" t="s">
        <v>6</v>
      </c>
      <c r="D343" s="4">
        <v>317073.17</v>
      </c>
    </row>
    <row r="344" spans="1:4">
      <c r="A344" s="3" t="s">
        <v>18</v>
      </c>
      <c r="B344" s="3" t="s">
        <v>3</v>
      </c>
      <c r="C344" s="3" t="s">
        <v>6</v>
      </c>
      <c r="D344" s="4">
        <v>260000</v>
      </c>
    </row>
    <row r="345" spans="1:4">
      <c r="A345" s="3" t="s">
        <v>25</v>
      </c>
      <c r="B345" s="3" t="s">
        <v>4</v>
      </c>
      <c r="C345" s="3" t="s">
        <v>6</v>
      </c>
      <c r="D345" s="4">
        <v>1569228</v>
      </c>
    </row>
    <row r="346" spans="1:4">
      <c r="A346" s="3" t="s">
        <v>13</v>
      </c>
      <c r="B346" s="3" t="s">
        <v>3</v>
      </c>
      <c r="C346" s="3" t="s">
        <v>6</v>
      </c>
      <c r="D346" s="4">
        <v>150000</v>
      </c>
    </row>
    <row r="347" spans="1:4">
      <c r="A347" s="3" t="s">
        <v>24</v>
      </c>
      <c r="B347" s="3" t="s">
        <v>3</v>
      </c>
      <c r="C347" s="3" t="s">
        <v>6</v>
      </c>
      <c r="D347" s="4">
        <v>642000</v>
      </c>
    </row>
    <row r="348" spans="1:4">
      <c r="A348" s="3" t="s">
        <v>32</v>
      </c>
      <c r="B348" s="3" t="s">
        <v>4</v>
      </c>
      <c r="C348" s="3" t="s">
        <v>7</v>
      </c>
      <c r="D348" s="4">
        <v>978972</v>
      </c>
    </row>
    <row r="349" spans="1:4">
      <c r="A349" s="3" t="s">
        <v>32</v>
      </c>
      <c r="B349" s="3" t="s">
        <v>4</v>
      </c>
      <c r="C349" s="3" t="s">
        <v>6</v>
      </c>
      <c r="D349" s="4">
        <v>2801865.6</v>
      </c>
    </row>
    <row r="350" spans="1:4">
      <c r="A350" s="3" t="s">
        <v>32</v>
      </c>
      <c r="B350" s="3" t="s">
        <v>4</v>
      </c>
      <c r="C350" s="3" t="s">
        <v>10</v>
      </c>
      <c r="D350" s="4">
        <v>0</v>
      </c>
    </row>
    <row r="351" spans="1:4">
      <c r="A351" s="3" t="s">
        <v>29</v>
      </c>
      <c r="B351" s="3" t="s">
        <v>4</v>
      </c>
      <c r="C351" s="3" t="s">
        <v>6</v>
      </c>
      <c r="D351" s="4">
        <v>2688636</v>
      </c>
    </row>
    <row r="352" spans="1:4">
      <c r="A352" s="3" t="s">
        <v>28</v>
      </c>
      <c r="B352" s="3" t="s">
        <v>3</v>
      </c>
      <c r="C352" s="3" t="s">
        <v>6</v>
      </c>
      <c r="D352" s="4">
        <v>1772000</v>
      </c>
    </row>
    <row r="353" spans="1:4">
      <c r="A353" s="3" t="s">
        <v>28</v>
      </c>
      <c r="B353" s="3" t="s">
        <v>3</v>
      </c>
      <c r="C353" s="3" t="s">
        <v>6</v>
      </c>
      <c r="D353" s="4">
        <v>8892550</v>
      </c>
    </row>
    <row r="354" spans="1:4">
      <c r="A354" s="3" t="s">
        <v>28</v>
      </c>
      <c r="B354" s="3" t="s">
        <v>3</v>
      </c>
      <c r="C354" s="3" t="s">
        <v>6</v>
      </c>
      <c r="D354" s="4">
        <v>395520</v>
      </c>
    </row>
    <row r="355" spans="1:4">
      <c r="A355" s="3" t="s">
        <v>28</v>
      </c>
      <c r="B355" s="3" t="s">
        <v>3</v>
      </c>
      <c r="C355" s="3" t="s">
        <v>10</v>
      </c>
      <c r="D355" s="4">
        <v>0</v>
      </c>
    </row>
    <row r="356" spans="1:4">
      <c r="A356" s="3" t="s">
        <v>28</v>
      </c>
      <c r="B356" s="3" t="s">
        <v>3</v>
      </c>
      <c r="C356" s="3" t="s">
        <v>9</v>
      </c>
      <c r="D356" s="4">
        <v>0</v>
      </c>
    </row>
    <row r="357" spans="1:4">
      <c r="A357" s="3" t="s">
        <v>34</v>
      </c>
      <c r="B357" s="3" t="s">
        <v>3</v>
      </c>
      <c r="C357" s="3" t="s">
        <v>6</v>
      </c>
      <c r="D357" s="4">
        <v>13900</v>
      </c>
    </row>
    <row r="358" spans="1:4">
      <c r="A358" s="3" t="s">
        <v>34</v>
      </c>
      <c r="B358" s="3" t="s">
        <v>3</v>
      </c>
      <c r="C358" s="3" t="s">
        <v>6</v>
      </c>
      <c r="D358" s="4">
        <v>21600</v>
      </c>
    </row>
    <row r="359" spans="1:4">
      <c r="A359" s="3" t="s">
        <v>25</v>
      </c>
      <c r="B359" s="3" t="s">
        <v>4</v>
      </c>
      <c r="C359" s="3" t="s">
        <v>10</v>
      </c>
      <c r="D359" s="4">
        <v>0</v>
      </c>
    </row>
    <row r="360" spans="1:4">
      <c r="A360" s="3" t="s">
        <v>25</v>
      </c>
      <c r="B360" s="3" t="s">
        <v>4</v>
      </c>
      <c r="C360" s="3" t="s">
        <v>9</v>
      </c>
      <c r="D360" s="4">
        <v>0</v>
      </c>
    </row>
    <row r="361" spans="1:4">
      <c r="A361" s="3" t="s">
        <v>24</v>
      </c>
      <c r="B361" s="3" t="s">
        <v>3</v>
      </c>
      <c r="C361" s="3" t="s">
        <v>6</v>
      </c>
      <c r="D361" s="4">
        <v>10200000</v>
      </c>
    </row>
    <row r="362" spans="1:4">
      <c r="A362" s="3" t="s">
        <v>24</v>
      </c>
      <c r="B362" s="3" t="s">
        <v>3</v>
      </c>
      <c r="C362" s="3" t="s">
        <v>6</v>
      </c>
      <c r="D362" s="4">
        <v>728483.45</v>
      </c>
    </row>
    <row r="363" spans="1:4">
      <c r="A363" s="3" t="s">
        <v>24</v>
      </c>
      <c r="B363" s="3" t="s">
        <v>3</v>
      </c>
      <c r="C363" s="3" t="s">
        <v>6</v>
      </c>
      <c r="D363" s="4">
        <v>112800</v>
      </c>
    </row>
    <row r="364" spans="1:4">
      <c r="A364" s="3" t="s">
        <v>25</v>
      </c>
      <c r="B364" s="3" t="s">
        <v>3</v>
      </c>
      <c r="C364" s="3" t="s">
        <v>6</v>
      </c>
      <c r="D364" s="4">
        <v>66216</v>
      </c>
    </row>
    <row r="365" spans="1:4">
      <c r="A365" s="3" t="s">
        <v>25</v>
      </c>
      <c r="B365" s="3" t="s">
        <v>3</v>
      </c>
      <c r="C365" s="3" t="s">
        <v>6</v>
      </c>
      <c r="D365" s="4">
        <v>8754</v>
      </c>
    </row>
    <row r="366" spans="1:4">
      <c r="A366" s="3" t="s">
        <v>34</v>
      </c>
      <c r="B366" s="3" t="s">
        <v>3</v>
      </c>
      <c r="C366" s="3" t="s">
        <v>6</v>
      </c>
      <c r="D366" s="4">
        <v>109350</v>
      </c>
    </row>
    <row r="367" spans="1:4">
      <c r="A367" s="3" t="s">
        <v>29</v>
      </c>
      <c r="B367" s="3" t="s">
        <v>4</v>
      </c>
      <c r="C367" s="3" t="s">
        <v>10</v>
      </c>
      <c r="D367" s="4">
        <v>0</v>
      </c>
    </row>
    <row r="368" spans="1:4">
      <c r="A368" s="3" t="s">
        <v>29</v>
      </c>
      <c r="B368" s="3" t="s">
        <v>4</v>
      </c>
      <c r="C368" s="3" t="s">
        <v>10</v>
      </c>
      <c r="D368" s="4">
        <v>0</v>
      </c>
    </row>
    <row r="369" spans="1:4">
      <c r="A369" s="3" t="s">
        <v>29</v>
      </c>
      <c r="B369" s="3" t="s">
        <v>4</v>
      </c>
      <c r="C369" s="3" t="s">
        <v>6</v>
      </c>
      <c r="D369" s="4">
        <v>166800</v>
      </c>
    </row>
    <row r="370" spans="1:4">
      <c r="A370" s="3" t="s">
        <v>32</v>
      </c>
      <c r="B370" s="3" t="s">
        <v>4</v>
      </c>
      <c r="C370" s="3" t="s">
        <v>6</v>
      </c>
      <c r="D370" s="4">
        <v>1581600</v>
      </c>
    </row>
    <row r="371" spans="1:4">
      <c r="A371" s="3" t="s">
        <v>28</v>
      </c>
      <c r="B371" s="3" t="s">
        <v>3</v>
      </c>
      <c r="C371" s="3" t="s">
        <v>6</v>
      </c>
      <c r="D371" s="4">
        <v>369960</v>
      </c>
    </row>
    <row r="372" spans="1:4">
      <c r="A372" s="3" t="s">
        <v>28</v>
      </c>
      <c r="B372" s="3" t="s">
        <v>3</v>
      </c>
      <c r="C372" s="3" t="s">
        <v>6</v>
      </c>
      <c r="D372" s="4">
        <v>113711.51</v>
      </c>
    </row>
    <row r="373" spans="1:4">
      <c r="A373" s="3" t="s">
        <v>33</v>
      </c>
      <c r="B373" s="3" t="s">
        <v>4</v>
      </c>
      <c r="C373" s="3" t="s">
        <v>10</v>
      </c>
      <c r="D373" s="4">
        <v>0</v>
      </c>
    </row>
    <row r="374" spans="1:4">
      <c r="A374" s="3" t="s">
        <v>32</v>
      </c>
      <c r="B374" s="3" t="s">
        <v>4</v>
      </c>
      <c r="C374" s="3" t="s">
        <v>6</v>
      </c>
      <c r="D374" s="4">
        <v>600000</v>
      </c>
    </row>
    <row r="375" spans="1:4">
      <c r="A375" s="3" t="s">
        <v>25</v>
      </c>
      <c r="B375" s="3" t="s">
        <v>4</v>
      </c>
      <c r="C375" s="3" t="s">
        <v>9</v>
      </c>
      <c r="D375" s="4">
        <v>0</v>
      </c>
    </row>
    <row r="376" spans="1:4">
      <c r="A376" s="3" t="s">
        <v>25</v>
      </c>
      <c r="B376" s="3" t="s">
        <v>4</v>
      </c>
      <c r="C376" s="3" t="s">
        <v>9</v>
      </c>
      <c r="D376" s="4">
        <v>0</v>
      </c>
    </row>
    <row r="377" spans="1:4">
      <c r="A377" s="3" t="s">
        <v>23</v>
      </c>
      <c r="B377" s="3" t="s">
        <v>3</v>
      </c>
      <c r="C377" s="3" t="s">
        <v>6</v>
      </c>
      <c r="D377" s="4">
        <v>677850.68</v>
      </c>
    </row>
    <row r="378" spans="1:4">
      <c r="A378" s="3" t="s">
        <v>23</v>
      </c>
      <c r="B378" s="3" t="s">
        <v>3</v>
      </c>
      <c r="C378" s="3" t="s">
        <v>6</v>
      </c>
      <c r="D378" s="4">
        <v>1111110.72</v>
      </c>
    </row>
    <row r="379" spans="1:4">
      <c r="A379" s="3" t="s">
        <v>23</v>
      </c>
      <c r="B379" s="3" t="s">
        <v>3</v>
      </c>
      <c r="C379" s="3" t="s">
        <v>6</v>
      </c>
      <c r="D379" s="4">
        <v>101358.96</v>
      </c>
    </row>
    <row r="380" spans="1:4">
      <c r="A380" s="3" t="s">
        <v>23</v>
      </c>
      <c r="B380" s="3" t="s">
        <v>3</v>
      </c>
      <c r="C380" s="3" t="s">
        <v>6</v>
      </c>
      <c r="D380" s="4">
        <v>69549.91</v>
      </c>
    </row>
    <row r="381" spans="1:4">
      <c r="A381" s="3" t="s">
        <v>23</v>
      </c>
      <c r="B381" s="3" t="s">
        <v>3</v>
      </c>
      <c r="C381" s="3" t="s">
        <v>6</v>
      </c>
      <c r="D381" s="4">
        <v>6109952.74</v>
      </c>
    </row>
    <row r="382" spans="1:4">
      <c r="A382" s="3" t="s">
        <v>23</v>
      </c>
      <c r="B382" s="3" t="s">
        <v>3</v>
      </c>
      <c r="C382" s="3" t="s">
        <v>6</v>
      </c>
      <c r="D382" s="4">
        <v>275055</v>
      </c>
    </row>
    <row r="383" spans="1:4">
      <c r="A383" s="3" t="s">
        <v>23</v>
      </c>
      <c r="B383" s="3" t="s">
        <v>3</v>
      </c>
      <c r="C383" s="3" t="s">
        <v>6</v>
      </c>
      <c r="D383" s="4">
        <v>67722.48</v>
      </c>
    </row>
    <row r="384" spans="1:4">
      <c r="A384" s="3" t="s">
        <v>23</v>
      </c>
      <c r="B384" s="3" t="s">
        <v>3</v>
      </c>
      <c r="C384" s="3" t="s">
        <v>6</v>
      </c>
      <c r="D384" s="4">
        <v>139287.2</v>
      </c>
    </row>
    <row r="385" spans="1:4">
      <c r="A385" s="3" t="s">
        <v>25</v>
      </c>
      <c r="B385" s="3" t="s">
        <v>3</v>
      </c>
      <c r="C385" s="3" t="s">
        <v>8</v>
      </c>
      <c r="D385" s="4">
        <v>304057.2</v>
      </c>
    </row>
    <row r="386" spans="1:4">
      <c r="A386" s="3" t="s">
        <v>25</v>
      </c>
      <c r="B386" s="3" t="s">
        <v>3</v>
      </c>
      <c r="C386" s="3" t="s">
        <v>6</v>
      </c>
      <c r="D386" s="4">
        <v>240000</v>
      </c>
    </row>
    <row r="387" spans="1:4">
      <c r="A387" s="3" t="s">
        <v>13</v>
      </c>
      <c r="B387" s="3" t="s">
        <v>3</v>
      </c>
      <c r="C387" s="3" t="s">
        <v>6</v>
      </c>
      <c r="D387" s="4">
        <v>250000</v>
      </c>
    </row>
    <row r="388" spans="1:4">
      <c r="A388" s="3" t="s">
        <v>13</v>
      </c>
      <c r="B388" s="3" t="s">
        <v>3</v>
      </c>
      <c r="C388" s="3" t="s">
        <v>6</v>
      </c>
      <c r="D388" s="4">
        <v>1800000</v>
      </c>
    </row>
    <row r="389" spans="1:4">
      <c r="A389" s="3" t="s">
        <v>13</v>
      </c>
      <c r="B389" s="3" t="s">
        <v>3</v>
      </c>
      <c r="C389" s="3" t="s">
        <v>6</v>
      </c>
      <c r="D389" s="4">
        <v>1400000</v>
      </c>
    </row>
    <row r="390" spans="1:4">
      <c r="A390" s="3" t="s">
        <v>13</v>
      </c>
      <c r="B390" s="3" t="s">
        <v>3</v>
      </c>
      <c r="C390" s="3" t="s">
        <v>6</v>
      </c>
      <c r="D390" s="4">
        <v>777671.4</v>
      </c>
    </row>
    <row r="391" spans="1:4">
      <c r="A391" s="3" t="s">
        <v>24</v>
      </c>
      <c r="B391" s="3" t="s">
        <v>3</v>
      </c>
      <c r="C391" s="3" t="s">
        <v>6</v>
      </c>
      <c r="D391" s="4">
        <v>114000</v>
      </c>
    </row>
    <row r="392" spans="1:4">
      <c r="A392" s="3" t="s">
        <v>25</v>
      </c>
      <c r="B392" s="3" t="s">
        <v>3</v>
      </c>
      <c r="C392" s="3" t="s">
        <v>6</v>
      </c>
      <c r="D392" s="4">
        <v>94200</v>
      </c>
    </row>
    <row r="393" spans="1:4">
      <c r="A393" s="3" t="s">
        <v>25</v>
      </c>
      <c r="B393" s="3" t="s">
        <v>3</v>
      </c>
      <c r="C393" s="3" t="s">
        <v>6</v>
      </c>
      <c r="D393" s="4">
        <v>90000</v>
      </c>
    </row>
    <row r="394" spans="1:4">
      <c r="A394" s="3" t="s">
        <v>18</v>
      </c>
      <c r="B394" s="3" t="s">
        <v>3</v>
      </c>
      <c r="C394" s="3" t="s">
        <v>6</v>
      </c>
      <c r="D394" s="4">
        <v>156000</v>
      </c>
    </row>
    <row r="395" spans="1:4">
      <c r="A395" s="3" t="s">
        <v>29</v>
      </c>
      <c r="B395" s="3" t="s">
        <v>3</v>
      </c>
      <c r="C395" s="3" t="s">
        <v>6</v>
      </c>
      <c r="D395" s="4">
        <v>295662</v>
      </c>
    </row>
    <row r="396" spans="1:4">
      <c r="A396" s="3" t="s">
        <v>33</v>
      </c>
      <c r="B396" s="3" t="s">
        <v>4</v>
      </c>
      <c r="C396" s="3" t="s">
        <v>6</v>
      </c>
      <c r="D396" s="4">
        <v>2497800</v>
      </c>
    </row>
    <row r="397" spans="1:4">
      <c r="A397" s="3" t="s">
        <v>25</v>
      </c>
      <c r="B397" s="3" t="s">
        <v>4</v>
      </c>
      <c r="C397" s="3" t="s">
        <v>6</v>
      </c>
      <c r="D397" s="4">
        <v>238938</v>
      </c>
    </row>
    <row r="398" spans="1:4">
      <c r="A398" s="3" t="s">
        <v>25</v>
      </c>
      <c r="B398" s="3" t="s">
        <v>3</v>
      </c>
      <c r="C398" s="3" t="s">
        <v>6</v>
      </c>
      <c r="D398" s="4">
        <v>120000.32</v>
      </c>
    </row>
    <row r="399" spans="1:4">
      <c r="A399" s="3" t="s">
        <v>25</v>
      </c>
      <c r="B399" s="3" t="s">
        <v>3</v>
      </c>
      <c r="C399" s="3" t="s">
        <v>6</v>
      </c>
      <c r="D399" s="4">
        <v>458400</v>
      </c>
    </row>
    <row r="400" spans="1:4">
      <c r="A400" s="3" t="s">
        <v>28</v>
      </c>
      <c r="B400" s="3" t="s">
        <v>3</v>
      </c>
      <c r="C400" s="3" t="s">
        <v>8</v>
      </c>
      <c r="D400" s="4">
        <v>350000</v>
      </c>
    </row>
    <row r="401" spans="1:4">
      <c r="A401" s="3" t="s">
        <v>33</v>
      </c>
      <c r="B401" s="3" t="s">
        <v>4</v>
      </c>
      <c r="C401" s="3" t="s">
        <v>6</v>
      </c>
      <c r="D401" s="4">
        <v>460560</v>
      </c>
    </row>
    <row r="402" spans="1:4">
      <c r="A402" s="3" t="s">
        <v>22</v>
      </c>
      <c r="B402" s="3" t="s">
        <v>3</v>
      </c>
      <c r="C402" s="3" t="s">
        <v>6</v>
      </c>
      <c r="D402" s="4">
        <v>1241174</v>
      </c>
    </row>
    <row r="403" spans="1:4">
      <c r="A403" s="3" t="s">
        <v>22</v>
      </c>
      <c r="B403" s="3" t="s">
        <v>3</v>
      </c>
      <c r="C403" s="3" t="s">
        <v>6</v>
      </c>
      <c r="D403" s="4">
        <v>1122588</v>
      </c>
    </row>
    <row r="404" spans="1:4">
      <c r="A404" s="3" t="s">
        <v>22</v>
      </c>
      <c r="B404" s="3" t="s">
        <v>3</v>
      </c>
      <c r="C404" s="3" t="s">
        <v>6</v>
      </c>
      <c r="D404" s="4">
        <v>864000</v>
      </c>
    </row>
    <row r="405" spans="1:4">
      <c r="A405" s="3" t="s">
        <v>22</v>
      </c>
      <c r="B405" s="3" t="s">
        <v>3</v>
      </c>
      <c r="C405" s="3" t="s">
        <v>6</v>
      </c>
      <c r="D405" s="4">
        <v>2040000</v>
      </c>
    </row>
    <row r="406" spans="1:4">
      <c r="A406" s="3" t="s">
        <v>22</v>
      </c>
      <c r="B406" s="3" t="s">
        <v>3</v>
      </c>
      <c r="C406" s="3" t="s">
        <v>6</v>
      </c>
      <c r="D406" s="4">
        <v>240480</v>
      </c>
    </row>
    <row r="407" spans="1:4">
      <c r="A407" s="3" t="s">
        <v>22</v>
      </c>
      <c r="B407" s="3" t="s">
        <v>3</v>
      </c>
      <c r="C407" s="3" t="s">
        <v>7</v>
      </c>
      <c r="D407" s="4">
        <v>76464</v>
      </c>
    </row>
    <row r="408" spans="1:4">
      <c r="A408" s="3" t="s">
        <v>32</v>
      </c>
      <c r="B408" s="3" t="s">
        <v>4</v>
      </c>
      <c r="C408" s="3" t="s">
        <v>7</v>
      </c>
      <c r="D408" s="4">
        <v>0</v>
      </c>
    </row>
    <row r="409" spans="1:4">
      <c r="A409" s="3" t="s">
        <v>18</v>
      </c>
      <c r="B409" s="3" t="s">
        <v>3</v>
      </c>
      <c r="C409" s="3" t="s">
        <v>6</v>
      </c>
      <c r="D409" s="4">
        <v>84480</v>
      </c>
    </row>
    <row r="410" spans="1:4">
      <c r="A410" s="3" t="s">
        <v>18</v>
      </c>
      <c r="B410" s="3" t="s">
        <v>3</v>
      </c>
      <c r="C410" s="3" t="s">
        <v>6</v>
      </c>
      <c r="D410" s="4">
        <v>90090</v>
      </c>
    </row>
    <row r="411" spans="1:4">
      <c r="A411" s="3" t="s">
        <v>33</v>
      </c>
      <c r="B411" s="3" t="s">
        <v>3</v>
      </c>
      <c r="C411" s="3" t="s">
        <v>7</v>
      </c>
      <c r="D411" s="4">
        <v>832134</v>
      </c>
    </row>
    <row r="412" spans="1:4">
      <c r="A412" s="3" t="s">
        <v>33</v>
      </c>
      <c r="B412" s="3" t="s">
        <v>3</v>
      </c>
      <c r="C412" s="3" t="s">
        <v>10</v>
      </c>
      <c r="D412" s="4">
        <v>0</v>
      </c>
    </row>
    <row r="413" spans="1:4">
      <c r="A413" s="3" t="s">
        <v>13</v>
      </c>
      <c r="B413" s="3" t="s">
        <v>3</v>
      </c>
      <c r="C413" s="3" t="s">
        <v>6</v>
      </c>
      <c r="D413" s="4">
        <v>321020</v>
      </c>
    </row>
    <row r="414" spans="1:4">
      <c r="A414" s="3" t="s">
        <v>13</v>
      </c>
      <c r="B414" s="3" t="s">
        <v>3</v>
      </c>
      <c r="C414" s="3" t="s">
        <v>6</v>
      </c>
      <c r="D414" s="4">
        <v>321020</v>
      </c>
    </row>
    <row r="415" spans="1:4">
      <c r="A415" s="3" t="s">
        <v>13</v>
      </c>
      <c r="B415" s="3" t="s">
        <v>3</v>
      </c>
      <c r="C415" s="3" t="s">
        <v>6</v>
      </c>
      <c r="D415" s="4">
        <v>926100</v>
      </c>
    </row>
    <row r="416" spans="1:4">
      <c r="A416" s="3" t="s">
        <v>13</v>
      </c>
      <c r="B416" s="3" t="s">
        <v>3</v>
      </c>
      <c r="C416" s="3" t="s">
        <v>6</v>
      </c>
      <c r="D416" s="4">
        <v>1200000</v>
      </c>
    </row>
    <row r="417" spans="1:4">
      <c r="A417" s="3" t="s">
        <v>13</v>
      </c>
      <c r="B417" s="3" t="s">
        <v>3</v>
      </c>
      <c r="C417" s="3" t="s">
        <v>6</v>
      </c>
      <c r="D417" s="4">
        <v>1000000</v>
      </c>
    </row>
    <row r="418" spans="1:4">
      <c r="A418" s="3" t="s">
        <v>13</v>
      </c>
      <c r="B418" s="3" t="s">
        <v>3</v>
      </c>
      <c r="C418" s="3" t="s">
        <v>6</v>
      </c>
      <c r="D418" s="4">
        <v>155000000</v>
      </c>
    </row>
    <row r="419" spans="1:4">
      <c r="A419" s="3" t="s">
        <v>13</v>
      </c>
      <c r="B419" s="3" t="s">
        <v>3</v>
      </c>
      <c r="C419" s="3" t="s">
        <v>6</v>
      </c>
      <c r="D419" s="4">
        <v>250000</v>
      </c>
    </row>
    <row r="420" spans="1:4">
      <c r="A420" s="3" t="s">
        <v>18</v>
      </c>
      <c r="B420" s="3" t="s">
        <v>3</v>
      </c>
      <c r="C420" s="3" t="s">
        <v>6</v>
      </c>
      <c r="D420" s="4">
        <v>200000</v>
      </c>
    </row>
    <row r="421" spans="1:4">
      <c r="A421" s="3" t="s">
        <v>24</v>
      </c>
      <c r="B421" s="3" t="s">
        <v>3</v>
      </c>
      <c r="C421" s="3" t="s">
        <v>6</v>
      </c>
      <c r="D421" s="4">
        <v>72000</v>
      </c>
    </row>
    <row r="422" spans="1:4">
      <c r="A422" s="3" t="s">
        <v>29</v>
      </c>
      <c r="B422" s="3" t="s">
        <v>4</v>
      </c>
      <c r="C422" s="3" t="s">
        <v>10</v>
      </c>
      <c r="D422" s="4">
        <v>0</v>
      </c>
    </row>
    <row r="423" spans="1:4">
      <c r="A423" s="3" t="s">
        <v>29</v>
      </c>
      <c r="B423" s="3" t="s">
        <v>3</v>
      </c>
      <c r="C423" s="3" t="s">
        <v>6</v>
      </c>
      <c r="D423" s="4">
        <v>337110</v>
      </c>
    </row>
    <row r="424" spans="1:4">
      <c r="A424" s="3" t="s">
        <v>29</v>
      </c>
      <c r="B424" s="3" t="s">
        <v>3</v>
      </c>
      <c r="C424" s="3" t="s">
        <v>6</v>
      </c>
      <c r="D424" s="4">
        <v>1379196</v>
      </c>
    </row>
    <row r="425" spans="1:4">
      <c r="A425" s="3" t="s">
        <v>29</v>
      </c>
      <c r="B425" s="3" t="s">
        <v>3</v>
      </c>
      <c r="C425" s="3" t="s">
        <v>10</v>
      </c>
      <c r="D425" s="4">
        <v>0</v>
      </c>
    </row>
    <row r="426" spans="1:4">
      <c r="A426" s="3" t="s">
        <v>25</v>
      </c>
      <c r="B426" s="3" t="s">
        <v>4</v>
      </c>
      <c r="C426" s="3" t="s">
        <v>8</v>
      </c>
      <c r="D426" s="4">
        <v>66000</v>
      </c>
    </row>
    <row r="427" spans="1:4">
      <c r="A427" s="3" t="s">
        <v>29</v>
      </c>
      <c r="B427" s="3" t="s">
        <v>4</v>
      </c>
      <c r="C427" s="3" t="s">
        <v>7</v>
      </c>
      <c r="D427" s="4">
        <v>2017741.2</v>
      </c>
    </row>
    <row r="428" spans="1:4">
      <c r="A428" s="3" t="s">
        <v>29</v>
      </c>
      <c r="B428" s="3" t="s">
        <v>4</v>
      </c>
      <c r="C428" s="3" t="s">
        <v>10</v>
      </c>
      <c r="D428" s="4">
        <v>0</v>
      </c>
    </row>
    <row r="429" spans="1:4">
      <c r="A429" s="3" t="s">
        <v>29</v>
      </c>
      <c r="B429" s="3" t="s">
        <v>4</v>
      </c>
      <c r="C429" s="3" t="s">
        <v>10</v>
      </c>
      <c r="D429" s="4">
        <v>0</v>
      </c>
    </row>
    <row r="430" spans="1:4">
      <c r="A430" s="3" t="s">
        <v>29</v>
      </c>
      <c r="B430" s="3" t="s">
        <v>3</v>
      </c>
      <c r="C430" s="3" t="s">
        <v>7</v>
      </c>
      <c r="D430" s="4">
        <v>307526.4</v>
      </c>
    </row>
    <row r="431" spans="1:4">
      <c r="A431" s="3" t="s">
        <v>32</v>
      </c>
      <c r="B431" s="3" t="s">
        <v>4</v>
      </c>
      <c r="C431" s="3" t="s">
        <v>9</v>
      </c>
      <c r="D431" s="4">
        <v>0</v>
      </c>
    </row>
    <row r="432" spans="1:4">
      <c r="A432" s="3" t="s">
        <v>13</v>
      </c>
      <c r="B432" s="3" t="s">
        <v>3</v>
      </c>
      <c r="C432" s="3" t="s">
        <v>6</v>
      </c>
      <c r="D432" s="4">
        <v>848337.5</v>
      </c>
    </row>
    <row r="433" spans="1:4">
      <c r="A433" s="3" t="s">
        <v>13</v>
      </c>
      <c r="B433" s="3" t="s">
        <v>3</v>
      </c>
      <c r="C433" s="3" t="s">
        <v>6</v>
      </c>
      <c r="D433" s="4">
        <v>1349674.56</v>
      </c>
    </row>
    <row r="434" spans="1:4">
      <c r="A434" s="3" t="s">
        <v>13</v>
      </c>
      <c r="B434" s="3" t="s">
        <v>3</v>
      </c>
      <c r="C434" s="3" t="s">
        <v>6</v>
      </c>
      <c r="D434" s="4">
        <v>2335975.2</v>
      </c>
    </row>
    <row r="435" spans="1:4">
      <c r="A435" s="3" t="s">
        <v>13</v>
      </c>
      <c r="B435" s="3" t="s">
        <v>3</v>
      </c>
      <c r="C435" s="3" t="s">
        <v>6</v>
      </c>
      <c r="D435" s="4">
        <v>150000</v>
      </c>
    </row>
    <row r="436" spans="1:4">
      <c r="A436" s="3" t="s">
        <v>32</v>
      </c>
      <c r="B436" s="3" t="s">
        <v>4</v>
      </c>
      <c r="C436" s="3" t="s">
        <v>6</v>
      </c>
      <c r="D436" s="4">
        <v>2373651.54</v>
      </c>
    </row>
    <row r="437" spans="1:4">
      <c r="A437" s="3" t="s">
        <v>32</v>
      </c>
      <c r="B437" s="3" t="s">
        <v>3</v>
      </c>
      <c r="C437" s="3" t="s">
        <v>6</v>
      </c>
      <c r="D437" s="4">
        <v>107000</v>
      </c>
    </row>
    <row r="438" spans="1:4">
      <c r="A438" s="3" t="s">
        <v>32</v>
      </c>
      <c r="B438" s="3" t="s">
        <v>3</v>
      </c>
      <c r="C438" s="3" t="s">
        <v>6</v>
      </c>
      <c r="D438" s="4">
        <v>37800</v>
      </c>
    </row>
    <row r="439" spans="1:4">
      <c r="A439" s="3" t="s">
        <v>22</v>
      </c>
      <c r="B439" s="3" t="s">
        <v>3</v>
      </c>
      <c r="C439" s="3" t="s">
        <v>6</v>
      </c>
      <c r="D439" s="4">
        <v>130000</v>
      </c>
    </row>
    <row r="440" spans="1:4">
      <c r="A440" s="3" t="s">
        <v>22</v>
      </c>
      <c r="B440" s="3" t="s">
        <v>3</v>
      </c>
      <c r="C440" s="3" t="s">
        <v>6</v>
      </c>
      <c r="D440" s="4">
        <v>130000</v>
      </c>
    </row>
    <row r="441" spans="1:4">
      <c r="A441" s="3" t="s">
        <v>22</v>
      </c>
      <c r="B441" s="3" t="s">
        <v>3</v>
      </c>
      <c r="C441" s="3" t="s">
        <v>6</v>
      </c>
      <c r="D441" s="4">
        <v>130000</v>
      </c>
    </row>
    <row r="442" spans="1:4">
      <c r="A442" s="3" t="s">
        <v>29</v>
      </c>
      <c r="B442" s="3" t="s">
        <v>4</v>
      </c>
      <c r="C442" s="3" t="s">
        <v>7</v>
      </c>
      <c r="D442" s="4">
        <v>0</v>
      </c>
    </row>
    <row r="443" spans="1:4">
      <c r="A443" s="3" t="s">
        <v>25</v>
      </c>
      <c r="B443" s="3" t="s">
        <v>3</v>
      </c>
      <c r="C443" s="3" t="s">
        <v>6</v>
      </c>
      <c r="D443" s="4">
        <v>622864.76</v>
      </c>
    </row>
    <row r="444" spans="1:4">
      <c r="A444" s="3" t="s">
        <v>25</v>
      </c>
      <c r="B444" s="3" t="s">
        <v>3</v>
      </c>
      <c r="C444" s="3" t="s">
        <v>6</v>
      </c>
      <c r="D444" s="4">
        <v>9116.24</v>
      </c>
    </row>
    <row r="445" spans="1:4">
      <c r="A445" s="3" t="s">
        <v>25</v>
      </c>
      <c r="B445" s="3" t="s">
        <v>3</v>
      </c>
      <c r="C445" s="3" t="s">
        <v>6</v>
      </c>
      <c r="D445" s="4">
        <v>12762.72</v>
      </c>
    </row>
    <row r="446" spans="1:4">
      <c r="A446" s="3" t="s">
        <v>25</v>
      </c>
      <c r="B446" s="3" t="s">
        <v>3</v>
      </c>
      <c r="C446" s="3" t="s">
        <v>6</v>
      </c>
      <c r="D446" s="4">
        <v>1896356.04</v>
      </c>
    </row>
    <row r="447" spans="1:4">
      <c r="A447" s="3" t="s">
        <v>25</v>
      </c>
      <c r="B447" s="3" t="s">
        <v>3</v>
      </c>
      <c r="C447" s="3" t="s">
        <v>6</v>
      </c>
      <c r="D447" s="4">
        <v>190540.92</v>
      </c>
    </row>
    <row r="448" spans="1:4">
      <c r="A448" s="3" t="s">
        <v>25</v>
      </c>
      <c r="B448" s="3" t="s">
        <v>3</v>
      </c>
      <c r="C448" s="3" t="s">
        <v>6</v>
      </c>
      <c r="D448" s="4">
        <v>144079.24</v>
      </c>
    </row>
    <row r="449" spans="1:4">
      <c r="A449" s="3" t="s">
        <v>25</v>
      </c>
      <c r="B449" s="3" t="s">
        <v>3</v>
      </c>
      <c r="C449" s="3" t="s">
        <v>6</v>
      </c>
      <c r="D449" s="4">
        <v>25525.52</v>
      </c>
    </row>
    <row r="450" spans="1:4">
      <c r="A450" s="3" t="s">
        <v>25</v>
      </c>
      <c r="B450" s="3" t="s">
        <v>3</v>
      </c>
      <c r="C450" s="3" t="s">
        <v>6</v>
      </c>
      <c r="D450" s="4">
        <v>25525.52</v>
      </c>
    </row>
    <row r="451" spans="1:4">
      <c r="A451" s="3" t="s">
        <v>25</v>
      </c>
      <c r="B451" s="3" t="s">
        <v>3</v>
      </c>
      <c r="C451" s="3" t="s">
        <v>6</v>
      </c>
      <c r="D451" s="4">
        <v>88245</v>
      </c>
    </row>
    <row r="452" spans="1:4">
      <c r="A452" s="3" t="s">
        <v>25</v>
      </c>
      <c r="B452" s="3" t="s">
        <v>3</v>
      </c>
      <c r="C452" s="3" t="s">
        <v>6</v>
      </c>
      <c r="D452" s="4">
        <v>265585.04</v>
      </c>
    </row>
    <row r="453" spans="1:4">
      <c r="A453" s="3" t="s">
        <v>25</v>
      </c>
      <c r="B453" s="3" t="s">
        <v>3</v>
      </c>
      <c r="C453" s="3" t="s">
        <v>6</v>
      </c>
      <c r="D453" s="4">
        <v>135907.6</v>
      </c>
    </row>
    <row r="454" spans="1:4">
      <c r="A454" s="3" t="s">
        <v>25</v>
      </c>
      <c r="B454" s="3" t="s">
        <v>3</v>
      </c>
      <c r="C454" s="3" t="s">
        <v>6</v>
      </c>
      <c r="D454" s="4">
        <v>1863740.64</v>
      </c>
    </row>
    <row r="455" spans="1:4">
      <c r="A455" s="3" t="s">
        <v>25</v>
      </c>
      <c r="B455" s="3" t="s">
        <v>3</v>
      </c>
      <c r="C455" s="3" t="s">
        <v>6</v>
      </c>
      <c r="D455" s="4">
        <v>1553117.28</v>
      </c>
    </row>
    <row r="456" spans="1:4">
      <c r="A456" s="3" t="s">
        <v>25</v>
      </c>
      <c r="B456" s="3" t="s">
        <v>3</v>
      </c>
      <c r="C456" s="3" t="s">
        <v>6</v>
      </c>
      <c r="D456" s="4">
        <v>1588415.4</v>
      </c>
    </row>
    <row r="457" spans="1:4">
      <c r="A457" s="3" t="s">
        <v>25</v>
      </c>
      <c r="B457" s="3" t="s">
        <v>3</v>
      </c>
      <c r="C457" s="3" t="s">
        <v>6</v>
      </c>
      <c r="D457" s="4">
        <v>529471.8</v>
      </c>
    </row>
    <row r="458" spans="1:4">
      <c r="A458" s="3" t="s">
        <v>25</v>
      </c>
      <c r="B458" s="3" t="s">
        <v>3</v>
      </c>
      <c r="C458" s="3" t="s">
        <v>6</v>
      </c>
      <c r="D458" s="4">
        <v>641784</v>
      </c>
    </row>
    <row r="459" spans="1:4">
      <c r="A459" s="3" t="s">
        <v>25</v>
      </c>
      <c r="B459" s="3" t="s">
        <v>3</v>
      </c>
      <c r="C459" s="3" t="s">
        <v>6</v>
      </c>
      <c r="D459" s="4">
        <v>260724.72</v>
      </c>
    </row>
    <row r="460" spans="1:4">
      <c r="A460" s="3" t="s">
        <v>25</v>
      </c>
      <c r="B460" s="3" t="s">
        <v>3</v>
      </c>
      <c r="C460" s="3" t="s">
        <v>6</v>
      </c>
      <c r="D460" s="4">
        <v>260724.72</v>
      </c>
    </row>
    <row r="461" spans="1:4">
      <c r="A461" s="3" t="s">
        <v>25</v>
      </c>
      <c r="B461" s="3" t="s">
        <v>3</v>
      </c>
      <c r="C461" s="3" t="s">
        <v>6</v>
      </c>
      <c r="D461" s="4">
        <v>521449.44</v>
      </c>
    </row>
    <row r="462" spans="1:4">
      <c r="A462" s="3" t="s">
        <v>25</v>
      </c>
      <c r="B462" s="3" t="s">
        <v>3</v>
      </c>
      <c r="C462" s="3" t="s">
        <v>6</v>
      </c>
      <c r="D462" s="4">
        <v>521449.44</v>
      </c>
    </row>
    <row r="463" spans="1:4">
      <c r="A463" s="3" t="s">
        <v>25</v>
      </c>
      <c r="B463" s="3" t="s">
        <v>3</v>
      </c>
      <c r="C463" s="3" t="s">
        <v>6</v>
      </c>
      <c r="D463" s="4">
        <v>521449.44</v>
      </c>
    </row>
    <row r="464" spans="1:4">
      <c r="A464" s="3" t="s">
        <v>25</v>
      </c>
      <c r="B464" s="3" t="s">
        <v>3</v>
      </c>
      <c r="C464" s="3" t="s">
        <v>6</v>
      </c>
      <c r="D464" s="4">
        <v>75219.96</v>
      </c>
    </row>
    <row r="465" spans="1:4">
      <c r="A465" s="3" t="s">
        <v>25</v>
      </c>
      <c r="B465" s="3" t="s">
        <v>3</v>
      </c>
      <c r="C465" s="3" t="s">
        <v>6</v>
      </c>
      <c r="D465" s="4">
        <v>38579.88</v>
      </c>
    </row>
    <row r="466" spans="1:4">
      <c r="A466" s="3" t="s">
        <v>25</v>
      </c>
      <c r="B466" s="3" t="s">
        <v>3</v>
      </c>
      <c r="C466" s="3" t="s">
        <v>6</v>
      </c>
      <c r="D466" s="4">
        <v>319440</v>
      </c>
    </row>
    <row r="467" spans="1:4">
      <c r="A467" s="3" t="s">
        <v>25</v>
      </c>
      <c r="B467" s="3" t="s">
        <v>3</v>
      </c>
      <c r="C467" s="3" t="s">
        <v>6</v>
      </c>
      <c r="D467" s="4">
        <v>154608.96</v>
      </c>
    </row>
    <row r="468" spans="1:4">
      <c r="A468" s="3" t="s">
        <v>25</v>
      </c>
      <c r="B468" s="3" t="s">
        <v>3</v>
      </c>
      <c r="C468" s="3" t="s">
        <v>6</v>
      </c>
      <c r="D468" s="4">
        <v>92400</v>
      </c>
    </row>
    <row r="469" spans="1:4">
      <c r="A469" s="3" t="s">
        <v>25</v>
      </c>
      <c r="B469" s="3" t="s">
        <v>3</v>
      </c>
      <c r="C469" s="3" t="s">
        <v>6</v>
      </c>
      <c r="D469" s="4">
        <v>290400</v>
      </c>
    </row>
    <row r="470" spans="1:4">
      <c r="A470" s="3" t="s">
        <v>25</v>
      </c>
      <c r="B470" s="3" t="s">
        <v>3</v>
      </c>
      <c r="C470" s="3" t="s">
        <v>6</v>
      </c>
      <c r="D470" s="4">
        <v>303600</v>
      </c>
    </row>
    <row r="471" spans="1:4">
      <c r="A471" s="3" t="s">
        <v>25</v>
      </c>
      <c r="B471" s="3" t="s">
        <v>3</v>
      </c>
      <c r="C471" s="3" t="s">
        <v>6</v>
      </c>
      <c r="D471" s="4">
        <v>288802.8</v>
      </c>
    </row>
    <row r="472" spans="1:4">
      <c r="A472" s="3" t="s">
        <v>25</v>
      </c>
      <c r="B472" s="3" t="s">
        <v>3</v>
      </c>
      <c r="C472" s="3" t="s">
        <v>6</v>
      </c>
      <c r="D472" s="4">
        <v>406560</v>
      </c>
    </row>
    <row r="473" spans="1:4">
      <c r="A473" s="3" t="s">
        <v>25</v>
      </c>
      <c r="B473" s="3" t="s">
        <v>3</v>
      </c>
      <c r="C473" s="3" t="s">
        <v>6</v>
      </c>
      <c r="D473" s="4">
        <v>58564</v>
      </c>
    </row>
    <row r="474" spans="1:4">
      <c r="A474" s="3" t="s">
        <v>25</v>
      </c>
      <c r="B474" s="3" t="s">
        <v>3</v>
      </c>
      <c r="C474" s="3" t="s">
        <v>6</v>
      </c>
      <c r="D474" s="4">
        <v>7343586.84</v>
      </c>
    </row>
    <row r="475" spans="1:4">
      <c r="A475" s="3" t="s">
        <v>25</v>
      </c>
      <c r="B475" s="3" t="s">
        <v>3</v>
      </c>
      <c r="C475" s="3" t="s">
        <v>6</v>
      </c>
      <c r="D475" s="4">
        <v>1449692.4</v>
      </c>
    </row>
    <row r="476" spans="1:4">
      <c r="A476" s="3" t="s">
        <v>25</v>
      </c>
      <c r="B476" s="3" t="s">
        <v>3</v>
      </c>
      <c r="C476" s="3" t="s">
        <v>6</v>
      </c>
      <c r="D476" s="4">
        <v>2940732</v>
      </c>
    </row>
    <row r="477" spans="1:4">
      <c r="A477" s="3" t="s">
        <v>25</v>
      </c>
      <c r="B477" s="3" t="s">
        <v>3</v>
      </c>
      <c r="C477" s="3" t="s">
        <v>6</v>
      </c>
      <c r="D477" s="4">
        <v>686565</v>
      </c>
    </row>
    <row r="478" spans="1:4">
      <c r="A478" s="3" t="s">
        <v>25</v>
      </c>
      <c r="B478" s="3" t="s">
        <v>3</v>
      </c>
      <c r="C478" s="3" t="s">
        <v>6</v>
      </c>
      <c r="D478" s="4">
        <v>867981.07</v>
      </c>
    </row>
    <row r="479" spans="1:4">
      <c r="A479" s="3" t="s">
        <v>25</v>
      </c>
      <c r="B479" s="3" t="s">
        <v>3</v>
      </c>
      <c r="C479" s="3" t="s">
        <v>6</v>
      </c>
      <c r="D479" s="4">
        <v>399672</v>
      </c>
    </row>
    <row r="480" spans="1:4">
      <c r="A480" s="3" t="s">
        <v>25</v>
      </c>
      <c r="B480" s="3" t="s">
        <v>3</v>
      </c>
      <c r="C480" s="3" t="s">
        <v>6</v>
      </c>
      <c r="D480" s="4">
        <v>3470365.98</v>
      </c>
    </row>
    <row r="481" spans="1:4">
      <c r="A481" s="3" t="s">
        <v>25</v>
      </c>
      <c r="B481" s="3" t="s">
        <v>3</v>
      </c>
      <c r="C481" s="3" t="s">
        <v>6</v>
      </c>
      <c r="D481" s="4">
        <v>41205482</v>
      </c>
    </row>
    <row r="482" spans="1:4">
      <c r="A482" s="3" t="s">
        <v>25</v>
      </c>
      <c r="B482" s="3" t="s">
        <v>3</v>
      </c>
      <c r="C482" s="3" t="s">
        <v>6</v>
      </c>
      <c r="D482" s="4">
        <v>180096</v>
      </c>
    </row>
    <row r="483" spans="1:4">
      <c r="A483" s="3" t="s">
        <v>25</v>
      </c>
      <c r="B483" s="3" t="s">
        <v>3</v>
      </c>
      <c r="C483" s="3" t="s">
        <v>6</v>
      </c>
      <c r="D483" s="4">
        <v>9780100</v>
      </c>
    </row>
    <row r="484" spans="1:4">
      <c r="A484" s="3" t="s">
        <v>25</v>
      </c>
      <c r="B484" s="3" t="s">
        <v>3</v>
      </c>
      <c r="C484" s="3" t="s">
        <v>6</v>
      </c>
      <c r="D484" s="4">
        <v>400000</v>
      </c>
    </row>
    <row r="485" spans="1:4">
      <c r="A485" s="3" t="s">
        <v>25</v>
      </c>
      <c r="B485" s="3" t="s">
        <v>3</v>
      </c>
      <c r="C485" s="3" t="s">
        <v>6</v>
      </c>
      <c r="D485" s="4">
        <v>1100000</v>
      </c>
    </row>
    <row r="486" spans="1:4">
      <c r="A486" s="3" t="s">
        <v>25</v>
      </c>
      <c r="B486" s="3" t="s">
        <v>3</v>
      </c>
      <c r="C486" s="3" t="s">
        <v>6</v>
      </c>
      <c r="D486" s="4">
        <v>1200000</v>
      </c>
    </row>
    <row r="487" spans="1:4">
      <c r="A487" s="3" t="s">
        <v>25</v>
      </c>
      <c r="B487" s="3" t="s">
        <v>3</v>
      </c>
      <c r="C487" s="3" t="s">
        <v>6</v>
      </c>
      <c r="D487" s="4">
        <v>318</v>
      </c>
    </row>
    <row r="488" spans="1:4">
      <c r="A488" s="3" t="s">
        <v>25</v>
      </c>
      <c r="B488" s="3" t="s">
        <v>3</v>
      </c>
      <c r="C488" s="3" t="s">
        <v>6</v>
      </c>
      <c r="D488" s="4">
        <v>5000000</v>
      </c>
    </row>
    <row r="489" spans="1:4">
      <c r="A489" s="3" t="s">
        <v>25</v>
      </c>
      <c r="B489" s="3" t="s">
        <v>3</v>
      </c>
      <c r="C489" s="3" t="s">
        <v>6</v>
      </c>
      <c r="D489" s="4">
        <v>70000</v>
      </c>
    </row>
    <row r="490" spans="1:4">
      <c r="A490" s="3" t="s">
        <v>25</v>
      </c>
      <c r="B490" s="3" t="s">
        <v>3</v>
      </c>
      <c r="C490" s="3" t="s">
        <v>6</v>
      </c>
      <c r="D490" s="4">
        <v>5000</v>
      </c>
    </row>
    <row r="491" spans="1:4">
      <c r="A491" s="3" t="s">
        <v>25</v>
      </c>
      <c r="B491" s="3" t="s">
        <v>3</v>
      </c>
      <c r="C491" s="3" t="s">
        <v>6</v>
      </c>
      <c r="D491" s="4">
        <v>4000000</v>
      </c>
    </row>
    <row r="492" spans="1:4">
      <c r="A492" s="3" t="s">
        <v>25</v>
      </c>
      <c r="B492" s="3" t="s">
        <v>3</v>
      </c>
      <c r="C492" s="3" t="s">
        <v>6</v>
      </c>
      <c r="D492" s="4">
        <v>900000</v>
      </c>
    </row>
    <row r="493" spans="1:4">
      <c r="A493" s="3" t="s">
        <v>25</v>
      </c>
      <c r="B493" s="3" t="s">
        <v>3</v>
      </c>
      <c r="C493" s="3" t="s">
        <v>6</v>
      </c>
      <c r="D493" s="4">
        <v>51000</v>
      </c>
    </row>
    <row r="494" spans="1:4">
      <c r="A494" s="3" t="s">
        <v>25</v>
      </c>
      <c r="B494" s="3" t="s">
        <v>3</v>
      </c>
      <c r="C494" s="3" t="s">
        <v>6</v>
      </c>
      <c r="D494" s="4">
        <v>2934182.63</v>
      </c>
    </row>
    <row r="495" spans="1:4">
      <c r="A495" s="3" t="s">
        <v>25</v>
      </c>
      <c r="B495" s="3" t="s">
        <v>3</v>
      </c>
      <c r="C495" s="3" t="s">
        <v>6</v>
      </c>
      <c r="D495" s="4">
        <v>6602511.15</v>
      </c>
    </row>
    <row r="496" spans="1:4">
      <c r="A496" s="3" t="s">
        <v>25</v>
      </c>
      <c r="B496" s="3" t="s">
        <v>3</v>
      </c>
      <c r="C496" s="3" t="s">
        <v>6</v>
      </c>
      <c r="D496" s="4">
        <v>3806571</v>
      </c>
    </row>
    <row r="497" spans="1:4">
      <c r="A497" s="3" t="s">
        <v>25</v>
      </c>
      <c r="B497" s="3" t="s">
        <v>3</v>
      </c>
      <c r="C497" s="3" t="s">
        <v>6</v>
      </c>
      <c r="D497" s="4">
        <v>550000</v>
      </c>
    </row>
    <row r="498" spans="1:4">
      <c r="A498" s="3" t="s">
        <v>25</v>
      </c>
      <c r="B498" s="3" t="s">
        <v>3</v>
      </c>
      <c r="C498" s="3" t="s">
        <v>6</v>
      </c>
      <c r="D498" s="4">
        <v>1119028</v>
      </c>
    </row>
    <row r="499" spans="1:4">
      <c r="A499" s="3" t="s">
        <v>27</v>
      </c>
      <c r="B499" s="3" t="s">
        <v>3</v>
      </c>
      <c r="C499" s="3" t="s">
        <v>6</v>
      </c>
      <c r="D499" s="4">
        <v>85714.32</v>
      </c>
    </row>
    <row r="500" spans="1:4">
      <c r="A500" s="3" t="s">
        <v>27</v>
      </c>
      <c r="B500" s="3" t="s">
        <v>3</v>
      </c>
      <c r="C500" s="3" t="s">
        <v>6</v>
      </c>
      <c r="D500" s="4">
        <v>171428.57</v>
      </c>
    </row>
    <row r="501" spans="1:4">
      <c r="A501" s="3" t="s">
        <v>27</v>
      </c>
      <c r="B501" s="3" t="s">
        <v>3</v>
      </c>
      <c r="C501" s="3" t="s">
        <v>6</v>
      </c>
      <c r="D501" s="4">
        <v>171428.57</v>
      </c>
    </row>
    <row r="502" spans="1:4">
      <c r="A502" s="3" t="s">
        <v>27</v>
      </c>
      <c r="B502" s="3" t="s">
        <v>3</v>
      </c>
      <c r="C502" s="3" t="s">
        <v>6</v>
      </c>
      <c r="D502" s="4">
        <v>171428.57</v>
      </c>
    </row>
    <row r="503" spans="1:4">
      <c r="A503" s="3" t="s">
        <v>27</v>
      </c>
      <c r="B503" s="3" t="s">
        <v>3</v>
      </c>
      <c r="C503" s="3" t="s">
        <v>6</v>
      </c>
      <c r="D503" s="4">
        <v>183680</v>
      </c>
    </row>
    <row r="504" spans="1:4">
      <c r="A504" s="3" t="s">
        <v>27</v>
      </c>
      <c r="B504" s="3" t="s">
        <v>3</v>
      </c>
      <c r="C504" s="3" t="s">
        <v>6</v>
      </c>
      <c r="D504" s="4">
        <v>127666.67</v>
      </c>
    </row>
    <row r="505" spans="1:4">
      <c r="A505" s="3" t="s">
        <v>24</v>
      </c>
      <c r="B505" s="3" t="s">
        <v>3</v>
      </c>
      <c r="C505" s="3" t="s">
        <v>6</v>
      </c>
      <c r="D505" s="4">
        <v>1560000</v>
      </c>
    </row>
    <row r="506" spans="1:4">
      <c r="A506" s="3" t="s">
        <v>28</v>
      </c>
      <c r="B506" s="3" t="s">
        <v>3</v>
      </c>
      <c r="C506" s="3" t="s">
        <v>6</v>
      </c>
      <c r="D506" s="4">
        <v>250000</v>
      </c>
    </row>
    <row r="507" spans="1:4">
      <c r="A507" s="3" t="s">
        <v>13</v>
      </c>
      <c r="B507" s="3" t="s">
        <v>3</v>
      </c>
      <c r="C507" s="3" t="s">
        <v>6</v>
      </c>
      <c r="D507" s="4">
        <v>1427180</v>
      </c>
    </row>
    <row r="508" spans="1:4">
      <c r="A508" s="3" t="s">
        <v>13</v>
      </c>
      <c r="B508" s="3" t="s">
        <v>3</v>
      </c>
      <c r="C508" s="3" t="s">
        <v>6</v>
      </c>
      <c r="D508" s="4">
        <v>414064</v>
      </c>
    </row>
    <row r="509" spans="1:4">
      <c r="A509" s="3" t="s">
        <v>13</v>
      </c>
      <c r="B509" s="3" t="s">
        <v>3</v>
      </c>
      <c r="C509" s="3" t="s">
        <v>6</v>
      </c>
      <c r="D509" s="4">
        <v>96190</v>
      </c>
    </row>
    <row r="510" spans="1:4">
      <c r="A510" s="3" t="s">
        <v>29</v>
      </c>
      <c r="B510" s="3" t="s">
        <v>3</v>
      </c>
      <c r="C510" s="3" t="s">
        <v>6</v>
      </c>
      <c r="D510" s="4">
        <v>439980</v>
      </c>
    </row>
    <row r="511" spans="1:4">
      <c r="A511" s="3" t="s">
        <v>29</v>
      </c>
      <c r="B511" s="3" t="s">
        <v>3</v>
      </c>
      <c r="C511" s="3" t="s">
        <v>6</v>
      </c>
      <c r="D511" s="4">
        <v>339840</v>
      </c>
    </row>
    <row r="512" spans="1:4">
      <c r="A512" s="3" t="s">
        <v>29</v>
      </c>
      <c r="B512" s="3" t="s">
        <v>3</v>
      </c>
      <c r="C512" s="3" t="s">
        <v>6</v>
      </c>
      <c r="D512" s="4">
        <v>137664</v>
      </c>
    </row>
    <row r="513" spans="1:4">
      <c r="A513" s="3" t="s">
        <v>29</v>
      </c>
      <c r="B513" s="3" t="s">
        <v>3</v>
      </c>
      <c r="C513" s="3" t="s">
        <v>6</v>
      </c>
      <c r="D513" s="4">
        <v>1644442.8</v>
      </c>
    </row>
    <row r="514" spans="1:4">
      <c r="A514" s="3" t="s">
        <v>20</v>
      </c>
      <c r="B514" s="3" t="s">
        <v>3</v>
      </c>
      <c r="C514" s="3" t="s">
        <v>6</v>
      </c>
      <c r="D514" s="4">
        <v>576000</v>
      </c>
    </row>
    <row r="515" spans="1:4">
      <c r="A515" s="3" t="s">
        <v>16</v>
      </c>
      <c r="B515" s="3" t="s">
        <v>3</v>
      </c>
      <c r="C515" s="3" t="s">
        <v>6</v>
      </c>
      <c r="D515" s="4">
        <v>118500</v>
      </c>
    </row>
    <row r="516" spans="1:4">
      <c r="A516" s="3" t="s">
        <v>16</v>
      </c>
      <c r="B516" s="3" t="s">
        <v>3</v>
      </c>
      <c r="C516" s="3" t="s">
        <v>6</v>
      </c>
      <c r="D516" s="4">
        <v>100000</v>
      </c>
    </row>
    <row r="517" spans="1:4">
      <c r="A517" s="3" t="s">
        <v>16</v>
      </c>
      <c r="B517" s="3" t="s">
        <v>3</v>
      </c>
      <c r="C517" s="3" t="s">
        <v>6</v>
      </c>
      <c r="D517" s="4">
        <v>100000</v>
      </c>
    </row>
    <row r="518" spans="1:4">
      <c r="A518" s="3" t="s">
        <v>32</v>
      </c>
      <c r="B518" s="3" t="s">
        <v>3</v>
      </c>
      <c r="C518" s="3" t="s">
        <v>6</v>
      </c>
      <c r="D518" s="4">
        <v>3000000</v>
      </c>
    </row>
    <row r="519" spans="1:4">
      <c r="A519" s="3" t="s">
        <v>32</v>
      </c>
      <c r="B519" s="3" t="s">
        <v>3</v>
      </c>
      <c r="C519" s="3" t="s">
        <v>6</v>
      </c>
      <c r="D519" s="4">
        <v>2340000</v>
      </c>
    </row>
    <row r="520" spans="1:4">
      <c r="A520" s="3" t="s">
        <v>32</v>
      </c>
      <c r="B520" s="3" t="s">
        <v>3</v>
      </c>
      <c r="C520" s="3" t="s">
        <v>6</v>
      </c>
      <c r="D520" s="4">
        <v>18960000</v>
      </c>
    </row>
    <row r="521" spans="1:4">
      <c r="A521" s="3" t="s">
        <v>32</v>
      </c>
      <c r="B521" s="3" t="s">
        <v>3</v>
      </c>
      <c r="C521" s="3" t="s">
        <v>6</v>
      </c>
      <c r="D521" s="4">
        <v>66430944.36</v>
      </c>
    </row>
    <row r="522" spans="1:4">
      <c r="A522" s="3" t="s">
        <v>32</v>
      </c>
      <c r="B522" s="3" t="s">
        <v>3</v>
      </c>
      <c r="C522" s="3" t="s">
        <v>6</v>
      </c>
      <c r="D522" s="4">
        <v>1950000</v>
      </c>
    </row>
    <row r="523" spans="1:4">
      <c r="A523" s="3" t="s">
        <v>32</v>
      </c>
      <c r="B523" s="3" t="s">
        <v>3</v>
      </c>
      <c r="C523" s="3" t="s">
        <v>6</v>
      </c>
      <c r="D523" s="4">
        <v>1805904</v>
      </c>
    </row>
    <row r="524" spans="1:4">
      <c r="A524" s="3" t="s">
        <v>32</v>
      </c>
      <c r="B524" s="3" t="s">
        <v>3</v>
      </c>
      <c r="C524" s="3" t="s">
        <v>6</v>
      </c>
      <c r="D524" s="4">
        <v>11163484.99</v>
      </c>
    </row>
    <row r="525" spans="1:4">
      <c r="A525" s="3" t="s">
        <v>32</v>
      </c>
      <c r="B525" s="3" t="s">
        <v>3</v>
      </c>
      <c r="C525" s="3" t="s">
        <v>6</v>
      </c>
      <c r="D525" s="4">
        <v>180000</v>
      </c>
    </row>
    <row r="526" spans="1:4">
      <c r="A526" s="3" t="s">
        <v>32</v>
      </c>
      <c r="B526" s="3" t="s">
        <v>3</v>
      </c>
      <c r="C526" s="3" t="s">
        <v>6</v>
      </c>
      <c r="D526" s="4">
        <v>919800</v>
      </c>
    </row>
    <row r="527" spans="1:4">
      <c r="A527" s="3" t="s">
        <v>32</v>
      </c>
      <c r="B527" s="3" t="s">
        <v>3</v>
      </c>
      <c r="C527" s="3" t="s">
        <v>6</v>
      </c>
      <c r="D527" s="4">
        <v>318960</v>
      </c>
    </row>
    <row r="528" spans="1:4">
      <c r="A528" s="3" t="s">
        <v>32</v>
      </c>
      <c r="B528" s="3" t="s">
        <v>3</v>
      </c>
      <c r="C528" s="3" t="s">
        <v>6</v>
      </c>
      <c r="D528" s="4">
        <v>838800</v>
      </c>
    </row>
    <row r="529" spans="1:4">
      <c r="A529" s="3" t="s">
        <v>29</v>
      </c>
      <c r="B529" s="3" t="s">
        <v>3</v>
      </c>
      <c r="C529" s="3" t="s">
        <v>6</v>
      </c>
      <c r="D529" s="4">
        <v>375420</v>
      </c>
    </row>
    <row r="530" spans="1:4">
      <c r="A530" s="3" t="s">
        <v>29</v>
      </c>
      <c r="B530" s="3" t="s">
        <v>3</v>
      </c>
      <c r="C530" s="3" t="s">
        <v>6</v>
      </c>
      <c r="D530" s="4">
        <v>240000</v>
      </c>
    </row>
    <row r="531" spans="1:4">
      <c r="A531" s="3" t="s">
        <v>29</v>
      </c>
      <c r="B531" s="3" t="s">
        <v>3</v>
      </c>
      <c r="C531" s="3" t="s">
        <v>6</v>
      </c>
      <c r="D531" s="4">
        <v>516000</v>
      </c>
    </row>
    <row r="532" spans="1:4">
      <c r="A532" s="3" t="s">
        <v>29</v>
      </c>
      <c r="B532" s="3" t="s">
        <v>3</v>
      </c>
      <c r="C532" s="3" t="s">
        <v>6</v>
      </c>
      <c r="D532" s="4">
        <v>1365699.46</v>
      </c>
    </row>
    <row r="533" spans="1:4">
      <c r="A533" s="3" t="s">
        <v>29</v>
      </c>
      <c r="B533" s="3" t="s">
        <v>3</v>
      </c>
      <c r="C533" s="3" t="s">
        <v>6</v>
      </c>
      <c r="D533" s="4">
        <v>494628</v>
      </c>
    </row>
    <row r="534" spans="1:4">
      <c r="A534" s="3" t="s">
        <v>29</v>
      </c>
      <c r="B534" s="3" t="s">
        <v>4</v>
      </c>
      <c r="C534" s="3" t="s">
        <v>10</v>
      </c>
      <c r="D534" s="4">
        <v>0</v>
      </c>
    </row>
    <row r="535" spans="1:4">
      <c r="A535" s="3" t="s">
        <v>14</v>
      </c>
      <c r="B535" s="3" t="s">
        <v>3</v>
      </c>
      <c r="C535" s="3" t="s">
        <v>6</v>
      </c>
      <c r="D535" s="4">
        <v>45000</v>
      </c>
    </row>
    <row r="536" spans="1:4">
      <c r="A536" s="3" t="s">
        <v>14</v>
      </c>
      <c r="B536" s="3" t="s">
        <v>3</v>
      </c>
      <c r="C536" s="3" t="s">
        <v>6</v>
      </c>
      <c r="D536" s="4">
        <v>96000</v>
      </c>
    </row>
    <row r="537" spans="1:4">
      <c r="A537" s="3" t="s">
        <v>22</v>
      </c>
      <c r="B537" s="3" t="s">
        <v>3</v>
      </c>
      <c r="C537" s="3" t="s">
        <v>6</v>
      </c>
      <c r="D537" s="4">
        <v>360000</v>
      </c>
    </row>
    <row r="538" spans="1:4">
      <c r="A538" s="3" t="s">
        <v>22</v>
      </c>
      <c r="B538" s="3" t="s">
        <v>3</v>
      </c>
      <c r="C538" s="3" t="s">
        <v>6</v>
      </c>
      <c r="D538" s="4">
        <v>437638.83</v>
      </c>
    </row>
    <row r="539" spans="1:4">
      <c r="A539" s="3" t="s">
        <v>24</v>
      </c>
      <c r="B539" s="3" t="s">
        <v>3</v>
      </c>
      <c r="C539" s="3" t="s">
        <v>6</v>
      </c>
      <c r="D539" s="4">
        <v>1080000</v>
      </c>
    </row>
    <row r="540" spans="1:4">
      <c r="A540" s="3" t="s">
        <v>14</v>
      </c>
      <c r="B540" s="3" t="s">
        <v>3</v>
      </c>
      <c r="C540" s="3" t="s">
        <v>6</v>
      </c>
      <c r="D540" s="4">
        <v>70000</v>
      </c>
    </row>
    <row r="541" spans="1:4">
      <c r="A541" s="3" t="s">
        <v>14</v>
      </c>
      <c r="B541" s="3" t="s">
        <v>3</v>
      </c>
      <c r="C541" s="3" t="s">
        <v>6</v>
      </c>
      <c r="D541" s="4">
        <v>80000</v>
      </c>
    </row>
    <row r="542" spans="1:4">
      <c r="A542" s="3" t="s">
        <v>14</v>
      </c>
      <c r="B542" s="3" t="s">
        <v>3</v>
      </c>
      <c r="C542" s="3" t="s">
        <v>6</v>
      </c>
      <c r="D542" s="4">
        <v>70000</v>
      </c>
    </row>
    <row r="543" spans="1:4">
      <c r="A543" s="3" t="s">
        <v>14</v>
      </c>
      <c r="B543" s="3" t="s">
        <v>3</v>
      </c>
      <c r="C543" s="3" t="s">
        <v>6</v>
      </c>
      <c r="D543" s="4">
        <v>70000</v>
      </c>
    </row>
    <row r="544" spans="1:4">
      <c r="A544" s="3" t="s">
        <v>25</v>
      </c>
      <c r="B544" s="3" t="s">
        <v>3</v>
      </c>
      <c r="C544" s="3" t="s">
        <v>9</v>
      </c>
      <c r="D544" s="4">
        <v>0</v>
      </c>
    </row>
    <row r="545" spans="1:4">
      <c r="A545" s="3" t="s">
        <v>32</v>
      </c>
      <c r="B545" s="3" t="s">
        <v>4</v>
      </c>
      <c r="C545" s="3" t="s">
        <v>7</v>
      </c>
      <c r="D545" s="4">
        <v>0</v>
      </c>
    </row>
    <row r="546" spans="1:4">
      <c r="A546" s="3" t="s">
        <v>19</v>
      </c>
      <c r="B546" s="3" t="s">
        <v>3</v>
      </c>
      <c r="C546" s="3" t="s">
        <v>6</v>
      </c>
      <c r="D546" s="4">
        <v>318240</v>
      </c>
    </row>
    <row r="547" spans="1:4">
      <c r="A547" s="3" t="s">
        <v>33</v>
      </c>
      <c r="B547" s="3" t="s">
        <v>4</v>
      </c>
      <c r="C547" s="3" t="s">
        <v>10</v>
      </c>
      <c r="D547" s="4">
        <v>0</v>
      </c>
    </row>
    <row r="548" spans="1:4">
      <c r="A548" s="3" t="s">
        <v>29</v>
      </c>
      <c r="B548" s="3" t="s">
        <v>4</v>
      </c>
      <c r="C548" s="3" t="s">
        <v>10</v>
      </c>
      <c r="D548" s="4">
        <v>0</v>
      </c>
    </row>
    <row r="549" spans="1:4">
      <c r="A549" s="3" t="s">
        <v>29</v>
      </c>
      <c r="B549" s="3" t="s">
        <v>3</v>
      </c>
      <c r="C549" s="3" t="s">
        <v>7</v>
      </c>
      <c r="D549" s="4">
        <v>0</v>
      </c>
    </row>
    <row r="550" spans="1:4">
      <c r="A550" s="3" t="s">
        <v>13</v>
      </c>
      <c r="B550" s="3" t="s">
        <v>3</v>
      </c>
      <c r="C550" s="3" t="s">
        <v>6</v>
      </c>
      <c r="D550" s="4">
        <v>150000</v>
      </c>
    </row>
    <row r="551" spans="1:4">
      <c r="A551" s="3" t="s">
        <v>31</v>
      </c>
      <c r="B551" s="3" t="s">
        <v>3</v>
      </c>
      <c r="C551" s="3" t="s">
        <v>6</v>
      </c>
      <c r="D551" s="4">
        <v>64000</v>
      </c>
    </row>
    <row r="552" spans="1:4">
      <c r="A552" s="3" t="s">
        <v>18</v>
      </c>
      <c r="B552" s="3" t="s">
        <v>3</v>
      </c>
      <c r="C552" s="3" t="s">
        <v>6</v>
      </c>
      <c r="D552" s="4">
        <v>200000</v>
      </c>
    </row>
    <row r="553" spans="1:4">
      <c r="A553" s="3" t="s">
        <v>29</v>
      </c>
      <c r="B553" s="3" t="s">
        <v>4</v>
      </c>
      <c r="C553" s="3" t="s">
        <v>6</v>
      </c>
      <c r="D553" s="4">
        <v>83649.19</v>
      </c>
    </row>
    <row r="554" spans="1:4">
      <c r="A554" s="3" t="s">
        <v>29</v>
      </c>
      <c r="B554" s="3" t="s">
        <v>4</v>
      </c>
      <c r="C554" s="3" t="s">
        <v>7</v>
      </c>
      <c r="D554" s="4">
        <v>0</v>
      </c>
    </row>
    <row r="555" spans="1:4">
      <c r="A555" s="3" t="s">
        <v>29</v>
      </c>
      <c r="B555" s="3" t="s">
        <v>4</v>
      </c>
      <c r="C555" s="3" t="s">
        <v>10</v>
      </c>
      <c r="D555" s="4">
        <v>0</v>
      </c>
    </row>
    <row r="556" spans="1:4">
      <c r="A556" s="3" t="s">
        <v>32</v>
      </c>
      <c r="B556" s="3" t="s">
        <v>3</v>
      </c>
      <c r="C556" s="3" t="s">
        <v>9</v>
      </c>
      <c r="D556" s="4">
        <v>0</v>
      </c>
    </row>
    <row r="557" spans="1:4">
      <c r="A557" s="3" t="s">
        <v>32</v>
      </c>
      <c r="B557" s="3" t="s">
        <v>4</v>
      </c>
      <c r="C557" s="3" t="s">
        <v>9</v>
      </c>
      <c r="D557" s="4">
        <v>0</v>
      </c>
    </row>
    <row r="558" spans="1:4">
      <c r="A558" s="3" t="s">
        <v>18</v>
      </c>
      <c r="B558" s="3" t="s">
        <v>3</v>
      </c>
      <c r="C558" s="3" t="s">
        <v>6</v>
      </c>
      <c r="D558" s="4">
        <v>50071.4</v>
      </c>
    </row>
    <row r="559" spans="1:4">
      <c r="A559" s="3" t="s">
        <v>25</v>
      </c>
      <c r="B559" s="3" t="s">
        <v>3</v>
      </c>
      <c r="C559" s="3" t="s">
        <v>7</v>
      </c>
      <c r="D559" s="4">
        <v>0</v>
      </c>
    </row>
    <row r="560" spans="1:4">
      <c r="A560" s="3" t="s">
        <v>16</v>
      </c>
      <c r="B560" s="3" t="s">
        <v>3</v>
      </c>
      <c r="C560" s="3" t="s">
        <v>9</v>
      </c>
      <c r="D560" s="4">
        <v>0</v>
      </c>
    </row>
    <row r="561" spans="1:4">
      <c r="A561" s="3" t="s">
        <v>24</v>
      </c>
      <c r="B561" s="3" t="s">
        <v>3</v>
      </c>
      <c r="C561" s="3" t="s">
        <v>9</v>
      </c>
      <c r="D561" s="4">
        <v>0</v>
      </c>
    </row>
    <row r="562" spans="1:4">
      <c r="A562" s="3" t="s">
        <v>24</v>
      </c>
      <c r="B562" s="3" t="s">
        <v>4</v>
      </c>
      <c r="C562" s="3" t="s">
        <v>6</v>
      </c>
      <c r="D562" s="4">
        <v>198971.91</v>
      </c>
    </row>
    <row r="563" spans="1:4">
      <c r="A563" s="3" t="s">
        <v>13</v>
      </c>
      <c r="B563" s="3" t="s">
        <v>3</v>
      </c>
      <c r="C563" s="3" t="s">
        <v>6</v>
      </c>
      <c r="D563" s="4">
        <v>12857.14</v>
      </c>
    </row>
    <row r="564" spans="1:4">
      <c r="A564" s="3" t="s">
        <v>33</v>
      </c>
      <c r="B564" s="3" t="s">
        <v>3</v>
      </c>
      <c r="C564" s="3" t="s">
        <v>9</v>
      </c>
      <c r="D564" s="4">
        <v>0</v>
      </c>
    </row>
    <row r="565" spans="1:4">
      <c r="A565" s="3" t="s">
        <v>25</v>
      </c>
      <c r="B565" s="3" t="s">
        <v>3</v>
      </c>
      <c r="C565" s="3" t="s">
        <v>6</v>
      </c>
      <c r="D565" s="4">
        <v>500000</v>
      </c>
    </row>
    <row r="566" spans="1:4">
      <c r="A566" s="3" t="s">
        <v>24</v>
      </c>
      <c r="B566" s="3" t="s">
        <v>3</v>
      </c>
      <c r="C566" s="3" t="s">
        <v>6</v>
      </c>
      <c r="D566" s="4">
        <v>60000</v>
      </c>
    </row>
    <row r="567" spans="1:4">
      <c r="A567" s="3" t="s">
        <v>21</v>
      </c>
      <c r="B567" s="3" t="s">
        <v>3</v>
      </c>
      <c r="C567" s="3" t="s">
        <v>6</v>
      </c>
      <c r="D567" s="4">
        <v>88000</v>
      </c>
    </row>
    <row r="568" spans="1:4">
      <c r="A568" s="3" t="s">
        <v>13</v>
      </c>
      <c r="B568" s="3" t="s">
        <v>3</v>
      </c>
      <c r="C568" s="3" t="s">
        <v>6</v>
      </c>
      <c r="D568" s="4">
        <v>803722.5</v>
      </c>
    </row>
    <row r="569" spans="1:4">
      <c r="A569" s="3" t="s">
        <v>25</v>
      </c>
      <c r="B569" s="3" t="s">
        <v>4</v>
      </c>
      <c r="C569" s="3" t="s">
        <v>9</v>
      </c>
      <c r="D569" s="4">
        <v>0</v>
      </c>
    </row>
    <row r="570" spans="1:4">
      <c r="A570" s="3" t="s">
        <v>25</v>
      </c>
      <c r="B570" s="3" t="s">
        <v>4</v>
      </c>
      <c r="C570" s="3" t="s">
        <v>7</v>
      </c>
      <c r="D570" s="4">
        <v>0</v>
      </c>
    </row>
    <row r="571" spans="1:4">
      <c r="A571" s="3" t="s">
        <v>25</v>
      </c>
      <c r="B571" s="3" t="s">
        <v>3</v>
      </c>
      <c r="C571" s="3" t="s">
        <v>7</v>
      </c>
      <c r="D571" s="4">
        <v>0</v>
      </c>
    </row>
    <row r="572" spans="1:4">
      <c r="A572" s="3" t="s">
        <v>22</v>
      </c>
      <c r="B572" s="3" t="s">
        <v>3</v>
      </c>
      <c r="C572" s="3" t="s">
        <v>6</v>
      </c>
      <c r="D572" s="4">
        <v>960000</v>
      </c>
    </row>
    <row r="573" spans="1:4">
      <c r="A573" s="3" t="s">
        <v>29</v>
      </c>
      <c r="B573" s="3" t="s">
        <v>4</v>
      </c>
      <c r="C573" s="3" t="s">
        <v>7</v>
      </c>
      <c r="D573" s="4">
        <v>0</v>
      </c>
    </row>
    <row r="574" spans="1:4">
      <c r="A574" s="3" t="s">
        <v>29</v>
      </c>
      <c r="B574" s="3" t="s">
        <v>3</v>
      </c>
      <c r="C574" s="3" t="s">
        <v>7</v>
      </c>
      <c r="D574" s="4">
        <v>0</v>
      </c>
    </row>
    <row r="575" spans="1:4">
      <c r="A575" s="3" t="s">
        <v>29</v>
      </c>
      <c r="B575" s="3" t="s">
        <v>3</v>
      </c>
      <c r="C575" s="3" t="s">
        <v>7</v>
      </c>
      <c r="D575" s="4">
        <v>0</v>
      </c>
    </row>
    <row r="576" spans="1:4">
      <c r="A576" s="3" t="s">
        <v>33</v>
      </c>
      <c r="B576" s="3" t="s">
        <v>3</v>
      </c>
      <c r="C576" s="3" t="s">
        <v>7</v>
      </c>
      <c r="D576" s="4">
        <v>0</v>
      </c>
    </row>
    <row r="577" spans="1:4">
      <c r="A577" s="3" t="s">
        <v>33</v>
      </c>
      <c r="B577" s="3" t="s">
        <v>3</v>
      </c>
      <c r="C577" s="3" t="s">
        <v>7</v>
      </c>
      <c r="D577" s="4">
        <v>0</v>
      </c>
    </row>
    <row r="578" spans="1:4">
      <c r="A578" s="3" t="s">
        <v>18</v>
      </c>
      <c r="B578" s="3" t="s">
        <v>3</v>
      </c>
      <c r="C578" s="3" t="s">
        <v>6</v>
      </c>
      <c r="D578" s="4">
        <v>400000</v>
      </c>
    </row>
    <row r="579" spans="1:4">
      <c r="A579" s="3" t="s">
        <v>33</v>
      </c>
      <c r="B579" s="3" t="s">
        <v>3</v>
      </c>
      <c r="C579" s="3" t="s">
        <v>9</v>
      </c>
      <c r="D579" s="4">
        <v>0</v>
      </c>
    </row>
    <row r="580" spans="1:4">
      <c r="A580" s="3" t="s">
        <v>33</v>
      </c>
      <c r="B580" s="3" t="s">
        <v>3</v>
      </c>
      <c r="C580" s="3" t="s">
        <v>9</v>
      </c>
      <c r="D580" s="4">
        <v>0</v>
      </c>
    </row>
    <row r="581" spans="1:4">
      <c r="A581" s="3" t="s">
        <v>33</v>
      </c>
      <c r="B581" s="3" t="s">
        <v>3</v>
      </c>
      <c r="C581" s="3" t="s">
        <v>9</v>
      </c>
      <c r="D581" s="4">
        <v>0</v>
      </c>
    </row>
    <row r="582" spans="1:4">
      <c r="A582" s="3" t="s">
        <v>29</v>
      </c>
      <c r="B582" s="3" t="s">
        <v>4</v>
      </c>
      <c r="C582" s="3" t="s">
        <v>7</v>
      </c>
      <c r="D582" s="4">
        <v>0</v>
      </c>
    </row>
    <row r="583" spans="1:4">
      <c r="A583" s="3" t="s">
        <v>29</v>
      </c>
      <c r="B583" s="3" t="s">
        <v>4</v>
      </c>
      <c r="C583" s="3" t="s">
        <v>7</v>
      </c>
      <c r="D583" s="4">
        <v>0</v>
      </c>
    </row>
    <row r="584" spans="1:4">
      <c r="A584" s="3" t="s">
        <v>29</v>
      </c>
      <c r="B584" s="3" t="s">
        <v>4</v>
      </c>
      <c r="C584" s="3" t="s">
        <v>7</v>
      </c>
      <c r="D584" s="4">
        <v>0</v>
      </c>
    </row>
    <row r="585" spans="1:4">
      <c r="A585" s="3" t="s">
        <v>28</v>
      </c>
      <c r="B585" s="3" t="s">
        <v>3</v>
      </c>
      <c r="C585" s="3" t="s">
        <v>9</v>
      </c>
      <c r="D585" s="4">
        <v>0</v>
      </c>
    </row>
    <row r="586" spans="1:4">
      <c r="A586" s="3" t="s">
        <v>28</v>
      </c>
      <c r="B586" s="3" t="s">
        <v>3</v>
      </c>
      <c r="C586" s="3" t="s">
        <v>9</v>
      </c>
      <c r="D586" s="4">
        <v>0</v>
      </c>
    </row>
    <row r="587" spans="1:4">
      <c r="A587" s="3" t="s">
        <v>29</v>
      </c>
      <c r="B587" s="3" t="s">
        <v>4</v>
      </c>
      <c r="C587" s="3" t="s">
        <v>7</v>
      </c>
      <c r="D587" s="4">
        <v>0</v>
      </c>
    </row>
    <row r="588" spans="1:4">
      <c r="A588" s="3" t="s">
        <v>32</v>
      </c>
      <c r="B588" s="3" t="s">
        <v>4</v>
      </c>
      <c r="C588" s="3" t="s">
        <v>8</v>
      </c>
      <c r="D588" s="4">
        <v>89976</v>
      </c>
    </row>
    <row r="589" spans="1:4">
      <c r="A589" s="3" t="s">
        <v>32</v>
      </c>
      <c r="B589" s="3" t="s">
        <v>4</v>
      </c>
      <c r="C589" s="3" t="s">
        <v>9</v>
      </c>
      <c r="D589" s="4">
        <v>0</v>
      </c>
    </row>
    <row r="590" spans="1:4">
      <c r="A590" s="3" t="s">
        <v>29</v>
      </c>
      <c r="B590" s="3" t="s">
        <v>4</v>
      </c>
      <c r="C590" s="3" t="s">
        <v>9</v>
      </c>
      <c r="D590" s="4">
        <v>0</v>
      </c>
    </row>
    <row r="591" spans="1:4">
      <c r="A591" s="3" t="s">
        <v>33</v>
      </c>
      <c r="B591" s="3" t="s">
        <v>3</v>
      </c>
      <c r="C591" s="3" t="s">
        <v>8</v>
      </c>
      <c r="D591" s="4">
        <v>57600</v>
      </c>
    </row>
    <row r="592" spans="1:4">
      <c r="A592" s="3" t="s">
        <v>33</v>
      </c>
      <c r="B592" s="3" t="s">
        <v>3</v>
      </c>
      <c r="C592" s="3" t="s">
        <v>8</v>
      </c>
      <c r="D592" s="4">
        <v>35976</v>
      </c>
    </row>
    <row r="593" spans="1:4">
      <c r="A593" s="3" t="s">
        <v>29</v>
      </c>
      <c r="B593" s="3" t="s">
        <v>4</v>
      </c>
      <c r="C593" s="3" t="s">
        <v>8</v>
      </c>
      <c r="D593" s="4">
        <v>412077.77</v>
      </c>
    </row>
    <row r="594" spans="1:4">
      <c r="A594" s="3" t="s">
        <v>32</v>
      </c>
      <c r="B594" s="3" t="s">
        <v>3</v>
      </c>
      <c r="C594" s="3" t="s">
        <v>8</v>
      </c>
      <c r="D594" s="4">
        <v>14000</v>
      </c>
    </row>
    <row r="595" spans="1:4">
      <c r="A595" s="3" t="s">
        <v>25</v>
      </c>
      <c r="B595" s="3" t="s">
        <v>4</v>
      </c>
      <c r="C595" s="3" t="s">
        <v>8</v>
      </c>
      <c r="D595" s="4">
        <v>45000</v>
      </c>
    </row>
    <row r="596" spans="1:4">
      <c r="A596" s="3" t="s">
        <v>33</v>
      </c>
      <c r="B596" s="3" t="s">
        <v>3</v>
      </c>
      <c r="C596" s="3" t="s">
        <v>8</v>
      </c>
      <c r="D596" s="4">
        <v>32040</v>
      </c>
    </row>
    <row r="597" spans="1:4">
      <c r="A597" s="3" t="s">
        <v>13</v>
      </c>
      <c r="B597" s="3" t="s">
        <v>3</v>
      </c>
      <c r="C597" s="3" t="s">
        <v>8</v>
      </c>
      <c r="D597" s="4">
        <v>2776080</v>
      </c>
    </row>
    <row r="598" spans="1:4">
      <c r="A598" s="3" t="s">
        <v>32</v>
      </c>
      <c r="B598" s="3" t="s">
        <v>4</v>
      </c>
      <c r="C598" s="3" t="s">
        <v>9</v>
      </c>
      <c r="D598" s="4">
        <v>0</v>
      </c>
    </row>
    <row r="599" spans="1:4">
      <c r="A599" s="3" t="s">
        <v>32</v>
      </c>
      <c r="B599" s="3" t="s">
        <v>4</v>
      </c>
      <c r="C599" s="3" t="s">
        <v>9</v>
      </c>
      <c r="D599" s="4">
        <v>0</v>
      </c>
    </row>
  </sheetData>
  <autoFilter xmlns:etc="http://www.wps.cn/officeDocument/2017/etCustomData" ref="A1:D599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99"/>
  <sheetViews>
    <sheetView workbookViewId="0">
      <selection activeCell="A1" sqref="A1"/>
    </sheetView>
  </sheetViews>
  <sheetFormatPr defaultColWidth="9" defaultRowHeight="14.5" outlineLevelCol="4"/>
  <cols>
    <col min="1" max="2" width="16" customWidth="1"/>
    <col min="3" max="3" width="26" customWidth="1"/>
    <col min="4" max="4" width="12" customWidth="1"/>
    <col min="5" max="5" width="16" customWidth="1"/>
  </cols>
  <sheetData>
    <row r="1" spans="1:5">
      <c r="A1" s="1" t="s">
        <v>2</v>
      </c>
      <c r="B1" s="1" t="s">
        <v>88</v>
      </c>
      <c r="C1" s="1" t="s">
        <v>91</v>
      </c>
      <c r="D1" s="1" t="s">
        <v>92</v>
      </c>
      <c r="E1" s="1" t="s">
        <v>93</v>
      </c>
    </row>
    <row r="2" spans="1:5">
      <c r="A2" t="s">
        <v>27</v>
      </c>
      <c r="B2" t="s">
        <v>3</v>
      </c>
      <c r="C2" t="s">
        <v>6</v>
      </c>
      <c r="D2" t="s">
        <v>45</v>
      </c>
      <c r="E2">
        <v>995042.4</v>
      </c>
    </row>
    <row r="3" spans="1:5">
      <c r="A3" t="s">
        <v>18</v>
      </c>
      <c r="B3" t="s">
        <v>3</v>
      </c>
      <c r="C3" t="s">
        <v>6</v>
      </c>
      <c r="D3" t="s">
        <v>45</v>
      </c>
      <c r="E3">
        <v>154000</v>
      </c>
    </row>
    <row r="4" spans="1:5">
      <c r="A4" t="s">
        <v>18</v>
      </c>
      <c r="B4" t="s">
        <v>3</v>
      </c>
      <c r="C4" t="s">
        <v>6</v>
      </c>
      <c r="D4" t="s">
        <v>45</v>
      </c>
      <c r="E4">
        <v>375000</v>
      </c>
    </row>
    <row r="5" spans="1:5">
      <c r="A5" t="s">
        <v>18</v>
      </c>
      <c r="B5" t="s">
        <v>3</v>
      </c>
      <c r="C5" t="s">
        <v>6</v>
      </c>
      <c r="D5" t="s">
        <v>45</v>
      </c>
      <c r="E5">
        <v>445714.08</v>
      </c>
    </row>
    <row r="6" spans="1:5">
      <c r="A6" t="s">
        <v>18</v>
      </c>
      <c r="B6" t="s">
        <v>3</v>
      </c>
      <c r="C6" t="s">
        <v>6</v>
      </c>
      <c r="D6" t="s">
        <v>45</v>
      </c>
      <c r="E6">
        <v>880000</v>
      </c>
    </row>
    <row r="7" spans="1:5">
      <c r="A7" t="s">
        <v>18</v>
      </c>
      <c r="B7" t="s">
        <v>3</v>
      </c>
      <c r="C7" t="s">
        <v>6</v>
      </c>
      <c r="D7" t="s">
        <v>45</v>
      </c>
      <c r="E7">
        <v>176000</v>
      </c>
    </row>
    <row r="8" spans="1:5">
      <c r="A8" t="s">
        <v>18</v>
      </c>
      <c r="B8" t="s">
        <v>3</v>
      </c>
      <c r="C8" t="s">
        <v>6</v>
      </c>
      <c r="D8" t="s">
        <v>45</v>
      </c>
      <c r="E8">
        <v>342857</v>
      </c>
    </row>
    <row r="9" spans="1:5">
      <c r="A9" t="s">
        <v>13</v>
      </c>
      <c r="B9" t="s">
        <v>3</v>
      </c>
      <c r="C9" t="s">
        <v>6</v>
      </c>
      <c r="D9" t="s">
        <v>45</v>
      </c>
      <c r="E9">
        <v>113142.48</v>
      </c>
    </row>
    <row r="10" spans="1:5">
      <c r="A10" t="s">
        <v>13</v>
      </c>
      <c r="B10" t="s">
        <v>3</v>
      </c>
      <c r="C10" t="s">
        <v>6</v>
      </c>
      <c r="D10" t="s">
        <v>45</v>
      </c>
      <c r="E10">
        <v>113142.48</v>
      </c>
    </row>
    <row r="11" spans="1:5">
      <c r="A11" t="s">
        <v>13</v>
      </c>
      <c r="B11" t="s">
        <v>3</v>
      </c>
      <c r="C11" t="s">
        <v>6</v>
      </c>
      <c r="D11" t="s">
        <v>45</v>
      </c>
      <c r="E11">
        <v>113142.48</v>
      </c>
    </row>
    <row r="12" spans="1:5">
      <c r="A12" t="s">
        <v>13</v>
      </c>
      <c r="B12" t="s">
        <v>3</v>
      </c>
      <c r="C12" t="s">
        <v>6</v>
      </c>
      <c r="D12" t="s">
        <v>45</v>
      </c>
      <c r="E12">
        <v>113142.48</v>
      </c>
    </row>
    <row r="13" spans="1:5">
      <c r="A13" t="s">
        <v>13</v>
      </c>
      <c r="B13" t="s">
        <v>3</v>
      </c>
      <c r="C13" t="s">
        <v>6</v>
      </c>
      <c r="D13" t="s">
        <v>45</v>
      </c>
      <c r="E13">
        <v>113142.48</v>
      </c>
    </row>
    <row r="14" spans="1:5">
      <c r="A14" t="s">
        <v>13</v>
      </c>
      <c r="B14" t="s">
        <v>3</v>
      </c>
      <c r="C14" t="s">
        <v>6</v>
      </c>
      <c r="D14" t="s">
        <v>45</v>
      </c>
      <c r="E14">
        <v>113142.48</v>
      </c>
    </row>
    <row r="15" spans="1:5">
      <c r="A15" t="s">
        <v>13</v>
      </c>
      <c r="B15" t="s">
        <v>3</v>
      </c>
      <c r="C15" t="s">
        <v>6</v>
      </c>
      <c r="D15" t="s">
        <v>45</v>
      </c>
      <c r="E15">
        <v>113142.48</v>
      </c>
    </row>
    <row r="16" spans="1:5">
      <c r="A16" t="s">
        <v>13</v>
      </c>
      <c r="B16" t="s">
        <v>3</v>
      </c>
      <c r="C16" t="s">
        <v>6</v>
      </c>
      <c r="D16" t="s">
        <v>45</v>
      </c>
      <c r="E16">
        <v>113142.48</v>
      </c>
    </row>
    <row r="17" spans="1:5">
      <c r="A17" t="s">
        <v>13</v>
      </c>
      <c r="B17" t="s">
        <v>3</v>
      </c>
      <c r="C17" t="s">
        <v>6</v>
      </c>
      <c r="D17" t="s">
        <v>45</v>
      </c>
      <c r="E17">
        <v>113142.48</v>
      </c>
    </row>
    <row r="18" spans="1:5">
      <c r="A18" t="s">
        <v>13</v>
      </c>
      <c r="B18" t="s">
        <v>3</v>
      </c>
      <c r="C18" t="s">
        <v>6</v>
      </c>
      <c r="D18" t="s">
        <v>45</v>
      </c>
      <c r="E18">
        <v>113142.48</v>
      </c>
    </row>
    <row r="19" spans="1:5">
      <c r="A19" t="s">
        <v>13</v>
      </c>
      <c r="B19" t="s">
        <v>3</v>
      </c>
      <c r="C19" t="s">
        <v>6</v>
      </c>
      <c r="D19" t="s">
        <v>45</v>
      </c>
      <c r="E19">
        <v>113142.48</v>
      </c>
    </row>
    <row r="20" spans="1:5">
      <c r="A20" t="s">
        <v>13</v>
      </c>
      <c r="B20" t="s">
        <v>3</v>
      </c>
      <c r="C20" t="s">
        <v>6</v>
      </c>
      <c r="D20" t="s">
        <v>45</v>
      </c>
      <c r="E20">
        <v>113142.48</v>
      </c>
    </row>
    <row r="21" spans="1:5">
      <c r="A21" t="s">
        <v>13</v>
      </c>
      <c r="B21" t="s">
        <v>3</v>
      </c>
      <c r="C21" t="s">
        <v>6</v>
      </c>
      <c r="D21" t="s">
        <v>45</v>
      </c>
      <c r="E21">
        <v>113142.48</v>
      </c>
    </row>
    <row r="22" spans="1:5">
      <c r="A22" t="s">
        <v>13</v>
      </c>
      <c r="B22" t="s">
        <v>3</v>
      </c>
      <c r="C22" t="s">
        <v>6</v>
      </c>
      <c r="D22" t="s">
        <v>45</v>
      </c>
      <c r="E22">
        <v>113142.48</v>
      </c>
    </row>
    <row r="23" spans="1:5">
      <c r="A23" t="s">
        <v>13</v>
      </c>
      <c r="B23" t="s">
        <v>3</v>
      </c>
      <c r="C23" t="s">
        <v>6</v>
      </c>
      <c r="D23" t="s">
        <v>45</v>
      </c>
      <c r="E23">
        <v>156000</v>
      </c>
    </row>
    <row r="24" spans="1:5">
      <c r="A24" t="s">
        <v>13</v>
      </c>
      <c r="B24" t="s">
        <v>3</v>
      </c>
      <c r="C24" t="s">
        <v>6</v>
      </c>
      <c r="D24" t="s">
        <v>45</v>
      </c>
      <c r="E24">
        <v>113142.48</v>
      </c>
    </row>
    <row r="25" spans="1:5">
      <c r="A25" t="s">
        <v>13</v>
      </c>
      <c r="B25" t="s">
        <v>3</v>
      </c>
      <c r="C25" t="s">
        <v>6</v>
      </c>
      <c r="D25" t="s">
        <v>45</v>
      </c>
      <c r="E25">
        <v>113142.48</v>
      </c>
    </row>
    <row r="26" spans="1:5">
      <c r="A26" t="s">
        <v>13</v>
      </c>
      <c r="B26" t="s">
        <v>3</v>
      </c>
      <c r="C26" t="s">
        <v>6</v>
      </c>
      <c r="D26" t="s">
        <v>45</v>
      </c>
      <c r="E26">
        <v>113142.48</v>
      </c>
    </row>
    <row r="27" spans="1:5">
      <c r="A27" t="s">
        <v>13</v>
      </c>
      <c r="B27" t="s">
        <v>3</v>
      </c>
      <c r="C27" t="s">
        <v>6</v>
      </c>
      <c r="D27" t="s">
        <v>45</v>
      </c>
      <c r="E27">
        <v>144000</v>
      </c>
    </row>
    <row r="28" spans="1:5">
      <c r="A28" t="s">
        <v>13</v>
      </c>
      <c r="B28" t="s">
        <v>3</v>
      </c>
      <c r="C28" t="s">
        <v>6</v>
      </c>
      <c r="D28" t="s">
        <v>45</v>
      </c>
      <c r="E28">
        <v>113142.48</v>
      </c>
    </row>
    <row r="29" spans="1:5">
      <c r="A29" t="s">
        <v>13</v>
      </c>
      <c r="B29" t="s">
        <v>3</v>
      </c>
      <c r="C29" t="s">
        <v>6</v>
      </c>
      <c r="D29" t="s">
        <v>45</v>
      </c>
      <c r="E29">
        <v>113142.48</v>
      </c>
    </row>
    <row r="30" spans="1:5">
      <c r="A30" t="s">
        <v>13</v>
      </c>
      <c r="B30" t="s">
        <v>3</v>
      </c>
      <c r="C30" t="s">
        <v>6</v>
      </c>
      <c r="D30" t="s">
        <v>45</v>
      </c>
      <c r="E30">
        <v>113142.48</v>
      </c>
    </row>
    <row r="31" spans="1:5">
      <c r="A31" t="s">
        <v>13</v>
      </c>
      <c r="B31" t="s">
        <v>3</v>
      </c>
      <c r="C31" t="s">
        <v>6</v>
      </c>
      <c r="D31" t="s">
        <v>45</v>
      </c>
      <c r="E31">
        <v>113142.48</v>
      </c>
    </row>
    <row r="32" spans="1:5">
      <c r="A32" t="s">
        <v>13</v>
      </c>
      <c r="B32" t="s">
        <v>3</v>
      </c>
      <c r="C32" t="s">
        <v>6</v>
      </c>
      <c r="D32" t="s">
        <v>45</v>
      </c>
      <c r="E32">
        <v>144000</v>
      </c>
    </row>
    <row r="33" spans="1:5">
      <c r="A33" t="s">
        <v>13</v>
      </c>
      <c r="B33" t="s">
        <v>3</v>
      </c>
      <c r="C33" t="s">
        <v>6</v>
      </c>
      <c r="D33" t="s">
        <v>45</v>
      </c>
      <c r="E33">
        <v>113142.48</v>
      </c>
    </row>
    <row r="34" spans="1:5">
      <c r="A34" t="s">
        <v>13</v>
      </c>
      <c r="B34" t="s">
        <v>3</v>
      </c>
      <c r="C34" t="s">
        <v>6</v>
      </c>
      <c r="D34" t="s">
        <v>45</v>
      </c>
      <c r="E34">
        <v>113142.48</v>
      </c>
    </row>
    <row r="35" spans="1:5">
      <c r="A35" t="s">
        <v>13</v>
      </c>
      <c r="B35" t="s">
        <v>3</v>
      </c>
      <c r="C35" t="s">
        <v>6</v>
      </c>
      <c r="D35" t="s">
        <v>45</v>
      </c>
      <c r="E35">
        <v>113142.48</v>
      </c>
    </row>
    <row r="36" spans="1:5">
      <c r="A36" t="s">
        <v>13</v>
      </c>
      <c r="B36" t="s">
        <v>3</v>
      </c>
      <c r="C36" t="s">
        <v>6</v>
      </c>
      <c r="D36" t="s">
        <v>45</v>
      </c>
      <c r="E36">
        <v>113142.48</v>
      </c>
    </row>
    <row r="37" spans="1:5">
      <c r="A37" t="s">
        <v>13</v>
      </c>
      <c r="B37" t="s">
        <v>3</v>
      </c>
      <c r="C37" t="s">
        <v>6</v>
      </c>
      <c r="D37" t="s">
        <v>45</v>
      </c>
      <c r="E37">
        <v>204000</v>
      </c>
    </row>
    <row r="38" spans="1:5">
      <c r="A38" t="s">
        <v>13</v>
      </c>
      <c r="B38" t="s">
        <v>3</v>
      </c>
      <c r="C38" t="s">
        <v>6</v>
      </c>
      <c r="D38" t="s">
        <v>45</v>
      </c>
      <c r="E38">
        <v>180000</v>
      </c>
    </row>
    <row r="39" spans="1:5">
      <c r="A39" t="s">
        <v>13</v>
      </c>
      <c r="B39" t="s">
        <v>3</v>
      </c>
      <c r="C39" t="s">
        <v>6</v>
      </c>
      <c r="D39" t="s">
        <v>45</v>
      </c>
      <c r="E39">
        <v>144000</v>
      </c>
    </row>
    <row r="40" spans="1:5">
      <c r="A40" t="s">
        <v>13</v>
      </c>
      <c r="B40" t="s">
        <v>3</v>
      </c>
      <c r="C40" t="s">
        <v>6</v>
      </c>
      <c r="D40" t="s">
        <v>45</v>
      </c>
      <c r="E40">
        <v>113142.48</v>
      </c>
    </row>
    <row r="41" spans="1:5">
      <c r="A41" t="s">
        <v>13</v>
      </c>
      <c r="B41" t="s">
        <v>3</v>
      </c>
      <c r="C41" t="s">
        <v>6</v>
      </c>
      <c r="D41" t="s">
        <v>45</v>
      </c>
      <c r="E41">
        <v>132000</v>
      </c>
    </row>
    <row r="42" spans="1:5">
      <c r="A42" t="s">
        <v>13</v>
      </c>
      <c r="B42" t="s">
        <v>3</v>
      </c>
      <c r="C42" t="s">
        <v>6</v>
      </c>
      <c r="D42" t="s">
        <v>45</v>
      </c>
      <c r="E42">
        <v>113142.48</v>
      </c>
    </row>
    <row r="43" spans="1:5">
      <c r="A43" t="s">
        <v>13</v>
      </c>
      <c r="B43" t="s">
        <v>3</v>
      </c>
      <c r="C43" t="s">
        <v>6</v>
      </c>
      <c r="D43" t="s">
        <v>45</v>
      </c>
      <c r="E43">
        <v>113142.48</v>
      </c>
    </row>
    <row r="44" spans="1:5">
      <c r="A44" t="s">
        <v>13</v>
      </c>
      <c r="B44" t="s">
        <v>3</v>
      </c>
      <c r="C44" t="s">
        <v>6</v>
      </c>
      <c r="D44" t="s">
        <v>45</v>
      </c>
      <c r="E44">
        <v>113142.48</v>
      </c>
    </row>
    <row r="45" spans="1:5">
      <c r="A45" t="s">
        <v>13</v>
      </c>
      <c r="B45" t="s">
        <v>3</v>
      </c>
      <c r="C45" t="s">
        <v>6</v>
      </c>
      <c r="D45" t="s">
        <v>45</v>
      </c>
      <c r="E45">
        <v>113142.48</v>
      </c>
    </row>
    <row r="46" spans="1:5">
      <c r="A46" t="s">
        <v>13</v>
      </c>
      <c r="B46" t="s">
        <v>3</v>
      </c>
      <c r="C46" t="s">
        <v>6</v>
      </c>
      <c r="D46" t="s">
        <v>45</v>
      </c>
      <c r="E46">
        <v>113142.48</v>
      </c>
    </row>
    <row r="47" spans="1:5">
      <c r="A47" t="s">
        <v>13</v>
      </c>
      <c r="B47" t="s">
        <v>3</v>
      </c>
      <c r="C47" t="s">
        <v>6</v>
      </c>
      <c r="D47" t="s">
        <v>45</v>
      </c>
      <c r="E47">
        <v>113142.48</v>
      </c>
    </row>
    <row r="48" spans="1:5">
      <c r="A48" t="s">
        <v>13</v>
      </c>
      <c r="B48" t="s">
        <v>3</v>
      </c>
      <c r="C48" t="s">
        <v>6</v>
      </c>
      <c r="D48" t="s">
        <v>45</v>
      </c>
      <c r="E48">
        <v>113142.48</v>
      </c>
    </row>
    <row r="49" spans="1:5">
      <c r="A49" t="s">
        <v>13</v>
      </c>
      <c r="B49" t="s">
        <v>3</v>
      </c>
      <c r="C49" t="s">
        <v>6</v>
      </c>
      <c r="D49" t="s">
        <v>45</v>
      </c>
      <c r="E49">
        <v>113142.48</v>
      </c>
    </row>
    <row r="50" spans="1:5">
      <c r="A50" t="s">
        <v>13</v>
      </c>
      <c r="B50" t="s">
        <v>3</v>
      </c>
      <c r="C50" t="s">
        <v>6</v>
      </c>
      <c r="D50" t="s">
        <v>45</v>
      </c>
      <c r="E50">
        <v>113142.48</v>
      </c>
    </row>
    <row r="51" spans="1:5">
      <c r="A51" t="s">
        <v>13</v>
      </c>
      <c r="B51" t="s">
        <v>3</v>
      </c>
      <c r="C51" t="s">
        <v>6</v>
      </c>
      <c r="D51" t="s">
        <v>45</v>
      </c>
      <c r="E51">
        <v>113142.48</v>
      </c>
    </row>
    <row r="52" spans="1:5">
      <c r="A52" t="s">
        <v>13</v>
      </c>
      <c r="B52" t="s">
        <v>3</v>
      </c>
      <c r="C52" t="s">
        <v>6</v>
      </c>
      <c r="D52" t="s">
        <v>45</v>
      </c>
      <c r="E52">
        <v>171360</v>
      </c>
    </row>
    <row r="53" spans="1:5">
      <c r="A53" t="s">
        <v>13</v>
      </c>
      <c r="B53" t="s">
        <v>3</v>
      </c>
      <c r="C53" t="s">
        <v>6</v>
      </c>
      <c r="D53" t="s">
        <v>45</v>
      </c>
      <c r="E53">
        <v>113142.48</v>
      </c>
    </row>
    <row r="54" spans="1:5">
      <c r="A54" t="s">
        <v>13</v>
      </c>
      <c r="B54" t="s">
        <v>3</v>
      </c>
      <c r="C54" t="s">
        <v>6</v>
      </c>
      <c r="D54" t="s">
        <v>45</v>
      </c>
      <c r="E54">
        <v>113142.48</v>
      </c>
    </row>
    <row r="55" spans="1:5">
      <c r="A55" t="s">
        <v>13</v>
      </c>
      <c r="B55" t="s">
        <v>3</v>
      </c>
      <c r="C55" t="s">
        <v>6</v>
      </c>
      <c r="D55" t="s">
        <v>45</v>
      </c>
      <c r="E55">
        <v>150000</v>
      </c>
    </row>
    <row r="56" spans="1:5">
      <c r="A56" t="s">
        <v>13</v>
      </c>
      <c r="B56" t="s">
        <v>3</v>
      </c>
      <c r="C56" t="s">
        <v>6</v>
      </c>
      <c r="D56" t="s">
        <v>45</v>
      </c>
      <c r="E56">
        <v>150000</v>
      </c>
    </row>
    <row r="57" spans="1:5">
      <c r="A57" t="s">
        <v>13</v>
      </c>
      <c r="B57" t="s">
        <v>3</v>
      </c>
      <c r="C57" t="s">
        <v>6</v>
      </c>
      <c r="D57" t="s">
        <v>45</v>
      </c>
      <c r="E57">
        <v>150500</v>
      </c>
    </row>
    <row r="58" spans="1:5">
      <c r="A58" t="s">
        <v>13</v>
      </c>
      <c r="B58" t="s">
        <v>3</v>
      </c>
      <c r="C58" t="s">
        <v>6</v>
      </c>
      <c r="D58" t="s">
        <v>45</v>
      </c>
      <c r="E58">
        <v>150000</v>
      </c>
    </row>
    <row r="59" spans="1:5">
      <c r="A59" t="s">
        <v>14</v>
      </c>
      <c r="B59" t="s">
        <v>3</v>
      </c>
      <c r="C59" t="s">
        <v>6</v>
      </c>
      <c r="D59" t="s">
        <v>45</v>
      </c>
      <c r="E59">
        <v>108000</v>
      </c>
    </row>
    <row r="60" spans="1:5">
      <c r="A60" t="s">
        <v>14</v>
      </c>
      <c r="B60" t="s">
        <v>3</v>
      </c>
      <c r="C60" t="s">
        <v>6</v>
      </c>
      <c r="D60" t="s">
        <v>45</v>
      </c>
      <c r="E60">
        <v>72000</v>
      </c>
    </row>
    <row r="61" spans="1:5">
      <c r="A61" t="s">
        <v>14</v>
      </c>
      <c r="B61" t="s">
        <v>3</v>
      </c>
      <c r="C61" t="s">
        <v>6</v>
      </c>
      <c r="D61" t="s">
        <v>45</v>
      </c>
      <c r="E61">
        <v>84000</v>
      </c>
    </row>
    <row r="62" spans="1:5">
      <c r="A62" t="s">
        <v>14</v>
      </c>
      <c r="B62" t="s">
        <v>3</v>
      </c>
      <c r="C62" t="s">
        <v>6</v>
      </c>
      <c r="D62" t="s">
        <v>45</v>
      </c>
      <c r="E62">
        <v>84000</v>
      </c>
    </row>
    <row r="63" spans="1:5">
      <c r="A63" t="s">
        <v>14</v>
      </c>
      <c r="B63" t="s">
        <v>3</v>
      </c>
      <c r="C63" t="s">
        <v>6</v>
      </c>
      <c r="D63" t="s">
        <v>45</v>
      </c>
      <c r="E63">
        <v>84000</v>
      </c>
    </row>
    <row r="64" spans="1:5">
      <c r="A64" t="s">
        <v>14</v>
      </c>
      <c r="B64" t="s">
        <v>3</v>
      </c>
      <c r="C64" t="s">
        <v>6</v>
      </c>
      <c r="D64" t="s">
        <v>45</v>
      </c>
      <c r="E64">
        <v>84000</v>
      </c>
    </row>
    <row r="65" spans="1:5">
      <c r="A65" t="s">
        <v>14</v>
      </c>
      <c r="B65" t="s">
        <v>3</v>
      </c>
      <c r="C65" t="s">
        <v>6</v>
      </c>
      <c r="D65" t="s">
        <v>45</v>
      </c>
      <c r="E65">
        <v>84000</v>
      </c>
    </row>
    <row r="66" spans="1:5">
      <c r="A66" t="s">
        <v>14</v>
      </c>
      <c r="B66" t="s">
        <v>3</v>
      </c>
      <c r="C66" t="s">
        <v>6</v>
      </c>
      <c r="D66" t="s">
        <v>45</v>
      </c>
      <c r="E66">
        <v>84000</v>
      </c>
    </row>
    <row r="67" spans="1:5">
      <c r="A67" t="s">
        <v>14</v>
      </c>
      <c r="B67" t="s">
        <v>3</v>
      </c>
      <c r="C67" t="s">
        <v>6</v>
      </c>
      <c r="D67" t="s">
        <v>45</v>
      </c>
      <c r="E67">
        <v>84000</v>
      </c>
    </row>
    <row r="68" spans="1:5">
      <c r="A68" t="s">
        <v>14</v>
      </c>
      <c r="B68" t="s">
        <v>3</v>
      </c>
      <c r="C68" t="s">
        <v>6</v>
      </c>
      <c r="D68" t="s">
        <v>45</v>
      </c>
      <c r="E68">
        <v>84000</v>
      </c>
    </row>
    <row r="69" spans="1:5">
      <c r="A69" t="s">
        <v>14</v>
      </c>
      <c r="B69" t="s">
        <v>3</v>
      </c>
      <c r="C69" t="s">
        <v>6</v>
      </c>
      <c r="D69" t="s">
        <v>45</v>
      </c>
      <c r="E69">
        <v>144000</v>
      </c>
    </row>
    <row r="70" spans="1:5">
      <c r="A70" t="s">
        <v>14</v>
      </c>
      <c r="B70" t="s">
        <v>3</v>
      </c>
      <c r="C70" t="s">
        <v>6</v>
      </c>
      <c r="D70" t="s">
        <v>45</v>
      </c>
      <c r="E70">
        <v>144000</v>
      </c>
    </row>
    <row r="71" spans="1:5">
      <c r="A71" t="s">
        <v>14</v>
      </c>
      <c r="B71" t="s">
        <v>3</v>
      </c>
      <c r="C71" t="s">
        <v>6</v>
      </c>
      <c r="D71" t="s">
        <v>45</v>
      </c>
      <c r="E71">
        <v>60000</v>
      </c>
    </row>
    <row r="72" spans="1:5">
      <c r="A72" t="s">
        <v>14</v>
      </c>
      <c r="B72" t="s">
        <v>3</v>
      </c>
      <c r="C72" t="s">
        <v>6</v>
      </c>
      <c r="D72" t="s">
        <v>45</v>
      </c>
      <c r="E72">
        <v>72000</v>
      </c>
    </row>
    <row r="73" spans="1:5">
      <c r="A73" t="s">
        <v>14</v>
      </c>
      <c r="B73" t="s">
        <v>3</v>
      </c>
      <c r="C73" t="s">
        <v>6</v>
      </c>
      <c r="D73" t="s">
        <v>45</v>
      </c>
      <c r="E73">
        <v>84000</v>
      </c>
    </row>
    <row r="74" spans="1:5">
      <c r="A74" t="s">
        <v>14</v>
      </c>
      <c r="B74" t="s">
        <v>3</v>
      </c>
      <c r="C74" t="s">
        <v>6</v>
      </c>
      <c r="D74" t="s">
        <v>45</v>
      </c>
      <c r="E74">
        <v>84000</v>
      </c>
    </row>
    <row r="75" spans="1:5">
      <c r="A75" t="s">
        <v>14</v>
      </c>
      <c r="B75" t="s">
        <v>3</v>
      </c>
      <c r="C75" t="s">
        <v>6</v>
      </c>
      <c r="D75" t="s">
        <v>45</v>
      </c>
      <c r="E75">
        <v>84000</v>
      </c>
    </row>
    <row r="76" spans="1:5">
      <c r="A76" t="s">
        <v>17</v>
      </c>
      <c r="B76" t="s">
        <v>3</v>
      </c>
      <c r="C76" t="s">
        <v>6</v>
      </c>
      <c r="D76" t="s">
        <v>45</v>
      </c>
      <c r="E76">
        <v>108000</v>
      </c>
    </row>
    <row r="77" spans="1:5">
      <c r="A77" t="s">
        <v>25</v>
      </c>
      <c r="B77" t="s">
        <v>3</v>
      </c>
      <c r="C77" t="s">
        <v>6</v>
      </c>
      <c r="D77" t="s">
        <v>45</v>
      </c>
      <c r="E77">
        <v>102857.16</v>
      </c>
    </row>
    <row r="78" spans="1:5">
      <c r="A78" t="s">
        <v>25</v>
      </c>
      <c r="B78" t="s">
        <v>3</v>
      </c>
      <c r="C78" t="s">
        <v>6</v>
      </c>
      <c r="D78" t="s">
        <v>45</v>
      </c>
      <c r="E78">
        <v>77142.84</v>
      </c>
    </row>
    <row r="79" spans="1:5">
      <c r="A79" t="s">
        <v>25</v>
      </c>
      <c r="B79" t="s">
        <v>3</v>
      </c>
      <c r="C79" t="s">
        <v>6</v>
      </c>
      <c r="D79" t="s">
        <v>45</v>
      </c>
      <c r="E79">
        <v>84000</v>
      </c>
    </row>
    <row r="80" spans="1:5">
      <c r="A80" t="s">
        <v>21</v>
      </c>
      <c r="B80" t="s">
        <v>3</v>
      </c>
      <c r="C80" t="s">
        <v>6</v>
      </c>
      <c r="D80" t="s">
        <v>45</v>
      </c>
      <c r="E80">
        <v>1837404</v>
      </c>
    </row>
    <row r="81" spans="1:5">
      <c r="A81" t="s">
        <v>21</v>
      </c>
      <c r="B81" t="s">
        <v>3</v>
      </c>
      <c r="C81" t="s">
        <v>6</v>
      </c>
      <c r="D81" t="s">
        <v>45</v>
      </c>
      <c r="E81">
        <v>171428.52</v>
      </c>
    </row>
    <row r="82" spans="1:5">
      <c r="A82" t="s">
        <v>21</v>
      </c>
      <c r="B82" t="s">
        <v>3</v>
      </c>
      <c r="C82" t="s">
        <v>6</v>
      </c>
      <c r="D82" t="s">
        <v>45</v>
      </c>
      <c r="E82">
        <v>132000</v>
      </c>
    </row>
    <row r="83" spans="1:5">
      <c r="A83" t="s">
        <v>21</v>
      </c>
      <c r="B83" t="s">
        <v>3</v>
      </c>
      <c r="C83" t="s">
        <v>6</v>
      </c>
      <c r="D83" t="s">
        <v>45</v>
      </c>
      <c r="E83">
        <v>156000</v>
      </c>
    </row>
    <row r="84" spans="1:5">
      <c r="A84" t="s">
        <v>21</v>
      </c>
      <c r="B84" t="s">
        <v>3</v>
      </c>
      <c r="C84" t="s">
        <v>6</v>
      </c>
      <c r="D84" t="s">
        <v>45</v>
      </c>
      <c r="E84">
        <v>132000</v>
      </c>
    </row>
    <row r="85" spans="1:5">
      <c r="A85" t="s">
        <v>21</v>
      </c>
      <c r="B85" t="s">
        <v>3</v>
      </c>
      <c r="C85" t="s">
        <v>6</v>
      </c>
      <c r="D85" t="s">
        <v>45</v>
      </c>
      <c r="E85">
        <v>132000</v>
      </c>
    </row>
    <row r="86" spans="1:5">
      <c r="A86" t="s">
        <v>22</v>
      </c>
      <c r="B86" t="s">
        <v>3</v>
      </c>
      <c r="C86" t="s">
        <v>6</v>
      </c>
      <c r="D86" t="s">
        <v>45</v>
      </c>
      <c r="E86">
        <v>96000</v>
      </c>
    </row>
    <row r="87" spans="1:5">
      <c r="A87" t="s">
        <v>22</v>
      </c>
      <c r="B87" t="s">
        <v>3</v>
      </c>
      <c r="C87" t="s">
        <v>6</v>
      </c>
      <c r="D87" t="s">
        <v>45</v>
      </c>
      <c r="E87">
        <v>144000</v>
      </c>
    </row>
    <row r="88" spans="1:5">
      <c r="A88" t="s">
        <v>22</v>
      </c>
      <c r="B88" t="s">
        <v>3</v>
      </c>
      <c r="C88" t="s">
        <v>6</v>
      </c>
      <c r="D88" t="s">
        <v>45</v>
      </c>
      <c r="E88">
        <v>154285.68</v>
      </c>
    </row>
    <row r="89" spans="1:5">
      <c r="A89" t="s">
        <v>22</v>
      </c>
      <c r="B89" t="s">
        <v>3</v>
      </c>
      <c r="C89" t="s">
        <v>6</v>
      </c>
      <c r="D89" t="s">
        <v>45</v>
      </c>
      <c r="E89">
        <v>72000</v>
      </c>
    </row>
    <row r="90" spans="1:5">
      <c r="A90" t="s">
        <v>22</v>
      </c>
      <c r="B90" t="s">
        <v>3</v>
      </c>
      <c r="C90" t="s">
        <v>6</v>
      </c>
      <c r="D90" t="s">
        <v>45</v>
      </c>
      <c r="E90">
        <v>120000</v>
      </c>
    </row>
    <row r="91" spans="1:5">
      <c r="A91" t="s">
        <v>22</v>
      </c>
      <c r="B91" t="s">
        <v>3</v>
      </c>
      <c r="C91" t="s">
        <v>6</v>
      </c>
      <c r="D91" t="s">
        <v>45</v>
      </c>
      <c r="E91">
        <v>24000</v>
      </c>
    </row>
    <row r="92" spans="1:5">
      <c r="A92" t="s">
        <v>22</v>
      </c>
      <c r="B92" t="s">
        <v>3</v>
      </c>
      <c r="C92" t="s">
        <v>6</v>
      </c>
      <c r="D92" t="s">
        <v>45</v>
      </c>
      <c r="E92">
        <v>44571.36</v>
      </c>
    </row>
    <row r="93" spans="1:5">
      <c r="A93" t="s">
        <v>22</v>
      </c>
      <c r="B93" t="s">
        <v>3</v>
      </c>
      <c r="C93" t="s">
        <v>6</v>
      </c>
      <c r="D93" t="s">
        <v>45</v>
      </c>
      <c r="E93">
        <v>72000</v>
      </c>
    </row>
    <row r="94" spans="1:5">
      <c r="A94" t="s">
        <v>22</v>
      </c>
      <c r="B94" t="s">
        <v>3</v>
      </c>
      <c r="C94" t="s">
        <v>6</v>
      </c>
      <c r="D94" t="s">
        <v>45</v>
      </c>
      <c r="E94">
        <v>72000</v>
      </c>
    </row>
    <row r="95" spans="1:5">
      <c r="A95" t="s">
        <v>22</v>
      </c>
      <c r="B95" t="s">
        <v>3</v>
      </c>
      <c r="C95" t="s">
        <v>6</v>
      </c>
      <c r="D95" t="s">
        <v>45</v>
      </c>
      <c r="E95">
        <v>120000</v>
      </c>
    </row>
    <row r="96" spans="1:5">
      <c r="A96" t="s">
        <v>22</v>
      </c>
      <c r="B96" t="s">
        <v>3</v>
      </c>
      <c r="C96" t="s">
        <v>6</v>
      </c>
      <c r="D96" t="s">
        <v>45</v>
      </c>
      <c r="E96">
        <v>108000</v>
      </c>
    </row>
    <row r="97" spans="1:5">
      <c r="A97" t="s">
        <v>22</v>
      </c>
      <c r="B97" t="s">
        <v>3</v>
      </c>
      <c r="C97" t="s">
        <v>6</v>
      </c>
      <c r="D97" t="s">
        <v>45</v>
      </c>
      <c r="E97">
        <v>72000</v>
      </c>
    </row>
    <row r="98" spans="1:5">
      <c r="A98" t="s">
        <v>22</v>
      </c>
      <c r="B98" t="s">
        <v>3</v>
      </c>
      <c r="C98" t="s">
        <v>6</v>
      </c>
      <c r="D98" t="s">
        <v>45</v>
      </c>
      <c r="E98">
        <v>240000</v>
      </c>
    </row>
    <row r="99" spans="1:5">
      <c r="A99" t="s">
        <v>22</v>
      </c>
      <c r="B99" t="s">
        <v>3</v>
      </c>
      <c r="C99" t="s">
        <v>6</v>
      </c>
      <c r="D99" t="s">
        <v>45</v>
      </c>
      <c r="E99">
        <v>240000</v>
      </c>
    </row>
    <row r="100" spans="1:5">
      <c r="A100" t="s">
        <v>22</v>
      </c>
      <c r="B100" t="s">
        <v>3</v>
      </c>
      <c r="C100" t="s">
        <v>6</v>
      </c>
      <c r="D100" t="s">
        <v>45</v>
      </c>
      <c r="E100">
        <v>846449.14</v>
      </c>
    </row>
    <row r="101" spans="1:5">
      <c r="A101" t="s">
        <v>22</v>
      </c>
      <c r="B101" t="s">
        <v>3</v>
      </c>
      <c r="C101" t="s">
        <v>6</v>
      </c>
      <c r="D101" t="s">
        <v>45</v>
      </c>
      <c r="E101">
        <v>214800</v>
      </c>
    </row>
    <row r="102" spans="1:5">
      <c r="A102" t="s">
        <v>22</v>
      </c>
      <c r="B102" t="s">
        <v>3</v>
      </c>
      <c r="C102" t="s">
        <v>6</v>
      </c>
      <c r="D102" t="s">
        <v>45</v>
      </c>
      <c r="E102">
        <v>145714.32</v>
      </c>
    </row>
    <row r="103" spans="1:5">
      <c r="A103" t="s">
        <v>22</v>
      </c>
      <c r="B103" t="s">
        <v>3</v>
      </c>
      <c r="C103" t="s">
        <v>6</v>
      </c>
      <c r="D103" t="s">
        <v>45</v>
      </c>
      <c r="E103">
        <v>150000</v>
      </c>
    </row>
    <row r="104" spans="1:5">
      <c r="A104" t="s">
        <v>22</v>
      </c>
      <c r="B104" t="s">
        <v>3</v>
      </c>
      <c r="C104" t="s">
        <v>6</v>
      </c>
      <c r="D104" t="s">
        <v>45</v>
      </c>
      <c r="E104">
        <v>120000</v>
      </c>
    </row>
    <row r="105" spans="1:5">
      <c r="A105" t="s">
        <v>34</v>
      </c>
      <c r="B105" t="s">
        <v>3</v>
      </c>
      <c r="C105" t="s">
        <v>6</v>
      </c>
      <c r="D105" t="s">
        <v>45</v>
      </c>
      <c r="E105">
        <v>171428.64</v>
      </c>
    </row>
    <row r="106" spans="1:5">
      <c r="A106" t="s">
        <v>34</v>
      </c>
      <c r="B106" t="s">
        <v>3</v>
      </c>
      <c r="C106" t="s">
        <v>6</v>
      </c>
      <c r="D106" t="s">
        <v>45</v>
      </c>
      <c r="E106">
        <v>280000</v>
      </c>
    </row>
    <row r="107" spans="1:5">
      <c r="A107" t="s">
        <v>34</v>
      </c>
      <c r="B107" t="s">
        <v>3</v>
      </c>
      <c r="C107" t="s">
        <v>6</v>
      </c>
      <c r="D107" t="s">
        <v>45</v>
      </c>
      <c r="E107">
        <v>171429.12</v>
      </c>
    </row>
    <row r="108" spans="1:5">
      <c r="A108" t="s">
        <v>34</v>
      </c>
      <c r="B108" t="s">
        <v>3</v>
      </c>
      <c r="C108" t="s">
        <v>6</v>
      </c>
      <c r="D108" t="s">
        <v>45</v>
      </c>
      <c r="E108">
        <v>257142.9</v>
      </c>
    </row>
    <row r="109" spans="1:5">
      <c r="A109" t="s">
        <v>34</v>
      </c>
      <c r="B109" t="s">
        <v>3</v>
      </c>
      <c r="C109" t="s">
        <v>6</v>
      </c>
      <c r="D109" t="s">
        <v>45</v>
      </c>
      <c r="E109">
        <v>181800</v>
      </c>
    </row>
    <row r="110" spans="1:5">
      <c r="A110" t="s">
        <v>30</v>
      </c>
      <c r="B110" t="s">
        <v>3</v>
      </c>
      <c r="C110" t="s">
        <v>6</v>
      </c>
      <c r="D110" t="s">
        <v>45</v>
      </c>
      <c r="E110">
        <v>144000</v>
      </c>
    </row>
    <row r="111" spans="1:5">
      <c r="A111" t="s">
        <v>30</v>
      </c>
      <c r="B111" t="s">
        <v>3</v>
      </c>
      <c r="C111" t="s">
        <v>6</v>
      </c>
      <c r="D111" t="s">
        <v>45</v>
      </c>
      <c r="E111">
        <v>100800</v>
      </c>
    </row>
    <row r="112" spans="1:5">
      <c r="A112" t="s">
        <v>30</v>
      </c>
      <c r="B112" t="s">
        <v>3</v>
      </c>
      <c r="C112" t="s">
        <v>6</v>
      </c>
      <c r="D112" t="s">
        <v>45</v>
      </c>
      <c r="E112">
        <v>100800</v>
      </c>
    </row>
    <row r="113" spans="1:5">
      <c r="A113" t="s">
        <v>30</v>
      </c>
      <c r="B113" t="s">
        <v>3</v>
      </c>
      <c r="C113" t="s">
        <v>6</v>
      </c>
      <c r="D113" t="s">
        <v>45</v>
      </c>
      <c r="E113">
        <v>144000</v>
      </c>
    </row>
    <row r="114" spans="1:5">
      <c r="A114" t="s">
        <v>30</v>
      </c>
      <c r="B114" t="s">
        <v>3</v>
      </c>
      <c r="C114" t="s">
        <v>6</v>
      </c>
      <c r="D114" t="s">
        <v>45</v>
      </c>
      <c r="E114">
        <v>144000</v>
      </c>
    </row>
    <row r="115" spans="1:5">
      <c r="A115" t="s">
        <v>30</v>
      </c>
      <c r="B115" t="s">
        <v>3</v>
      </c>
      <c r="C115" t="s">
        <v>6</v>
      </c>
      <c r="D115" t="s">
        <v>45</v>
      </c>
      <c r="E115">
        <v>100800</v>
      </c>
    </row>
    <row r="116" spans="1:5">
      <c r="A116" t="s">
        <v>30</v>
      </c>
      <c r="B116" t="s">
        <v>3</v>
      </c>
      <c r="C116" t="s">
        <v>6</v>
      </c>
      <c r="D116" t="s">
        <v>45</v>
      </c>
      <c r="E116">
        <v>100800</v>
      </c>
    </row>
    <row r="117" spans="1:5">
      <c r="A117" t="s">
        <v>30</v>
      </c>
      <c r="B117" t="s">
        <v>3</v>
      </c>
      <c r="C117" t="s">
        <v>6</v>
      </c>
      <c r="D117" t="s">
        <v>45</v>
      </c>
      <c r="E117">
        <v>144000</v>
      </c>
    </row>
    <row r="118" spans="1:5">
      <c r="A118" t="s">
        <v>30</v>
      </c>
      <c r="B118" t="s">
        <v>3</v>
      </c>
      <c r="C118" t="s">
        <v>6</v>
      </c>
      <c r="D118" t="s">
        <v>45</v>
      </c>
      <c r="E118">
        <v>72000</v>
      </c>
    </row>
    <row r="119" spans="1:5">
      <c r="A119" t="s">
        <v>24</v>
      </c>
      <c r="B119" t="s">
        <v>3</v>
      </c>
      <c r="C119" t="s">
        <v>6</v>
      </c>
      <c r="D119" t="s">
        <v>45</v>
      </c>
      <c r="E119">
        <v>257142.84</v>
      </c>
    </row>
    <row r="120" spans="1:5">
      <c r="A120" t="s">
        <v>24</v>
      </c>
      <c r="B120" t="s">
        <v>3</v>
      </c>
      <c r="C120" t="s">
        <v>6</v>
      </c>
      <c r="D120" t="s">
        <v>45</v>
      </c>
      <c r="E120">
        <v>84000</v>
      </c>
    </row>
    <row r="121" spans="1:5">
      <c r="A121" t="s">
        <v>24</v>
      </c>
      <c r="B121" t="s">
        <v>3</v>
      </c>
      <c r="C121" t="s">
        <v>6</v>
      </c>
      <c r="D121" t="s">
        <v>45</v>
      </c>
      <c r="E121">
        <v>120000</v>
      </c>
    </row>
    <row r="122" spans="1:5">
      <c r="A122" t="s">
        <v>24</v>
      </c>
      <c r="B122" t="s">
        <v>3</v>
      </c>
      <c r="C122" t="s">
        <v>6</v>
      </c>
      <c r="D122" t="s">
        <v>45</v>
      </c>
      <c r="E122">
        <v>264000</v>
      </c>
    </row>
    <row r="123" spans="1:5">
      <c r="A123" t="s">
        <v>24</v>
      </c>
      <c r="B123" t="s">
        <v>3</v>
      </c>
      <c r="C123" t="s">
        <v>6</v>
      </c>
      <c r="D123" t="s">
        <v>45</v>
      </c>
      <c r="E123">
        <v>216000</v>
      </c>
    </row>
    <row r="124" spans="1:5">
      <c r="A124" t="s">
        <v>24</v>
      </c>
      <c r="B124" t="s">
        <v>3</v>
      </c>
      <c r="C124" t="s">
        <v>6</v>
      </c>
      <c r="D124" t="s">
        <v>45</v>
      </c>
      <c r="E124">
        <v>144000</v>
      </c>
    </row>
    <row r="125" spans="1:5">
      <c r="A125" t="s">
        <v>24</v>
      </c>
      <c r="B125" t="s">
        <v>3</v>
      </c>
      <c r="C125" t="s">
        <v>6</v>
      </c>
      <c r="D125" t="s">
        <v>45</v>
      </c>
      <c r="E125">
        <v>132000</v>
      </c>
    </row>
    <row r="126" spans="1:5">
      <c r="A126" t="s">
        <v>24</v>
      </c>
      <c r="B126" t="s">
        <v>3</v>
      </c>
      <c r="C126" t="s">
        <v>6</v>
      </c>
      <c r="D126" t="s">
        <v>45</v>
      </c>
      <c r="E126">
        <v>252000</v>
      </c>
    </row>
    <row r="127" spans="1:5">
      <c r="A127" t="s">
        <v>24</v>
      </c>
      <c r="B127" t="s">
        <v>3</v>
      </c>
      <c r="C127" t="s">
        <v>6</v>
      </c>
      <c r="D127" t="s">
        <v>45</v>
      </c>
      <c r="E127">
        <v>84000</v>
      </c>
    </row>
    <row r="128" spans="1:5">
      <c r="A128" t="s">
        <v>24</v>
      </c>
      <c r="B128" t="s">
        <v>3</v>
      </c>
      <c r="C128" t="s">
        <v>6</v>
      </c>
      <c r="D128" t="s">
        <v>45</v>
      </c>
      <c r="E128">
        <v>84000</v>
      </c>
    </row>
    <row r="129" spans="1:5">
      <c r="A129" t="s">
        <v>24</v>
      </c>
      <c r="B129" t="s">
        <v>3</v>
      </c>
      <c r="C129" t="s">
        <v>6</v>
      </c>
      <c r="D129" t="s">
        <v>45</v>
      </c>
      <c r="E129">
        <v>276000</v>
      </c>
    </row>
    <row r="130" spans="1:5">
      <c r="A130" t="s">
        <v>24</v>
      </c>
      <c r="B130" t="s">
        <v>3</v>
      </c>
      <c r="C130" t="s">
        <v>6</v>
      </c>
      <c r="D130" t="s">
        <v>45</v>
      </c>
      <c r="E130">
        <v>144000</v>
      </c>
    </row>
    <row r="131" spans="1:5">
      <c r="A131" t="s">
        <v>24</v>
      </c>
      <c r="B131" t="s">
        <v>3</v>
      </c>
      <c r="C131" t="s">
        <v>6</v>
      </c>
      <c r="D131" t="s">
        <v>45</v>
      </c>
      <c r="E131">
        <v>108000</v>
      </c>
    </row>
    <row r="132" spans="1:5">
      <c r="A132" t="s">
        <v>24</v>
      </c>
      <c r="B132" t="s">
        <v>3</v>
      </c>
      <c r="C132" t="s">
        <v>6</v>
      </c>
      <c r="D132" t="s">
        <v>45</v>
      </c>
      <c r="E132">
        <v>240000</v>
      </c>
    </row>
    <row r="133" spans="1:5">
      <c r="A133" t="s">
        <v>26</v>
      </c>
      <c r="B133" t="s">
        <v>3</v>
      </c>
      <c r="C133" t="s">
        <v>6</v>
      </c>
      <c r="D133" t="s">
        <v>45</v>
      </c>
      <c r="E133">
        <v>84000</v>
      </c>
    </row>
    <row r="134" spans="1:5">
      <c r="A134" t="s">
        <v>26</v>
      </c>
      <c r="B134" t="s">
        <v>3</v>
      </c>
      <c r="C134" t="s">
        <v>6</v>
      </c>
      <c r="D134" t="s">
        <v>45</v>
      </c>
      <c r="E134">
        <v>120000</v>
      </c>
    </row>
    <row r="135" spans="1:5">
      <c r="A135" t="s">
        <v>26</v>
      </c>
      <c r="B135" t="s">
        <v>3</v>
      </c>
      <c r="C135" t="s">
        <v>6</v>
      </c>
      <c r="D135" t="s">
        <v>45</v>
      </c>
      <c r="E135">
        <v>180000</v>
      </c>
    </row>
    <row r="136" spans="1:5">
      <c r="A136" t="s">
        <v>26</v>
      </c>
      <c r="B136" t="s">
        <v>3</v>
      </c>
      <c r="C136" t="s">
        <v>6</v>
      </c>
      <c r="D136" t="s">
        <v>45</v>
      </c>
      <c r="E136">
        <v>120000</v>
      </c>
    </row>
    <row r="137" spans="1:5">
      <c r="A137" t="s">
        <v>26</v>
      </c>
      <c r="B137" t="s">
        <v>3</v>
      </c>
      <c r="C137" t="s">
        <v>6</v>
      </c>
      <c r="D137" t="s">
        <v>45</v>
      </c>
      <c r="E137">
        <v>216000</v>
      </c>
    </row>
    <row r="138" spans="1:5">
      <c r="A138" t="s">
        <v>26</v>
      </c>
      <c r="B138" t="s">
        <v>3</v>
      </c>
      <c r="C138" t="s">
        <v>6</v>
      </c>
      <c r="D138" t="s">
        <v>45</v>
      </c>
      <c r="E138">
        <v>240000</v>
      </c>
    </row>
    <row r="139" spans="1:5">
      <c r="A139" t="s">
        <v>26</v>
      </c>
      <c r="B139" t="s">
        <v>3</v>
      </c>
      <c r="C139" t="s">
        <v>6</v>
      </c>
      <c r="D139" t="s">
        <v>45</v>
      </c>
      <c r="E139">
        <v>156000</v>
      </c>
    </row>
    <row r="140" spans="1:5">
      <c r="A140" t="s">
        <v>26</v>
      </c>
      <c r="B140" t="s">
        <v>3</v>
      </c>
      <c r="C140" t="s">
        <v>6</v>
      </c>
      <c r="D140" t="s">
        <v>45</v>
      </c>
      <c r="E140">
        <v>96000</v>
      </c>
    </row>
    <row r="141" spans="1:5">
      <c r="A141" t="s">
        <v>26</v>
      </c>
      <c r="B141" t="s">
        <v>3</v>
      </c>
      <c r="C141" t="s">
        <v>6</v>
      </c>
      <c r="D141" t="s">
        <v>45</v>
      </c>
      <c r="E141">
        <v>24000</v>
      </c>
    </row>
    <row r="142" spans="1:5">
      <c r="A142" t="s">
        <v>26</v>
      </c>
      <c r="B142" t="s">
        <v>3</v>
      </c>
      <c r="C142" t="s">
        <v>6</v>
      </c>
      <c r="D142" t="s">
        <v>45</v>
      </c>
      <c r="E142">
        <v>96000</v>
      </c>
    </row>
    <row r="143" spans="1:5">
      <c r="A143" t="s">
        <v>26</v>
      </c>
      <c r="B143" t="s">
        <v>3</v>
      </c>
      <c r="C143" t="s">
        <v>6</v>
      </c>
      <c r="D143" t="s">
        <v>45</v>
      </c>
      <c r="E143">
        <v>96000</v>
      </c>
    </row>
    <row r="144" spans="1:5">
      <c r="A144" t="s">
        <v>26</v>
      </c>
      <c r="B144" t="s">
        <v>3</v>
      </c>
      <c r="C144" t="s">
        <v>6</v>
      </c>
      <c r="D144" t="s">
        <v>45</v>
      </c>
      <c r="E144">
        <v>60000</v>
      </c>
    </row>
    <row r="145" spans="1:5">
      <c r="A145" t="s">
        <v>26</v>
      </c>
      <c r="B145" t="s">
        <v>3</v>
      </c>
      <c r="C145" t="s">
        <v>6</v>
      </c>
      <c r="D145" t="s">
        <v>45</v>
      </c>
      <c r="E145">
        <v>96000</v>
      </c>
    </row>
    <row r="146" spans="1:5">
      <c r="A146" t="s">
        <v>26</v>
      </c>
      <c r="B146" t="s">
        <v>3</v>
      </c>
      <c r="C146" t="s">
        <v>6</v>
      </c>
      <c r="D146" t="s">
        <v>45</v>
      </c>
      <c r="E146">
        <v>84000</v>
      </c>
    </row>
    <row r="147" spans="1:5">
      <c r="A147" t="s">
        <v>26</v>
      </c>
      <c r="B147" t="s">
        <v>3</v>
      </c>
      <c r="C147" t="s">
        <v>6</v>
      </c>
      <c r="D147" t="s">
        <v>45</v>
      </c>
      <c r="E147">
        <v>78000</v>
      </c>
    </row>
    <row r="148" spans="1:5">
      <c r="A148" t="s">
        <v>26</v>
      </c>
      <c r="B148" t="s">
        <v>3</v>
      </c>
      <c r="C148" t="s">
        <v>6</v>
      </c>
      <c r="D148" t="s">
        <v>45</v>
      </c>
      <c r="E148">
        <v>78000</v>
      </c>
    </row>
    <row r="149" spans="1:5">
      <c r="A149" t="s">
        <v>26</v>
      </c>
      <c r="B149" t="s">
        <v>3</v>
      </c>
      <c r="C149" t="s">
        <v>6</v>
      </c>
      <c r="D149" t="s">
        <v>45</v>
      </c>
      <c r="E149">
        <v>96000</v>
      </c>
    </row>
    <row r="150" spans="1:5">
      <c r="A150" t="s">
        <v>26</v>
      </c>
      <c r="B150" t="s">
        <v>3</v>
      </c>
      <c r="C150" t="s">
        <v>6</v>
      </c>
      <c r="D150" t="s">
        <v>45</v>
      </c>
      <c r="E150">
        <v>96000</v>
      </c>
    </row>
    <row r="151" spans="1:5">
      <c r="A151" t="s">
        <v>26</v>
      </c>
      <c r="B151" t="s">
        <v>3</v>
      </c>
      <c r="C151" t="s">
        <v>6</v>
      </c>
      <c r="D151" t="s">
        <v>45</v>
      </c>
      <c r="E151">
        <v>96000</v>
      </c>
    </row>
    <row r="152" spans="1:5">
      <c r="A152" t="s">
        <v>26</v>
      </c>
      <c r="B152" t="s">
        <v>3</v>
      </c>
      <c r="C152" t="s">
        <v>6</v>
      </c>
      <c r="D152" t="s">
        <v>45</v>
      </c>
      <c r="E152">
        <v>48000</v>
      </c>
    </row>
    <row r="153" spans="1:5">
      <c r="A153" t="s">
        <v>26</v>
      </c>
      <c r="B153" t="s">
        <v>3</v>
      </c>
      <c r="C153" t="s">
        <v>6</v>
      </c>
      <c r="D153" t="s">
        <v>45</v>
      </c>
      <c r="E153">
        <v>72000</v>
      </c>
    </row>
    <row r="154" spans="1:5">
      <c r="A154" t="s">
        <v>26</v>
      </c>
      <c r="B154" t="s">
        <v>3</v>
      </c>
      <c r="C154" t="s">
        <v>6</v>
      </c>
      <c r="D154" t="s">
        <v>45</v>
      </c>
      <c r="E154">
        <v>72000</v>
      </c>
    </row>
    <row r="155" spans="1:5">
      <c r="A155" t="s">
        <v>26</v>
      </c>
      <c r="B155" t="s">
        <v>3</v>
      </c>
      <c r="C155" t="s">
        <v>6</v>
      </c>
      <c r="D155" t="s">
        <v>45</v>
      </c>
      <c r="E155">
        <v>96000</v>
      </c>
    </row>
    <row r="156" spans="1:5">
      <c r="A156" t="s">
        <v>26</v>
      </c>
      <c r="B156" t="s">
        <v>3</v>
      </c>
      <c r="C156" t="s">
        <v>6</v>
      </c>
      <c r="D156" t="s">
        <v>45</v>
      </c>
      <c r="E156">
        <v>180000</v>
      </c>
    </row>
    <row r="157" spans="1:5">
      <c r="A157" t="s">
        <v>26</v>
      </c>
      <c r="B157" t="s">
        <v>3</v>
      </c>
      <c r="C157" t="s">
        <v>6</v>
      </c>
      <c r="D157" t="s">
        <v>45</v>
      </c>
      <c r="E157">
        <v>96000</v>
      </c>
    </row>
    <row r="158" spans="1:5">
      <c r="A158" t="s">
        <v>26</v>
      </c>
      <c r="B158" t="s">
        <v>3</v>
      </c>
      <c r="C158" t="s">
        <v>6</v>
      </c>
      <c r="D158" t="s">
        <v>45</v>
      </c>
      <c r="E158">
        <v>96000</v>
      </c>
    </row>
    <row r="159" spans="1:5">
      <c r="A159" t="s">
        <v>26</v>
      </c>
      <c r="B159" t="s">
        <v>3</v>
      </c>
      <c r="C159" t="s">
        <v>6</v>
      </c>
      <c r="D159" t="s">
        <v>45</v>
      </c>
      <c r="E159">
        <v>96000</v>
      </c>
    </row>
    <row r="160" spans="1:5">
      <c r="A160" t="s">
        <v>26</v>
      </c>
      <c r="B160" t="s">
        <v>3</v>
      </c>
      <c r="C160" t="s">
        <v>6</v>
      </c>
      <c r="D160" t="s">
        <v>45</v>
      </c>
      <c r="E160">
        <v>96000</v>
      </c>
    </row>
    <row r="161" spans="1:5">
      <c r="A161" t="s">
        <v>26</v>
      </c>
      <c r="B161" t="s">
        <v>3</v>
      </c>
      <c r="C161" t="s">
        <v>6</v>
      </c>
      <c r="D161" t="s">
        <v>45</v>
      </c>
      <c r="E161">
        <v>96000</v>
      </c>
    </row>
    <row r="162" spans="1:5">
      <c r="A162" t="s">
        <v>26</v>
      </c>
      <c r="B162" t="s">
        <v>3</v>
      </c>
      <c r="C162" t="s">
        <v>6</v>
      </c>
      <c r="D162" t="s">
        <v>45</v>
      </c>
      <c r="E162">
        <v>96000</v>
      </c>
    </row>
    <row r="163" spans="1:5">
      <c r="A163" t="s">
        <v>26</v>
      </c>
      <c r="B163" t="s">
        <v>3</v>
      </c>
      <c r="C163" t="s">
        <v>6</v>
      </c>
      <c r="D163" t="s">
        <v>45</v>
      </c>
      <c r="E163">
        <v>72000</v>
      </c>
    </row>
    <row r="164" spans="1:5">
      <c r="A164" t="s">
        <v>26</v>
      </c>
      <c r="B164" t="s">
        <v>3</v>
      </c>
      <c r="C164" t="s">
        <v>6</v>
      </c>
      <c r="D164" t="s">
        <v>45</v>
      </c>
      <c r="E164">
        <v>120000</v>
      </c>
    </row>
    <row r="165" spans="1:5">
      <c r="A165" t="s">
        <v>26</v>
      </c>
      <c r="B165" t="s">
        <v>3</v>
      </c>
      <c r="C165" t="s">
        <v>6</v>
      </c>
      <c r="D165" t="s">
        <v>45</v>
      </c>
      <c r="E165">
        <v>120000</v>
      </c>
    </row>
    <row r="166" spans="1:5">
      <c r="A166" t="s">
        <v>26</v>
      </c>
      <c r="B166" t="s">
        <v>3</v>
      </c>
      <c r="C166" t="s">
        <v>6</v>
      </c>
      <c r="D166" t="s">
        <v>45</v>
      </c>
      <c r="E166">
        <v>96000</v>
      </c>
    </row>
    <row r="167" spans="1:5">
      <c r="A167" t="s">
        <v>26</v>
      </c>
      <c r="B167" t="s">
        <v>3</v>
      </c>
      <c r="C167" t="s">
        <v>6</v>
      </c>
      <c r="D167" t="s">
        <v>45</v>
      </c>
      <c r="E167">
        <v>300000</v>
      </c>
    </row>
    <row r="168" spans="1:5">
      <c r="A168" t="s">
        <v>26</v>
      </c>
      <c r="B168" t="s">
        <v>3</v>
      </c>
      <c r="C168" t="s">
        <v>6</v>
      </c>
      <c r="D168" t="s">
        <v>45</v>
      </c>
      <c r="E168">
        <v>130000</v>
      </c>
    </row>
    <row r="169" spans="1:5">
      <c r="A169" t="s">
        <v>26</v>
      </c>
      <c r="B169" t="s">
        <v>3</v>
      </c>
      <c r="C169" t="s">
        <v>6</v>
      </c>
      <c r="D169" t="s">
        <v>45</v>
      </c>
      <c r="E169">
        <v>130000</v>
      </c>
    </row>
    <row r="170" spans="1:5">
      <c r="A170" t="s">
        <v>26</v>
      </c>
      <c r="B170" t="s">
        <v>3</v>
      </c>
      <c r="C170" t="s">
        <v>6</v>
      </c>
      <c r="D170" t="s">
        <v>45</v>
      </c>
      <c r="E170">
        <v>78000</v>
      </c>
    </row>
    <row r="171" spans="1:5">
      <c r="A171" t="s">
        <v>28</v>
      </c>
      <c r="B171" t="s">
        <v>3</v>
      </c>
      <c r="C171" t="s">
        <v>6</v>
      </c>
      <c r="D171" t="s">
        <v>45</v>
      </c>
      <c r="E171">
        <v>120000</v>
      </c>
    </row>
    <row r="172" spans="1:5">
      <c r="A172" t="s">
        <v>28</v>
      </c>
      <c r="B172" t="s">
        <v>3</v>
      </c>
      <c r="C172" t="s">
        <v>6</v>
      </c>
      <c r="D172" t="s">
        <v>45</v>
      </c>
      <c r="E172">
        <v>120000</v>
      </c>
    </row>
    <row r="173" spans="1:5">
      <c r="A173" t="s">
        <v>28</v>
      </c>
      <c r="B173" t="s">
        <v>3</v>
      </c>
      <c r="C173" t="s">
        <v>6</v>
      </c>
      <c r="D173" t="s">
        <v>45</v>
      </c>
      <c r="E173">
        <v>121212.12</v>
      </c>
    </row>
    <row r="174" spans="1:5">
      <c r="A174" t="s">
        <v>28</v>
      </c>
      <c r="B174" t="s">
        <v>3</v>
      </c>
      <c r="C174" t="s">
        <v>6</v>
      </c>
      <c r="D174" t="s">
        <v>45</v>
      </c>
      <c r="E174">
        <v>694285.68</v>
      </c>
    </row>
    <row r="175" spans="1:5">
      <c r="A175" t="s">
        <v>28</v>
      </c>
      <c r="B175" t="s">
        <v>3</v>
      </c>
      <c r="C175" t="s">
        <v>6</v>
      </c>
      <c r="D175" t="s">
        <v>45</v>
      </c>
      <c r="E175">
        <v>127272.72</v>
      </c>
    </row>
    <row r="176" spans="1:5">
      <c r="A176" t="s">
        <v>28</v>
      </c>
      <c r="B176" t="s">
        <v>3</v>
      </c>
      <c r="C176" t="s">
        <v>6</v>
      </c>
      <c r="D176" t="s">
        <v>45</v>
      </c>
      <c r="E176">
        <v>193939.44</v>
      </c>
    </row>
    <row r="177" spans="1:5">
      <c r="A177" t="s">
        <v>28</v>
      </c>
      <c r="B177" t="s">
        <v>3</v>
      </c>
      <c r="C177" t="s">
        <v>6</v>
      </c>
      <c r="D177" t="s">
        <v>45</v>
      </c>
      <c r="E177">
        <v>240000</v>
      </c>
    </row>
    <row r="178" spans="1:5">
      <c r="A178" t="s">
        <v>28</v>
      </c>
      <c r="B178" t="s">
        <v>3</v>
      </c>
      <c r="C178" t="s">
        <v>6</v>
      </c>
      <c r="D178" t="s">
        <v>45</v>
      </c>
      <c r="E178">
        <v>377142.72</v>
      </c>
    </row>
    <row r="179" spans="1:5">
      <c r="A179" t="s">
        <v>28</v>
      </c>
      <c r="B179" t="s">
        <v>3</v>
      </c>
      <c r="C179" t="s">
        <v>6</v>
      </c>
      <c r="D179" t="s">
        <v>45</v>
      </c>
      <c r="E179">
        <v>342857.04</v>
      </c>
    </row>
    <row r="180" spans="1:5">
      <c r="A180" t="s">
        <v>28</v>
      </c>
      <c r="B180" t="s">
        <v>3</v>
      </c>
      <c r="C180" t="s">
        <v>6</v>
      </c>
      <c r="D180" t="s">
        <v>45</v>
      </c>
      <c r="E180">
        <v>126000</v>
      </c>
    </row>
    <row r="181" spans="1:5">
      <c r="A181" t="s">
        <v>28</v>
      </c>
      <c r="B181" t="s">
        <v>3</v>
      </c>
      <c r="C181" t="s">
        <v>6</v>
      </c>
      <c r="D181" t="s">
        <v>45</v>
      </c>
      <c r="E181">
        <v>126000</v>
      </c>
    </row>
    <row r="182" spans="1:5">
      <c r="A182" t="s">
        <v>31</v>
      </c>
      <c r="B182" t="s">
        <v>3</v>
      </c>
      <c r="C182" t="s">
        <v>6</v>
      </c>
      <c r="D182" t="s">
        <v>45</v>
      </c>
      <c r="E182">
        <v>84000</v>
      </c>
    </row>
    <row r="183" spans="1:5">
      <c r="A183" t="s">
        <v>31</v>
      </c>
      <c r="B183" t="s">
        <v>3</v>
      </c>
      <c r="C183" t="s">
        <v>6</v>
      </c>
      <c r="D183" t="s">
        <v>45</v>
      </c>
      <c r="E183">
        <v>109200</v>
      </c>
    </row>
    <row r="184" spans="1:5">
      <c r="A184" t="s">
        <v>31</v>
      </c>
      <c r="B184" t="s">
        <v>3</v>
      </c>
      <c r="C184" t="s">
        <v>6</v>
      </c>
      <c r="D184" t="s">
        <v>45</v>
      </c>
      <c r="E184">
        <v>124800</v>
      </c>
    </row>
    <row r="185" spans="1:5">
      <c r="A185" t="s">
        <v>31</v>
      </c>
      <c r="B185" t="s">
        <v>3</v>
      </c>
      <c r="C185" t="s">
        <v>6</v>
      </c>
      <c r="D185" t="s">
        <v>45</v>
      </c>
      <c r="E185">
        <v>85800</v>
      </c>
    </row>
    <row r="186" spans="1:5">
      <c r="A186" t="s">
        <v>31</v>
      </c>
      <c r="B186" t="s">
        <v>3</v>
      </c>
      <c r="C186" t="s">
        <v>6</v>
      </c>
      <c r="D186" t="s">
        <v>45</v>
      </c>
      <c r="E186">
        <v>109200</v>
      </c>
    </row>
    <row r="187" spans="1:5">
      <c r="A187" t="s">
        <v>31</v>
      </c>
      <c r="B187" t="s">
        <v>3</v>
      </c>
      <c r="C187" t="s">
        <v>6</v>
      </c>
      <c r="D187" t="s">
        <v>45</v>
      </c>
      <c r="E187">
        <v>78000</v>
      </c>
    </row>
    <row r="188" spans="1:5">
      <c r="A188" t="s">
        <v>31</v>
      </c>
      <c r="B188" t="s">
        <v>3</v>
      </c>
      <c r="C188" t="s">
        <v>6</v>
      </c>
      <c r="D188" t="s">
        <v>45</v>
      </c>
      <c r="E188">
        <v>62400</v>
      </c>
    </row>
    <row r="189" spans="1:5">
      <c r="A189" t="s">
        <v>31</v>
      </c>
      <c r="B189" t="s">
        <v>3</v>
      </c>
      <c r="C189" t="s">
        <v>6</v>
      </c>
      <c r="D189" t="s">
        <v>45</v>
      </c>
      <c r="E189">
        <v>72000</v>
      </c>
    </row>
    <row r="190" spans="1:5">
      <c r="A190" t="s">
        <v>31</v>
      </c>
      <c r="B190" t="s">
        <v>3</v>
      </c>
      <c r="C190" t="s">
        <v>6</v>
      </c>
      <c r="D190" t="s">
        <v>45</v>
      </c>
      <c r="E190">
        <v>90000</v>
      </c>
    </row>
    <row r="191" spans="1:5">
      <c r="A191" t="s">
        <v>31</v>
      </c>
      <c r="B191" t="s">
        <v>3</v>
      </c>
      <c r="C191" t="s">
        <v>6</v>
      </c>
      <c r="D191" t="s">
        <v>45</v>
      </c>
      <c r="E191">
        <v>84000</v>
      </c>
    </row>
    <row r="192" spans="1:5">
      <c r="A192" t="s">
        <v>31</v>
      </c>
      <c r="B192" t="s">
        <v>3</v>
      </c>
      <c r="C192" t="s">
        <v>6</v>
      </c>
      <c r="D192" t="s">
        <v>45</v>
      </c>
      <c r="E192">
        <v>84000</v>
      </c>
    </row>
    <row r="193" spans="1:5">
      <c r="A193" t="s">
        <v>31</v>
      </c>
      <c r="B193" t="s">
        <v>3</v>
      </c>
      <c r="C193" t="s">
        <v>6</v>
      </c>
      <c r="D193" t="s">
        <v>45</v>
      </c>
      <c r="E193">
        <v>96000</v>
      </c>
    </row>
    <row r="194" spans="1:5">
      <c r="A194" t="s">
        <v>31</v>
      </c>
      <c r="B194" t="s">
        <v>3</v>
      </c>
      <c r="C194" t="s">
        <v>6</v>
      </c>
      <c r="D194" t="s">
        <v>45</v>
      </c>
      <c r="E194">
        <v>108000</v>
      </c>
    </row>
    <row r="195" spans="1:5">
      <c r="A195" t="s">
        <v>31</v>
      </c>
      <c r="B195" t="s">
        <v>3</v>
      </c>
      <c r="C195" t="s">
        <v>6</v>
      </c>
      <c r="D195" t="s">
        <v>45</v>
      </c>
      <c r="E195">
        <v>78000</v>
      </c>
    </row>
    <row r="196" spans="1:5">
      <c r="A196" t="s">
        <v>31</v>
      </c>
      <c r="B196" t="s">
        <v>3</v>
      </c>
      <c r="C196" t="s">
        <v>6</v>
      </c>
      <c r="D196" t="s">
        <v>45</v>
      </c>
      <c r="E196">
        <v>84000</v>
      </c>
    </row>
    <row r="197" spans="1:5">
      <c r="A197" t="s">
        <v>31</v>
      </c>
      <c r="B197" t="s">
        <v>3</v>
      </c>
      <c r="C197" t="s">
        <v>6</v>
      </c>
      <c r="D197" t="s">
        <v>45</v>
      </c>
      <c r="E197">
        <v>96000</v>
      </c>
    </row>
    <row r="198" spans="1:5">
      <c r="A198" t="s">
        <v>31</v>
      </c>
      <c r="B198" t="s">
        <v>3</v>
      </c>
      <c r="C198" t="s">
        <v>6</v>
      </c>
      <c r="D198" t="s">
        <v>45</v>
      </c>
      <c r="E198">
        <v>96000</v>
      </c>
    </row>
    <row r="199" spans="1:5">
      <c r="A199" t="s">
        <v>31</v>
      </c>
      <c r="B199" t="s">
        <v>3</v>
      </c>
      <c r="C199" t="s">
        <v>6</v>
      </c>
      <c r="D199" t="s">
        <v>45</v>
      </c>
      <c r="E199">
        <v>72000</v>
      </c>
    </row>
    <row r="200" spans="1:5">
      <c r="A200" t="s">
        <v>31</v>
      </c>
      <c r="B200" t="s">
        <v>3</v>
      </c>
      <c r="C200" t="s">
        <v>6</v>
      </c>
      <c r="D200" t="s">
        <v>45</v>
      </c>
      <c r="E200">
        <v>72000</v>
      </c>
    </row>
    <row r="201" spans="1:5">
      <c r="A201" t="s">
        <v>31</v>
      </c>
      <c r="B201" t="s">
        <v>3</v>
      </c>
      <c r="C201" t="s">
        <v>6</v>
      </c>
      <c r="D201" t="s">
        <v>45</v>
      </c>
      <c r="E201">
        <v>96000</v>
      </c>
    </row>
    <row r="202" spans="1:5">
      <c r="A202" t="s">
        <v>31</v>
      </c>
      <c r="B202" t="s">
        <v>3</v>
      </c>
      <c r="C202" t="s">
        <v>6</v>
      </c>
      <c r="D202" t="s">
        <v>45</v>
      </c>
      <c r="E202">
        <v>144000</v>
      </c>
    </row>
    <row r="203" spans="1:5">
      <c r="A203" t="s">
        <v>31</v>
      </c>
      <c r="B203" t="s">
        <v>3</v>
      </c>
      <c r="C203" t="s">
        <v>6</v>
      </c>
      <c r="D203" t="s">
        <v>45</v>
      </c>
      <c r="E203">
        <v>132000</v>
      </c>
    </row>
    <row r="204" spans="1:5">
      <c r="A204" t="s">
        <v>31</v>
      </c>
      <c r="B204" t="s">
        <v>3</v>
      </c>
      <c r="C204" t="s">
        <v>6</v>
      </c>
      <c r="D204" t="s">
        <v>45</v>
      </c>
      <c r="E204">
        <v>96000</v>
      </c>
    </row>
    <row r="205" spans="1:5">
      <c r="A205" t="s">
        <v>31</v>
      </c>
      <c r="B205" t="s">
        <v>3</v>
      </c>
      <c r="C205" t="s">
        <v>6</v>
      </c>
      <c r="D205" t="s">
        <v>45</v>
      </c>
      <c r="E205">
        <v>124800</v>
      </c>
    </row>
    <row r="206" spans="1:5">
      <c r="A206" t="s">
        <v>31</v>
      </c>
      <c r="B206" t="s">
        <v>3</v>
      </c>
      <c r="C206" t="s">
        <v>6</v>
      </c>
      <c r="D206" t="s">
        <v>45</v>
      </c>
      <c r="E206">
        <v>171428.52</v>
      </c>
    </row>
    <row r="207" spans="1:5">
      <c r="A207" t="s">
        <v>31</v>
      </c>
      <c r="B207" t="s">
        <v>3</v>
      </c>
      <c r="C207" t="s">
        <v>6</v>
      </c>
      <c r="D207" t="s">
        <v>45</v>
      </c>
      <c r="E207">
        <v>180000</v>
      </c>
    </row>
    <row r="208" spans="1:5">
      <c r="A208" t="s">
        <v>31</v>
      </c>
      <c r="B208" t="s">
        <v>3</v>
      </c>
      <c r="C208" t="s">
        <v>6</v>
      </c>
      <c r="D208" t="s">
        <v>45</v>
      </c>
      <c r="E208">
        <v>120000</v>
      </c>
    </row>
    <row r="209" spans="1:5">
      <c r="A209" t="s">
        <v>31</v>
      </c>
      <c r="B209" t="s">
        <v>3</v>
      </c>
      <c r="C209" t="s">
        <v>6</v>
      </c>
      <c r="D209" t="s">
        <v>45</v>
      </c>
      <c r="E209">
        <v>96000</v>
      </c>
    </row>
    <row r="210" spans="1:5">
      <c r="A210" t="s">
        <v>31</v>
      </c>
      <c r="B210" t="s">
        <v>3</v>
      </c>
      <c r="C210" t="s">
        <v>6</v>
      </c>
      <c r="D210" t="s">
        <v>45</v>
      </c>
      <c r="E210">
        <v>84000</v>
      </c>
    </row>
    <row r="211" spans="1:5">
      <c r="A211" t="s">
        <v>31</v>
      </c>
      <c r="B211" t="s">
        <v>3</v>
      </c>
      <c r="C211" t="s">
        <v>6</v>
      </c>
      <c r="D211" t="s">
        <v>45</v>
      </c>
      <c r="E211">
        <v>96000</v>
      </c>
    </row>
    <row r="212" spans="1:5">
      <c r="A212" t="s">
        <v>31</v>
      </c>
      <c r="B212" t="s">
        <v>3</v>
      </c>
      <c r="C212" t="s">
        <v>6</v>
      </c>
      <c r="D212" t="s">
        <v>45</v>
      </c>
      <c r="E212">
        <v>96000</v>
      </c>
    </row>
    <row r="213" spans="1:5">
      <c r="A213" t="s">
        <v>31</v>
      </c>
      <c r="B213" t="s">
        <v>3</v>
      </c>
      <c r="C213" t="s">
        <v>6</v>
      </c>
      <c r="D213" t="s">
        <v>45</v>
      </c>
      <c r="E213">
        <v>84000</v>
      </c>
    </row>
    <row r="214" spans="1:5">
      <c r="A214" t="s">
        <v>31</v>
      </c>
      <c r="B214" t="s">
        <v>3</v>
      </c>
      <c r="C214" t="s">
        <v>6</v>
      </c>
      <c r="D214" t="s">
        <v>45</v>
      </c>
      <c r="E214">
        <v>96000</v>
      </c>
    </row>
    <row r="215" spans="1:5">
      <c r="A215" t="s">
        <v>31</v>
      </c>
      <c r="B215" t="s">
        <v>3</v>
      </c>
      <c r="C215" t="s">
        <v>6</v>
      </c>
      <c r="D215" t="s">
        <v>45</v>
      </c>
      <c r="E215">
        <v>96000</v>
      </c>
    </row>
    <row r="216" spans="1:5">
      <c r="A216" t="s">
        <v>31</v>
      </c>
      <c r="B216" t="s">
        <v>3</v>
      </c>
      <c r="C216" t="s">
        <v>6</v>
      </c>
      <c r="D216" t="s">
        <v>45</v>
      </c>
      <c r="E216">
        <v>96000</v>
      </c>
    </row>
    <row r="217" spans="1:5">
      <c r="A217" t="s">
        <v>31</v>
      </c>
      <c r="B217" t="s">
        <v>3</v>
      </c>
      <c r="C217" t="s">
        <v>6</v>
      </c>
      <c r="D217" t="s">
        <v>45</v>
      </c>
      <c r="E217">
        <v>96000</v>
      </c>
    </row>
    <row r="218" spans="1:5">
      <c r="A218" t="s">
        <v>31</v>
      </c>
      <c r="B218" t="s">
        <v>3</v>
      </c>
      <c r="C218" t="s">
        <v>6</v>
      </c>
      <c r="D218" t="s">
        <v>45</v>
      </c>
      <c r="E218">
        <v>96000</v>
      </c>
    </row>
    <row r="219" spans="1:5">
      <c r="A219" t="s">
        <v>31</v>
      </c>
      <c r="B219" t="s">
        <v>3</v>
      </c>
      <c r="C219" t="s">
        <v>6</v>
      </c>
      <c r="D219" t="s">
        <v>45</v>
      </c>
      <c r="E219">
        <v>96000</v>
      </c>
    </row>
    <row r="220" spans="1:5">
      <c r="A220" t="s">
        <v>31</v>
      </c>
      <c r="B220" t="s">
        <v>3</v>
      </c>
      <c r="C220" t="s">
        <v>6</v>
      </c>
      <c r="D220" t="s">
        <v>45</v>
      </c>
      <c r="E220">
        <v>96000</v>
      </c>
    </row>
    <row r="221" spans="1:5">
      <c r="A221" t="s">
        <v>31</v>
      </c>
      <c r="B221" t="s">
        <v>3</v>
      </c>
      <c r="C221" t="s">
        <v>6</v>
      </c>
      <c r="D221" t="s">
        <v>45</v>
      </c>
      <c r="E221">
        <v>96000</v>
      </c>
    </row>
    <row r="222" spans="1:5">
      <c r="A222" t="s">
        <v>31</v>
      </c>
      <c r="B222" t="s">
        <v>3</v>
      </c>
      <c r="C222" t="s">
        <v>6</v>
      </c>
      <c r="D222" t="s">
        <v>45</v>
      </c>
      <c r="E222">
        <v>96000</v>
      </c>
    </row>
    <row r="223" spans="1:5">
      <c r="A223" t="s">
        <v>31</v>
      </c>
      <c r="B223" t="s">
        <v>3</v>
      </c>
      <c r="C223" t="s">
        <v>6</v>
      </c>
      <c r="D223" t="s">
        <v>45</v>
      </c>
      <c r="E223">
        <v>132000</v>
      </c>
    </row>
    <row r="224" spans="1:5">
      <c r="A224" t="s">
        <v>31</v>
      </c>
      <c r="B224" t="s">
        <v>3</v>
      </c>
      <c r="C224" t="s">
        <v>6</v>
      </c>
      <c r="D224" t="s">
        <v>45</v>
      </c>
      <c r="E224">
        <v>84000</v>
      </c>
    </row>
    <row r="225" spans="1:5">
      <c r="A225" t="s">
        <v>31</v>
      </c>
      <c r="B225" t="s">
        <v>3</v>
      </c>
      <c r="C225" t="s">
        <v>6</v>
      </c>
      <c r="D225" t="s">
        <v>45</v>
      </c>
      <c r="E225">
        <v>96000</v>
      </c>
    </row>
    <row r="226" spans="1:5">
      <c r="A226" t="s">
        <v>31</v>
      </c>
      <c r="B226" t="s">
        <v>3</v>
      </c>
      <c r="C226" t="s">
        <v>6</v>
      </c>
      <c r="D226" t="s">
        <v>45</v>
      </c>
      <c r="E226">
        <v>96000</v>
      </c>
    </row>
    <row r="227" spans="1:5">
      <c r="A227" t="s">
        <v>31</v>
      </c>
      <c r="B227" t="s">
        <v>3</v>
      </c>
      <c r="C227" t="s">
        <v>6</v>
      </c>
      <c r="D227" t="s">
        <v>45</v>
      </c>
      <c r="E227">
        <v>96000</v>
      </c>
    </row>
    <row r="228" spans="1:5">
      <c r="A228" t="s">
        <v>31</v>
      </c>
      <c r="B228" t="s">
        <v>3</v>
      </c>
      <c r="C228" t="s">
        <v>6</v>
      </c>
      <c r="D228" t="s">
        <v>45</v>
      </c>
      <c r="E228">
        <v>96000</v>
      </c>
    </row>
    <row r="229" spans="1:5">
      <c r="A229" t="s">
        <v>31</v>
      </c>
      <c r="B229" t="s">
        <v>3</v>
      </c>
      <c r="C229" t="s">
        <v>6</v>
      </c>
      <c r="D229" t="s">
        <v>45</v>
      </c>
      <c r="E229">
        <v>96000</v>
      </c>
    </row>
    <row r="230" spans="1:5">
      <c r="A230" t="s">
        <v>31</v>
      </c>
      <c r="B230" t="s">
        <v>3</v>
      </c>
      <c r="C230" t="s">
        <v>6</v>
      </c>
      <c r="D230" t="s">
        <v>45</v>
      </c>
      <c r="E230">
        <v>96000</v>
      </c>
    </row>
    <row r="231" spans="1:5">
      <c r="A231" t="s">
        <v>31</v>
      </c>
      <c r="B231" t="s">
        <v>3</v>
      </c>
      <c r="C231" t="s">
        <v>6</v>
      </c>
      <c r="D231" t="s">
        <v>45</v>
      </c>
      <c r="E231">
        <v>457142.72</v>
      </c>
    </row>
    <row r="232" spans="1:5">
      <c r="A232" t="s">
        <v>31</v>
      </c>
      <c r="B232" t="s">
        <v>3</v>
      </c>
      <c r="C232" t="s">
        <v>6</v>
      </c>
      <c r="D232" t="s">
        <v>45</v>
      </c>
      <c r="E232">
        <v>41600</v>
      </c>
    </row>
    <row r="233" spans="1:5">
      <c r="A233" t="s">
        <v>31</v>
      </c>
      <c r="B233" t="s">
        <v>3</v>
      </c>
      <c r="C233" t="s">
        <v>6</v>
      </c>
      <c r="D233" t="s">
        <v>45</v>
      </c>
      <c r="E233">
        <v>71400</v>
      </c>
    </row>
    <row r="234" spans="1:5">
      <c r="A234" t="s">
        <v>31</v>
      </c>
      <c r="B234" t="s">
        <v>3</v>
      </c>
      <c r="C234" t="s">
        <v>6</v>
      </c>
      <c r="D234" t="s">
        <v>45</v>
      </c>
      <c r="E234">
        <v>71400</v>
      </c>
    </row>
    <row r="235" spans="1:5">
      <c r="A235" t="s">
        <v>31</v>
      </c>
      <c r="B235" t="s">
        <v>3</v>
      </c>
      <c r="C235" t="s">
        <v>6</v>
      </c>
      <c r="D235" t="s">
        <v>45</v>
      </c>
      <c r="E235">
        <v>71400</v>
      </c>
    </row>
    <row r="236" spans="1:5">
      <c r="A236" t="s">
        <v>31</v>
      </c>
      <c r="B236" t="s">
        <v>3</v>
      </c>
      <c r="C236" t="s">
        <v>6</v>
      </c>
      <c r="D236" t="s">
        <v>45</v>
      </c>
      <c r="E236">
        <v>41600</v>
      </c>
    </row>
    <row r="237" spans="1:5">
      <c r="A237" t="s">
        <v>14</v>
      </c>
      <c r="B237" t="s">
        <v>3</v>
      </c>
      <c r="C237" t="s">
        <v>6</v>
      </c>
      <c r="D237" t="s">
        <v>45</v>
      </c>
      <c r="E237">
        <v>96000</v>
      </c>
    </row>
    <row r="238" spans="1:5">
      <c r="A238" t="s">
        <v>14</v>
      </c>
      <c r="B238" t="s">
        <v>3</v>
      </c>
      <c r="C238" t="s">
        <v>6</v>
      </c>
      <c r="D238" t="s">
        <v>45</v>
      </c>
      <c r="E238">
        <v>51600</v>
      </c>
    </row>
    <row r="239" spans="1:5">
      <c r="A239" t="s">
        <v>14</v>
      </c>
      <c r="B239" t="s">
        <v>3</v>
      </c>
      <c r="C239" t="s">
        <v>6</v>
      </c>
      <c r="D239" t="s">
        <v>45</v>
      </c>
      <c r="E239">
        <v>51600</v>
      </c>
    </row>
    <row r="240" spans="1:5">
      <c r="A240" t="s">
        <v>14</v>
      </c>
      <c r="B240" t="s">
        <v>3</v>
      </c>
      <c r="C240" t="s">
        <v>6</v>
      </c>
      <c r="D240" t="s">
        <v>45</v>
      </c>
      <c r="E240">
        <v>51600</v>
      </c>
    </row>
    <row r="241" spans="1:5">
      <c r="A241" t="s">
        <v>14</v>
      </c>
      <c r="B241" t="s">
        <v>3</v>
      </c>
      <c r="C241" t="s">
        <v>6</v>
      </c>
      <c r="D241" t="s">
        <v>45</v>
      </c>
      <c r="E241">
        <v>51600</v>
      </c>
    </row>
    <row r="242" spans="1:5">
      <c r="A242" t="s">
        <v>14</v>
      </c>
      <c r="B242" t="s">
        <v>3</v>
      </c>
      <c r="C242" t="s">
        <v>6</v>
      </c>
      <c r="D242" t="s">
        <v>45</v>
      </c>
      <c r="E242">
        <v>51600</v>
      </c>
    </row>
    <row r="243" spans="1:5">
      <c r="A243" t="s">
        <v>14</v>
      </c>
      <c r="B243" t="s">
        <v>3</v>
      </c>
      <c r="C243" t="s">
        <v>6</v>
      </c>
      <c r="D243" t="s">
        <v>45</v>
      </c>
      <c r="E243">
        <v>51600</v>
      </c>
    </row>
    <row r="244" spans="1:5">
      <c r="A244" t="s">
        <v>14</v>
      </c>
      <c r="B244" t="s">
        <v>3</v>
      </c>
      <c r="C244" t="s">
        <v>6</v>
      </c>
      <c r="D244" t="s">
        <v>45</v>
      </c>
      <c r="E244">
        <v>51600</v>
      </c>
    </row>
    <row r="245" spans="1:5">
      <c r="A245" t="s">
        <v>14</v>
      </c>
      <c r="B245" t="s">
        <v>3</v>
      </c>
      <c r="C245" t="s">
        <v>6</v>
      </c>
      <c r="D245" t="s">
        <v>45</v>
      </c>
      <c r="E245">
        <v>51600</v>
      </c>
    </row>
    <row r="246" spans="1:5">
      <c r="A246" t="s">
        <v>14</v>
      </c>
      <c r="B246" t="s">
        <v>3</v>
      </c>
      <c r="C246" t="s">
        <v>6</v>
      </c>
      <c r="D246" t="s">
        <v>45</v>
      </c>
      <c r="E246">
        <v>51600</v>
      </c>
    </row>
    <row r="247" spans="1:5">
      <c r="A247" t="s">
        <v>14</v>
      </c>
      <c r="B247" t="s">
        <v>3</v>
      </c>
      <c r="C247" t="s">
        <v>6</v>
      </c>
      <c r="D247" t="s">
        <v>45</v>
      </c>
      <c r="E247">
        <v>51600</v>
      </c>
    </row>
    <row r="248" spans="1:5">
      <c r="A248" t="s">
        <v>14</v>
      </c>
      <c r="B248" t="s">
        <v>3</v>
      </c>
      <c r="C248" t="s">
        <v>6</v>
      </c>
      <c r="D248" t="s">
        <v>45</v>
      </c>
      <c r="E248">
        <v>51600</v>
      </c>
    </row>
    <row r="249" spans="1:5">
      <c r="A249" t="s">
        <v>14</v>
      </c>
      <c r="B249" t="s">
        <v>3</v>
      </c>
      <c r="C249" t="s">
        <v>6</v>
      </c>
      <c r="D249" t="s">
        <v>45</v>
      </c>
      <c r="E249">
        <v>51600</v>
      </c>
    </row>
    <row r="250" spans="1:5">
      <c r="A250" t="s">
        <v>29</v>
      </c>
      <c r="B250" t="s">
        <v>3</v>
      </c>
      <c r="C250" t="s">
        <v>6</v>
      </c>
      <c r="D250" t="s">
        <v>45</v>
      </c>
      <c r="E250">
        <v>148800</v>
      </c>
    </row>
    <row r="251" spans="1:5">
      <c r="A251" t="s">
        <v>29</v>
      </c>
      <c r="B251" t="s">
        <v>3</v>
      </c>
      <c r="C251" t="s">
        <v>6</v>
      </c>
      <c r="D251" t="s">
        <v>45</v>
      </c>
      <c r="E251">
        <v>148800</v>
      </c>
    </row>
    <row r="252" spans="1:5">
      <c r="A252" t="s">
        <v>29</v>
      </c>
      <c r="B252" t="s">
        <v>3</v>
      </c>
      <c r="C252" t="s">
        <v>6</v>
      </c>
      <c r="D252" t="s">
        <v>45</v>
      </c>
      <c r="E252">
        <v>96000</v>
      </c>
    </row>
    <row r="253" spans="1:5">
      <c r="A253" t="s">
        <v>29</v>
      </c>
      <c r="B253" t="s">
        <v>3</v>
      </c>
      <c r="C253" t="s">
        <v>10</v>
      </c>
      <c r="D253" t="s">
        <v>45</v>
      </c>
      <c r="E253">
        <v>96000</v>
      </c>
    </row>
    <row r="254" spans="1:5">
      <c r="A254" t="s">
        <v>29</v>
      </c>
      <c r="B254" t="s">
        <v>3</v>
      </c>
      <c r="C254" t="s">
        <v>6</v>
      </c>
      <c r="D254" t="s">
        <v>45</v>
      </c>
      <c r="E254">
        <v>96000</v>
      </c>
    </row>
    <row r="255" spans="1:5">
      <c r="A255" t="s">
        <v>29</v>
      </c>
      <c r="B255" t="s">
        <v>3</v>
      </c>
      <c r="C255" t="s">
        <v>6</v>
      </c>
      <c r="D255" t="s">
        <v>45</v>
      </c>
      <c r="E255">
        <v>96000</v>
      </c>
    </row>
    <row r="256" spans="1:5">
      <c r="A256" t="s">
        <v>29</v>
      </c>
      <c r="B256" t="s">
        <v>3</v>
      </c>
      <c r="C256" t="s">
        <v>6</v>
      </c>
      <c r="D256" t="s">
        <v>45</v>
      </c>
      <c r="E256">
        <v>96000</v>
      </c>
    </row>
    <row r="257" spans="1:5">
      <c r="A257" t="s">
        <v>14</v>
      </c>
      <c r="B257" t="s">
        <v>3</v>
      </c>
      <c r="C257" t="s">
        <v>6</v>
      </c>
      <c r="D257" t="s">
        <v>45</v>
      </c>
      <c r="E257">
        <v>60000</v>
      </c>
    </row>
    <row r="258" spans="1:5">
      <c r="A258" t="s">
        <v>14</v>
      </c>
      <c r="B258" t="s">
        <v>3</v>
      </c>
      <c r="C258" t="s">
        <v>6</v>
      </c>
      <c r="D258" t="s">
        <v>45</v>
      </c>
      <c r="E258">
        <v>200000</v>
      </c>
    </row>
    <row r="259" spans="1:5">
      <c r="A259" t="s">
        <v>14</v>
      </c>
      <c r="B259" t="s">
        <v>3</v>
      </c>
      <c r="C259" t="s">
        <v>6</v>
      </c>
      <c r="D259" t="s">
        <v>45</v>
      </c>
      <c r="E259">
        <v>228571.2</v>
      </c>
    </row>
    <row r="260" spans="1:5">
      <c r="A260" t="s">
        <v>14</v>
      </c>
      <c r="B260" t="s">
        <v>3</v>
      </c>
      <c r="C260" t="s">
        <v>6</v>
      </c>
      <c r="D260" t="s">
        <v>45</v>
      </c>
      <c r="E260">
        <v>228571.2</v>
      </c>
    </row>
    <row r="261" spans="1:5">
      <c r="A261" t="s">
        <v>14</v>
      </c>
      <c r="B261" t="s">
        <v>3</v>
      </c>
      <c r="C261" t="s">
        <v>6</v>
      </c>
      <c r="D261" t="s">
        <v>45</v>
      </c>
      <c r="E261">
        <v>171428.4</v>
      </c>
    </row>
    <row r="262" spans="1:5">
      <c r="A262" t="s">
        <v>14</v>
      </c>
      <c r="B262" t="s">
        <v>3</v>
      </c>
      <c r="C262" t="s">
        <v>6</v>
      </c>
      <c r="D262" t="s">
        <v>45</v>
      </c>
      <c r="E262">
        <v>228571.2</v>
      </c>
    </row>
    <row r="263" spans="1:5">
      <c r="A263" t="s">
        <v>14</v>
      </c>
      <c r="B263" t="s">
        <v>3</v>
      </c>
      <c r="C263" t="s">
        <v>6</v>
      </c>
      <c r="D263" t="s">
        <v>45</v>
      </c>
      <c r="E263">
        <v>171428.4</v>
      </c>
    </row>
    <row r="264" spans="1:5">
      <c r="A264" t="s">
        <v>14</v>
      </c>
      <c r="B264" t="s">
        <v>3</v>
      </c>
      <c r="C264" t="s">
        <v>6</v>
      </c>
      <c r="D264" t="s">
        <v>45</v>
      </c>
      <c r="E264">
        <v>290399.76</v>
      </c>
    </row>
    <row r="265" spans="1:5">
      <c r="A265" t="s">
        <v>14</v>
      </c>
      <c r="B265" t="s">
        <v>3</v>
      </c>
      <c r="C265" t="s">
        <v>6</v>
      </c>
      <c r="D265" t="s">
        <v>45</v>
      </c>
      <c r="E265">
        <v>171428.4</v>
      </c>
    </row>
    <row r="266" spans="1:5">
      <c r="A266" t="s">
        <v>14</v>
      </c>
      <c r="B266" t="s">
        <v>3</v>
      </c>
      <c r="C266" t="s">
        <v>6</v>
      </c>
      <c r="D266" t="s">
        <v>45</v>
      </c>
      <c r="E266">
        <v>125714.16</v>
      </c>
    </row>
    <row r="267" spans="1:5">
      <c r="A267" t="s">
        <v>14</v>
      </c>
      <c r="B267" t="s">
        <v>3</v>
      </c>
      <c r="C267" t="s">
        <v>6</v>
      </c>
      <c r="D267" t="s">
        <v>45</v>
      </c>
      <c r="E267">
        <v>152114.16</v>
      </c>
    </row>
    <row r="268" spans="1:5">
      <c r="A268" t="s">
        <v>14</v>
      </c>
      <c r="B268" t="s">
        <v>3</v>
      </c>
      <c r="C268" t="s">
        <v>6</v>
      </c>
      <c r="D268" t="s">
        <v>45</v>
      </c>
      <c r="E268">
        <v>125714.16</v>
      </c>
    </row>
    <row r="269" spans="1:5">
      <c r="A269" t="s">
        <v>14</v>
      </c>
      <c r="B269" t="s">
        <v>3</v>
      </c>
      <c r="C269" t="s">
        <v>6</v>
      </c>
      <c r="D269" t="s">
        <v>45</v>
      </c>
      <c r="E269">
        <v>111428.46</v>
      </c>
    </row>
    <row r="270" spans="1:5">
      <c r="A270" t="s">
        <v>14</v>
      </c>
      <c r="B270" t="s">
        <v>3</v>
      </c>
      <c r="C270" t="s">
        <v>6</v>
      </c>
      <c r="D270" t="s">
        <v>45</v>
      </c>
      <c r="E270">
        <v>42857.1</v>
      </c>
    </row>
    <row r="271" spans="1:5">
      <c r="A271" t="s">
        <v>14</v>
      </c>
      <c r="B271" t="s">
        <v>3</v>
      </c>
      <c r="C271" t="s">
        <v>6</v>
      </c>
      <c r="D271" t="s">
        <v>45</v>
      </c>
      <c r="E271">
        <v>57142.8</v>
      </c>
    </row>
    <row r="272" spans="1:5">
      <c r="A272" t="s">
        <v>14</v>
      </c>
      <c r="B272" t="s">
        <v>3</v>
      </c>
      <c r="C272" t="s">
        <v>6</v>
      </c>
      <c r="D272" t="s">
        <v>45</v>
      </c>
      <c r="E272">
        <v>142857</v>
      </c>
    </row>
    <row r="273" spans="1:5">
      <c r="A273" t="s">
        <v>14</v>
      </c>
      <c r="B273" t="s">
        <v>3</v>
      </c>
      <c r="C273" t="s">
        <v>6</v>
      </c>
      <c r="D273" t="s">
        <v>45</v>
      </c>
      <c r="E273">
        <v>99000</v>
      </c>
    </row>
    <row r="274" spans="1:5">
      <c r="A274" t="s">
        <v>14</v>
      </c>
      <c r="B274" t="s">
        <v>3</v>
      </c>
      <c r="C274" t="s">
        <v>6</v>
      </c>
      <c r="D274" t="s">
        <v>45</v>
      </c>
      <c r="E274">
        <v>99000</v>
      </c>
    </row>
    <row r="275" spans="1:5">
      <c r="A275" t="s">
        <v>14</v>
      </c>
      <c r="B275" t="s">
        <v>3</v>
      </c>
      <c r="C275" t="s">
        <v>6</v>
      </c>
      <c r="D275" t="s">
        <v>45</v>
      </c>
      <c r="E275">
        <v>146571.36</v>
      </c>
    </row>
    <row r="276" spans="1:5">
      <c r="A276" t="s">
        <v>14</v>
      </c>
      <c r="B276" t="s">
        <v>3</v>
      </c>
      <c r="C276" t="s">
        <v>6</v>
      </c>
      <c r="D276" t="s">
        <v>45</v>
      </c>
      <c r="E276">
        <v>12000</v>
      </c>
    </row>
    <row r="277" spans="1:5">
      <c r="A277" t="s">
        <v>14</v>
      </c>
      <c r="B277" t="s">
        <v>3</v>
      </c>
      <c r="C277" t="s">
        <v>6</v>
      </c>
      <c r="D277" t="s">
        <v>45</v>
      </c>
      <c r="E277">
        <v>185280</v>
      </c>
    </row>
    <row r="278" spans="1:5">
      <c r="A278" t="s">
        <v>14</v>
      </c>
      <c r="B278" t="s">
        <v>3</v>
      </c>
      <c r="C278" t="s">
        <v>6</v>
      </c>
      <c r="D278" t="s">
        <v>45</v>
      </c>
      <c r="E278">
        <v>138000</v>
      </c>
    </row>
    <row r="279" spans="1:5">
      <c r="A279" t="s">
        <v>14</v>
      </c>
      <c r="B279" t="s">
        <v>3</v>
      </c>
      <c r="C279" t="s">
        <v>6</v>
      </c>
      <c r="D279" t="s">
        <v>45</v>
      </c>
      <c r="E279">
        <v>60000</v>
      </c>
    </row>
    <row r="280" spans="1:5">
      <c r="A280" t="s">
        <v>14</v>
      </c>
      <c r="B280" t="s">
        <v>3</v>
      </c>
      <c r="C280" t="s">
        <v>6</v>
      </c>
      <c r="D280" t="s">
        <v>45</v>
      </c>
      <c r="E280">
        <v>54000</v>
      </c>
    </row>
    <row r="281" spans="1:5">
      <c r="A281" t="s">
        <v>14</v>
      </c>
      <c r="B281" t="s">
        <v>3</v>
      </c>
      <c r="C281" t="s">
        <v>6</v>
      </c>
      <c r="D281" t="s">
        <v>45</v>
      </c>
      <c r="E281">
        <v>60000</v>
      </c>
    </row>
    <row r="282" spans="1:5">
      <c r="A282" t="s">
        <v>14</v>
      </c>
      <c r="B282" t="s">
        <v>3</v>
      </c>
      <c r="C282" t="s">
        <v>6</v>
      </c>
      <c r="D282" t="s">
        <v>45</v>
      </c>
      <c r="E282">
        <v>100000</v>
      </c>
    </row>
    <row r="283" spans="1:5">
      <c r="A283" t="s">
        <v>14</v>
      </c>
      <c r="B283" t="s">
        <v>3</v>
      </c>
      <c r="C283" t="s">
        <v>6</v>
      </c>
      <c r="D283" t="s">
        <v>45</v>
      </c>
      <c r="E283">
        <v>26000</v>
      </c>
    </row>
    <row r="284" spans="1:5">
      <c r="A284" t="s">
        <v>14</v>
      </c>
      <c r="B284" t="s">
        <v>3</v>
      </c>
      <c r="C284" t="s">
        <v>6</v>
      </c>
      <c r="D284" t="s">
        <v>45</v>
      </c>
      <c r="E284">
        <v>72000</v>
      </c>
    </row>
    <row r="285" spans="1:5">
      <c r="A285" t="s">
        <v>14</v>
      </c>
      <c r="B285" t="s">
        <v>3</v>
      </c>
      <c r="C285" t="s">
        <v>6</v>
      </c>
      <c r="D285" t="s">
        <v>45</v>
      </c>
      <c r="E285">
        <v>208000</v>
      </c>
    </row>
    <row r="286" spans="1:5">
      <c r="A286" t="s">
        <v>14</v>
      </c>
      <c r="B286" t="s">
        <v>3</v>
      </c>
      <c r="C286" t="s">
        <v>6</v>
      </c>
      <c r="D286" t="s">
        <v>45</v>
      </c>
      <c r="E286">
        <v>130000</v>
      </c>
    </row>
    <row r="287" spans="1:5">
      <c r="A287" t="s">
        <v>14</v>
      </c>
      <c r="B287" t="s">
        <v>3</v>
      </c>
      <c r="C287" t="s">
        <v>6</v>
      </c>
      <c r="D287" t="s">
        <v>45</v>
      </c>
      <c r="E287">
        <v>208000</v>
      </c>
    </row>
    <row r="288" spans="1:5">
      <c r="A288" t="s">
        <v>14</v>
      </c>
      <c r="B288" t="s">
        <v>3</v>
      </c>
      <c r="C288" t="s">
        <v>6</v>
      </c>
      <c r="D288" t="s">
        <v>45</v>
      </c>
      <c r="E288">
        <v>148200</v>
      </c>
    </row>
    <row r="289" spans="1:5">
      <c r="A289" t="s">
        <v>14</v>
      </c>
      <c r="B289" t="s">
        <v>3</v>
      </c>
      <c r="C289" t="s">
        <v>6</v>
      </c>
      <c r="D289" t="s">
        <v>45</v>
      </c>
      <c r="E289">
        <v>85800</v>
      </c>
    </row>
    <row r="290" spans="1:5">
      <c r="A290" t="s">
        <v>14</v>
      </c>
      <c r="B290" t="s">
        <v>3</v>
      </c>
      <c r="C290" t="s">
        <v>6</v>
      </c>
      <c r="D290" t="s">
        <v>45</v>
      </c>
      <c r="E290">
        <v>72000</v>
      </c>
    </row>
    <row r="291" spans="1:5">
      <c r="A291" t="s">
        <v>14</v>
      </c>
      <c r="B291" t="s">
        <v>3</v>
      </c>
      <c r="C291" t="s">
        <v>6</v>
      </c>
      <c r="D291" t="s">
        <v>45</v>
      </c>
      <c r="E291">
        <v>156000</v>
      </c>
    </row>
    <row r="292" spans="1:5">
      <c r="A292" t="s">
        <v>14</v>
      </c>
      <c r="B292" t="s">
        <v>3</v>
      </c>
      <c r="C292" t="s">
        <v>6</v>
      </c>
      <c r="D292" t="s">
        <v>45</v>
      </c>
      <c r="E292">
        <v>128000</v>
      </c>
    </row>
    <row r="293" spans="1:5">
      <c r="A293" t="s">
        <v>14</v>
      </c>
      <c r="B293" t="s">
        <v>3</v>
      </c>
      <c r="C293" t="s">
        <v>6</v>
      </c>
      <c r="D293" t="s">
        <v>45</v>
      </c>
      <c r="E293">
        <v>24000</v>
      </c>
    </row>
    <row r="294" spans="1:5">
      <c r="A294" t="s">
        <v>14</v>
      </c>
      <c r="B294" t="s">
        <v>3</v>
      </c>
      <c r="C294" t="s">
        <v>6</v>
      </c>
      <c r="D294" t="s">
        <v>45</v>
      </c>
      <c r="E294">
        <v>45000</v>
      </c>
    </row>
    <row r="295" spans="1:5">
      <c r="A295" t="s">
        <v>14</v>
      </c>
      <c r="B295" t="s">
        <v>3</v>
      </c>
      <c r="C295" t="s">
        <v>6</v>
      </c>
      <c r="D295" t="s">
        <v>45</v>
      </c>
      <c r="E295">
        <v>80000</v>
      </c>
    </row>
    <row r="296" spans="1:5">
      <c r="A296" t="s">
        <v>14</v>
      </c>
      <c r="B296" t="s">
        <v>3</v>
      </c>
      <c r="C296" t="s">
        <v>6</v>
      </c>
      <c r="D296" t="s">
        <v>45</v>
      </c>
      <c r="E296">
        <v>72000</v>
      </c>
    </row>
    <row r="297" spans="1:5">
      <c r="A297" t="s">
        <v>14</v>
      </c>
      <c r="B297" t="s">
        <v>3</v>
      </c>
      <c r="C297" t="s">
        <v>6</v>
      </c>
      <c r="D297" t="s">
        <v>45</v>
      </c>
      <c r="E297">
        <v>80000</v>
      </c>
    </row>
    <row r="298" spans="1:5">
      <c r="A298" t="s">
        <v>14</v>
      </c>
      <c r="B298" t="s">
        <v>3</v>
      </c>
      <c r="C298" t="s">
        <v>6</v>
      </c>
      <c r="D298" t="s">
        <v>45</v>
      </c>
      <c r="E298">
        <v>96000</v>
      </c>
    </row>
    <row r="299" spans="1:5">
      <c r="A299" t="s">
        <v>14</v>
      </c>
      <c r="B299" t="s">
        <v>3</v>
      </c>
      <c r="C299" t="s">
        <v>6</v>
      </c>
      <c r="D299" t="s">
        <v>45</v>
      </c>
      <c r="E299">
        <v>128000</v>
      </c>
    </row>
    <row r="300" spans="1:5">
      <c r="A300" t="s">
        <v>14</v>
      </c>
      <c r="B300" t="s">
        <v>3</v>
      </c>
      <c r="C300" t="s">
        <v>6</v>
      </c>
      <c r="D300" t="s">
        <v>45</v>
      </c>
      <c r="E300">
        <v>80000</v>
      </c>
    </row>
    <row r="301" spans="1:5">
      <c r="A301" t="s">
        <v>14</v>
      </c>
      <c r="B301" t="s">
        <v>3</v>
      </c>
      <c r="C301" t="s">
        <v>6</v>
      </c>
      <c r="D301" t="s">
        <v>45</v>
      </c>
      <c r="E301">
        <v>51428.52</v>
      </c>
    </row>
    <row r="302" spans="1:5">
      <c r="A302" t="s">
        <v>34</v>
      </c>
      <c r="B302" t="s">
        <v>3</v>
      </c>
      <c r="C302" t="s">
        <v>6</v>
      </c>
      <c r="D302" t="s">
        <v>47</v>
      </c>
      <c r="E302">
        <v>1030959.9</v>
      </c>
    </row>
    <row r="303" spans="1:5">
      <c r="A303" t="s">
        <v>34</v>
      </c>
      <c r="B303" t="s">
        <v>3</v>
      </c>
      <c r="C303" t="s">
        <v>6</v>
      </c>
      <c r="D303" t="s">
        <v>47</v>
      </c>
      <c r="E303">
        <v>696639.96</v>
      </c>
    </row>
    <row r="304" spans="1:5">
      <c r="A304" t="s">
        <v>34</v>
      </c>
      <c r="B304" t="s">
        <v>3</v>
      </c>
      <c r="C304" t="s">
        <v>6</v>
      </c>
      <c r="D304" t="s">
        <v>47</v>
      </c>
      <c r="E304">
        <v>1195599.9</v>
      </c>
    </row>
    <row r="305" spans="1:5">
      <c r="A305" t="s">
        <v>34</v>
      </c>
      <c r="B305" t="s">
        <v>3</v>
      </c>
      <c r="C305" t="s">
        <v>6</v>
      </c>
      <c r="D305" t="s">
        <v>47</v>
      </c>
      <c r="E305">
        <v>1687503.9</v>
      </c>
    </row>
    <row r="306" spans="1:5">
      <c r="A306" t="s">
        <v>34</v>
      </c>
      <c r="B306" t="s">
        <v>3</v>
      </c>
      <c r="C306" t="s">
        <v>6</v>
      </c>
      <c r="D306" t="s">
        <v>47</v>
      </c>
      <c r="E306">
        <v>933296.1</v>
      </c>
    </row>
    <row r="307" spans="1:5">
      <c r="A307" t="s">
        <v>34</v>
      </c>
      <c r="B307" t="s">
        <v>3</v>
      </c>
      <c r="C307" t="s">
        <v>6</v>
      </c>
      <c r="D307" t="s">
        <v>47</v>
      </c>
      <c r="E307">
        <v>1184400</v>
      </c>
    </row>
    <row r="308" spans="1:5">
      <c r="A308" t="s">
        <v>34</v>
      </c>
      <c r="B308" t="s">
        <v>3</v>
      </c>
      <c r="C308" t="s">
        <v>6</v>
      </c>
      <c r="D308" t="s">
        <v>47</v>
      </c>
      <c r="E308">
        <v>875616</v>
      </c>
    </row>
    <row r="309" spans="1:5">
      <c r="A309" t="s">
        <v>34</v>
      </c>
      <c r="B309" t="s">
        <v>3</v>
      </c>
      <c r="C309" t="s">
        <v>6</v>
      </c>
      <c r="D309" t="s">
        <v>47</v>
      </c>
      <c r="E309">
        <v>625408</v>
      </c>
    </row>
    <row r="310" spans="1:5">
      <c r="A310" t="s">
        <v>34</v>
      </c>
      <c r="B310" t="s">
        <v>3</v>
      </c>
      <c r="C310" t="s">
        <v>6</v>
      </c>
      <c r="D310" t="s">
        <v>47</v>
      </c>
      <c r="E310">
        <v>1156108.8</v>
      </c>
    </row>
    <row r="311" spans="1:5">
      <c r="A311" t="s">
        <v>34</v>
      </c>
      <c r="B311" t="s">
        <v>3</v>
      </c>
      <c r="C311" t="s">
        <v>6</v>
      </c>
      <c r="D311" t="s">
        <v>47</v>
      </c>
      <c r="E311">
        <v>817935.9</v>
      </c>
    </row>
    <row r="312" spans="1:5">
      <c r="A312" t="s">
        <v>34</v>
      </c>
      <c r="B312" t="s">
        <v>3</v>
      </c>
      <c r="C312" t="s">
        <v>6</v>
      </c>
      <c r="D312" t="s">
        <v>47</v>
      </c>
      <c r="E312">
        <v>882000</v>
      </c>
    </row>
    <row r="313" spans="1:5">
      <c r="A313" t="s">
        <v>34</v>
      </c>
      <c r="B313" t="s">
        <v>3</v>
      </c>
      <c r="C313" t="s">
        <v>6</v>
      </c>
      <c r="D313" t="s">
        <v>47</v>
      </c>
      <c r="E313">
        <v>1190246.4</v>
      </c>
    </row>
    <row r="314" spans="1:5">
      <c r="A314" t="s">
        <v>34</v>
      </c>
      <c r="B314" t="s">
        <v>3</v>
      </c>
      <c r="C314" t="s">
        <v>6</v>
      </c>
      <c r="D314" t="s">
        <v>47</v>
      </c>
      <c r="E314">
        <v>2334998.4</v>
      </c>
    </row>
    <row r="315" spans="1:5">
      <c r="A315" t="s">
        <v>34</v>
      </c>
      <c r="B315" t="s">
        <v>3</v>
      </c>
      <c r="C315" t="s">
        <v>6</v>
      </c>
      <c r="D315" t="s">
        <v>47</v>
      </c>
      <c r="E315">
        <v>1204224.12</v>
      </c>
    </row>
    <row r="316" spans="1:5">
      <c r="A316" t="s">
        <v>34</v>
      </c>
      <c r="B316" t="s">
        <v>3</v>
      </c>
      <c r="C316" t="s">
        <v>6</v>
      </c>
      <c r="D316" t="s">
        <v>47</v>
      </c>
      <c r="E316">
        <v>1029503.88</v>
      </c>
    </row>
    <row r="317" spans="1:5">
      <c r="A317" t="s">
        <v>34</v>
      </c>
      <c r="B317" t="s">
        <v>3</v>
      </c>
      <c r="C317" t="s">
        <v>6</v>
      </c>
      <c r="D317" t="s">
        <v>47</v>
      </c>
      <c r="E317">
        <v>491736</v>
      </c>
    </row>
    <row r="318" spans="1:5">
      <c r="A318" t="s">
        <v>34</v>
      </c>
      <c r="B318" t="s">
        <v>3</v>
      </c>
      <c r="C318" t="s">
        <v>6</v>
      </c>
      <c r="D318" t="s">
        <v>47</v>
      </c>
      <c r="E318">
        <v>2335872</v>
      </c>
    </row>
    <row r="319" spans="1:5">
      <c r="A319" t="s">
        <v>34</v>
      </c>
      <c r="B319" t="s">
        <v>3</v>
      </c>
      <c r="C319" t="s">
        <v>6</v>
      </c>
      <c r="D319" t="s">
        <v>47</v>
      </c>
      <c r="E319">
        <v>1713936</v>
      </c>
    </row>
    <row r="320" spans="1:5">
      <c r="A320" t="s">
        <v>15</v>
      </c>
      <c r="B320" t="s">
        <v>3</v>
      </c>
      <c r="C320" t="s">
        <v>6</v>
      </c>
      <c r="D320" t="s">
        <v>45</v>
      </c>
      <c r="E320">
        <v>6360</v>
      </c>
    </row>
    <row r="321" spans="1:5">
      <c r="A321" t="s">
        <v>18</v>
      </c>
      <c r="B321" t="s">
        <v>3</v>
      </c>
      <c r="C321" t="s">
        <v>6</v>
      </c>
      <c r="D321" t="s">
        <v>45</v>
      </c>
      <c r="E321">
        <v>146341.46</v>
      </c>
    </row>
    <row r="322" spans="1:5">
      <c r="A322" t="s">
        <v>24</v>
      </c>
      <c r="B322" t="s">
        <v>3</v>
      </c>
      <c r="C322" t="s">
        <v>6</v>
      </c>
      <c r="D322" t="s">
        <v>45</v>
      </c>
      <c r="E322">
        <v>6720001.92</v>
      </c>
    </row>
    <row r="323" spans="1:5">
      <c r="A323" t="s">
        <v>25</v>
      </c>
      <c r="B323" t="s">
        <v>3</v>
      </c>
      <c r="C323" t="s">
        <v>6</v>
      </c>
      <c r="D323" t="s">
        <v>46</v>
      </c>
      <c r="E323">
        <v>9199242.61</v>
      </c>
    </row>
    <row r="324" spans="1:5">
      <c r="A324" t="s">
        <v>25</v>
      </c>
      <c r="B324" t="s">
        <v>4</v>
      </c>
      <c r="C324" t="s">
        <v>9</v>
      </c>
      <c r="D324" t="s">
        <v>46</v>
      </c>
      <c r="E324">
        <v>0</v>
      </c>
    </row>
    <row r="325" spans="1:5">
      <c r="A325" t="s">
        <v>25</v>
      </c>
      <c r="B325" t="s">
        <v>4</v>
      </c>
      <c r="C325" t="s">
        <v>9</v>
      </c>
      <c r="D325" t="s">
        <v>46</v>
      </c>
      <c r="E325">
        <v>0</v>
      </c>
    </row>
    <row r="326" spans="1:5">
      <c r="A326" t="s">
        <v>25</v>
      </c>
      <c r="B326" t="s">
        <v>4</v>
      </c>
      <c r="C326" t="s">
        <v>9</v>
      </c>
      <c r="D326" t="s">
        <v>46</v>
      </c>
      <c r="E326">
        <v>0</v>
      </c>
    </row>
    <row r="327" spans="1:5">
      <c r="A327" t="s">
        <v>25</v>
      </c>
      <c r="B327" t="s">
        <v>4</v>
      </c>
      <c r="C327" t="s">
        <v>6</v>
      </c>
      <c r="D327" t="s">
        <v>46</v>
      </c>
      <c r="E327">
        <v>819139.2</v>
      </c>
    </row>
    <row r="328" spans="1:5">
      <c r="A328" t="s">
        <v>25</v>
      </c>
      <c r="B328" t="s">
        <v>4</v>
      </c>
      <c r="C328" t="s">
        <v>10</v>
      </c>
      <c r="D328" t="s">
        <v>46</v>
      </c>
      <c r="E328">
        <v>0</v>
      </c>
    </row>
    <row r="329" spans="1:5">
      <c r="A329" t="s">
        <v>25</v>
      </c>
      <c r="B329" t="s">
        <v>3</v>
      </c>
      <c r="C329" t="s">
        <v>10</v>
      </c>
      <c r="D329" t="s">
        <v>46</v>
      </c>
      <c r="E329">
        <v>0</v>
      </c>
    </row>
    <row r="330" spans="1:5">
      <c r="A330" t="s">
        <v>32</v>
      </c>
      <c r="B330" t="s">
        <v>4</v>
      </c>
      <c r="C330" t="s">
        <v>6</v>
      </c>
      <c r="D330" t="s">
        <v>46</v>
      </c>
      <c r="E330">
        <v>3228000</v>
      </c>
    </row>
    <row r="331" spans="1:5">
      <c r="A331" t="s">
        <v>32</v>
      </c>
      <c r="B331" t="s">
        <v>4</v>
      </c>
      <c r="C331" t="s">
        <v>6</v>
      </c>
      <c r="D331" t="s">
        <v>46</v>
      </c>
      <c r="E331">
        <v>2497248</v>
      </c>
    </row>
    <row r="332" spans="1:5">
      <c r="A332" t="s">
        <v>15</v>
      </c>
      <c r="B332" t="s">
        <v>3</v>
      </c>
      <c r="C332" t="s">
        <v>6</v>
      </c>
      <c r="D332" t="s">
        <v>45</v>
      </c>
      <c r="E332">
        <v>96000</v>
      </c>
    </row>
    <row r="333" spans="1:5">
      <c r="A333" t="s">
        <v>15</v>
      </c>
      <c r="B333" t="s">
        <v>3</v>
      </c>
      <c r="C333" t="s">
        <v>6</v>
      </c>
      <c r="D333" t="s">
        <v>45</v>
      </c>
      <c r="E333">
        <v>181400</v>
      </c>
    </row>
    <row r="334" spans="1:5">
      <c r="A334" t="s">
        <v>15</v>
      </c>
      <c r="B334" t="s">
        <v>3</v>
      </c>
      <c r="C334" t="s">
        <v>6</v>
      </c>
      <c r="D334" t="s">
        <v>45</v>
      </c>
      <c r="E334">
        <v>96000</v>
      </c>
    </row>
    <row r="335" spans="1:5">
      <c r="A335" t="s">
        <v>15</v>
      </c>
      <c r="B335" t="s">
        <v>3</v>
      </c>
      <c r="C335" t="s">
        <v>6</v>
      </c>
      <c r="D335" t="s">
        <v>45</v>
      </c>
      <c r="E335">
        <v>48000</v>
      </c>
    </row>
    <row r="336" spans="1:5">
      <c r="A336" t="s">
        <v>18</v>
      </c>
      <c r="B336" t="s">
        <v>3</v>
      </c>
      <c r="C336" t="s">
        <v>6</v>
      </c>
      <c r="D336" t="s">
        <v>47</v>
      </c>
      <c r="E336">
        <v>12605142.02</v>
      </c>
    </row>
    <row r="337" spans="1:5">
      <c r="A337" t="s">
        <v>27</v>
      </c>
      <c r="B337" t="s">
        <v>3</v>
      </c>
      <c r="C337" t="s">
        <v>6</v>
      </c>
      <c r="D337" t="s">
        <v>45</v>
      </c>
      <c r="E337">
        <v>5042037</v>
      </c>
    </row>
    <row r="338" spans="1:5">
      <c r="A338" t="s">
        <v>25</v>
      </c>
      <c r="B338" t="s">
        <v>3</v>
      </c>
      <c r="C338" t="s">
        <v>6</v>
      </c>
      <c r="D338" t="s">
        <v>46</v>
      </c>
      <c r="E338">
        <v>5616675.48</v>
      </c>
    </row>
    <row r="339" spans="1:5">
      <c r="A339" t="s">
        <v>25</v>
      </c>
      <c r="B339" t="s">
        <v>3</v>
      </c>
      <c r="C339" t="s">
        <v>6</v>
      </c>
      <c r="D339" t="s">
        <v>45</v>
      </c>
      <c r="E339">
        <v>1290060</v>
      </c>
    </row>
    <row r="340" spans="1:5">
      <c r="A340" t="s">
        <v>18</v>
      </c>
      <c r="B340" t="s">
        <v>3</v>
      </c>
      <c r="C340" t="s">
        <v>6</v>
      </c>
      <c r="D340" t="s">
        <v>45</v>
      </c>
      <c r="E340">
        <v>60975.61</v>
      </c>
    </row>
    <row r="341" spans="1:5">
      <c r="A341" t="s">
        <v>18</v>
      </c>
      <c r="B341" t="s">
        <v>3</v>
      </c>
      <c r="C341" t="s">
        <v>6</v>
      </c>
      <c r="D341" t="s">
        <v>45</v>
      </c>
      <c r="E341">
        <v>60975.61</v>
      </c>
    </row>
    <row r="342" spans="1:5">
      <c r="A342" t="s">
        <v>18</v>
      </c>
      <c r="B342" t="s">
        <v>3</v>
      </c>
      <c r="C342" t="s">
        <v>6</v>
      </c>
      <c r="D342" t="s">
        <v>45</v>
      </c>
      <c r="E342">
        <v>317073.17</v>
      </c>
    </row>
    <row r="343" spans="1:5">
      <c r="A343" t="s">
        <v>18</v>
      </c>
      <c r="B343" t="s">
        <v>3</v>
      </c>
      <c r="C343" t="s">
        <v>6</v>
      </c>
      <c r="D343" t="s">
        <v>45</v>
      </c>
      <c r="E343">
        <v>317073.17</v>
      </c>
    </row>
    <row r="344" spans="1:5">
      <c r="A344" t="s">
        <v>18</v>
      </c>
      <c r="B344" t="s">
        <v>3</v>
      </c>
      <c r="C344" t="s">
        <v>6</v>
      </c>
      <c r="D344" t="s">
        <v>45</v>
      </c>
      <c r="E344">
        <v>260000</v>
      </c>
    </row>
    <row r="345" spans="1:5">
      <c r="A345" t="s">
        <v>25</v>
      </c>
      <c r="B345" t="s">
        <v>4</v>
      </c>
      <c r="C345" t="s">
        <v>6</v>
      </c>
      <c r="D345" t="s">
        <v>46</v>
      </c>
      <c r="E345">
        <v>1569228</v>
      </c>
    </row>
    <row r="346" spans="1:5">
      <c r="A346" t="s">
        <v>13</v>
      </c>
      <c r="B346" t="s">
        <v>3</v>
      </c>
      <c r="C346" t="s">
        <v>6</v>
      </c>
      <c r="D346" t="s">
        <v>45</v>
      </c>
      <c r="E346">
        <v>150000</v>
      </c>
    </row>
    <row r="347" spans="1:5">
      <c r="A347" t="s">
        <v>24</v>
      </c>
      <c r="B347" t="s">
        <v>3</v>
      </c>
      <c r="C347" t="s">
        <v>6</v>
      </c>
      <c r="D347" t="s">
        <v>45</v>
      </c>
      <c r="E347">
        <v>642000</v>
      </c>
    </row>
    <row r="348" spans="1:5">
      <c r="A348" t="s">
        <v>32</v>
      </c>
      <c r="B348" t="s">
        <v>4</v>
      </c>
      <c r="C348" t="s">
        <v>7</v>
      </c>
      <c r="D348" t="s">
        <v>46</v>
      </c>
      <c r="E348">
        <v>978972</v>
      </c>
    </row>
    <row r="349" spans="1:5">
      <c r="A349" t="s">
        <v>32</v>
      </c>
      <c r="B349" t="s">
        <v>4</v>
      </c>
      <c r="C349" t="s">
        <v>6</v>
      </c>
      <c r="D349" t="s">
        <v>46</v>
      </c>
      <c r="E349">
        <v>2801865.6</v>
      </c>
    </row>
    <row r="350" spans="1:5">
      <c r="A350" t="s">
        <v>32</v>
      </c>
      <c r="B350" t="s">
        <v>4</v>
      </c>
      <c r="C350" t="s">
        <v>10</v>
      </c>
      <c r="D350" t="s">
        <v>46</v>
      </c>
      <c r="E350">
        <v>0</v>
      </c>
    </row>
    <row r="351" spans="1:5">
      <c r="A351" t="s">
        <v>29</v>
      </c>
      <c r="B351" t="s">
        <v>4</v>
      </c>
      <c r="C351" t="s">
        <v>6</v>
      </c>
      <c r="D351" t="s">
        <v>46</v>
      </c>
      <c r="E351">
        <v>2688636</v>
      </c>
    </row>
    <row r="352" spans="1:5">
      <c r="A352" t="s">
        <v>28</v>
      </c>
      <c r="B352" t="s">
        <v>3</v>
      </c>
      <c r="C352" t="s">
        <v>6</v>
      </c>
      <c r="D352" t="s">
        <v>45</v>
      </c>
      <c r="E352">
        <v>1772000</v>
      </c>
    </row>
    <row r="353" spans="1:5">
      <c r="A353" t="s">
        <v>28</v>
      </c>
      <c r="B353" t="s">
        <v>3</v>
      </c>
      <c r="C353" t="s">
        <v>6</v>
      </c>
      <c r="D353" t="s">
        <v>45</v>
      </c>
      <c r="E353">
        <v>8892550</v>
      </c>
    </row>
    <row r="354" spans="1:5">
      <c r="A354" t="s">
        <v>28</v>
      </c>
      <c r="B354" t="s">
        <v>3</v>
      </c>
      <c r="C354" t="s">
        <v>6</v>
      </c>
      <c r="D354" t="s">
        <v>45</v>
      </c>
      <c r="E354">
        <v>395520</v>
      </c>
    </row>
    <row r="355" spans="1:5">
      <c r="A355" t="s">
        <v>28</v>
      </c>
      <c r="B355" t="s">
        <v>3</v>
      </c>
      <c r="C355" t="s">
        <v>10</v>
      </c>
      <c r="D355" t="s">
        <v>46</v>
      </c>
      <c r="E355">
        <v>0</v>
      </c>
    </row>
    <row r="356" spans="1:5">
      <c r="A356" t="s">
        <v>28</v>
      </c>
      <c r="B356" t="s">
        <v>3</v>
      </c>
      <c r="C356" t="s">
        <v>9</v>
      </c>
      <c r="D356" t="s">
        <v>46</v>
      </c>
      <c r="E356">
        <v>0</v>
      </c>
    </row>
    <row r="357" spans="1:5">
      <c r="A357" t="s">
        <v>34</v>
      </c>
      <c r="B357" t="s">
        <v>3</v>
      </c>
      <c r="C357" t="s">
        <v>6</v>
      </c>
      <c r="D357" t="s">
        <v>48</v>
      </c>
      <c r="E357">
        <v>13900</v>
      </c>
    </row>
    <row r="358" spans="1:5">
      <c r="A358" t="s">
        <v>34</v>
      </c>
      <c r="B358" t="s">
        <v>3</v>
      </c>
      <c r="C358" t="s">
        <v>6</v>
      </c>
      <c r="D358" t="s">
        <v>48</v>
      </c>
      <c r="E358">
        <v>21600</v>
      </c>
    </row>
    <row r="359" spans="1:5">
      <c r="A359" t="s">
        <v>25</v>
      </c>
      <c r="B359" t="s">
        <v>4</v>
      </c>
      <c r="C359" t="s">
        <v>10</v>
      </c>
      <c r="D359" t="s">
        <v>46</v>
      </c>
      <c r="E359">
        <v>0</v>
      </c>
    </row>
    <row r="360" spans="1:5">
      <c r="A360" t="s">
        <v>25</v>
      </c>
      <c r="B360" t="s">
        <v>4</v>
      </c>
      <c r="C360" t="s">
        <v>9</v>
      </c>
      <c r="D360" t="s">
        <v>46</v>
      </c>
      <c r="E360">
        <v>0</v>
      </c>
    </row>
    <row r="361" spans="1:5">
      <c r="A361" t="s">
        <v>24</v>
      </c>
      <c r="B361" t="s">
        <v>3</v>
      </c>
      <c r="C361" t="s">
        <v>6</v>
      </c>
      <c r="D361" t="s">
        <v>45</v>
      </c>
      <c r="E361">
        <v>10200000</v>
      </c>
    </row>
    <row r="362" spans="1:5">
      <c r="A362" t="s">
        <v>24</v>
      </c>
      <c r="B362" t="s">
        <v>3</v>
      </c>
      <c r="C362" t="s">
        <v>6</v>
      </c>
      <c r="D362" t="s">
        <v>45</v>
      </c>
      <c r="E362">
        <v>728483.45</v>
      </c>
    </row>
    <row r="363" spans="1:5">
      <c r="A363" t="s">
        <v>24</v>
      </c>
      <c r="B363" t="s">
        <v>3</v>
      </c>
      <c r="C363" t="s">
        <v>6</v>
      </c>
      <c r="D363" t="s">
        <v>48</v>
      </c>
      <c r="E363">
        <v>112800</v>
      </c>
    </row>
    <row r="364" spans="1:5">
      <c r="A364" t="s">
        <v>25</v>
      </c>
      <c r="B364" t="s">
        <v>3</v>
      </c>
      <c r="C364" t="s">
        <v>6</v>
      </c>
      <c r="D364" t="s">
        <v>48</v>
      </c>
      <c r="E364">
        <v>66216</v>
      </c>
    </row>
    <row r="365" spans="1:5">
      <c r="A365" t="s">
        <v>25</v>
      </c>
      <c r="B365" t="s">
        <v>3</v>
      </c>
      <c r="C365" t="s">
        <v>6</v>
      </c>
      <c r="D365" t="s">
        <v>48</v>
      </c>
      <c r="E365">
        <v>8754</v>
      </c>
    </row>
    <row r="366" spans="1:5">
      <c r="A366" t="s">
        <v>34</v>
      </c>
      <c r="B366" t="s">
        <v>3</v>
      </c>
      <c r="C366" t="s">
        <v>6</v>
      </c>
      <c r="D366" t="s">
        <v>48</v>
      </c>
      <c r="E366">
        <v>109350</v>
      </c>
    </row>
    <row r="367" spans="1:5">
      <c r="A367" t="s">
        <v>29</v>
      </c>
      <c r="B367" t="s">
        <v>4</v>
      </c>
      <c r="C367" t="s">
        <v>10</v>
      </c>
      <c r="D367" t="s">
        <v>46</v>
      </c>
      <c r="E367">
        <v>0</v>
      </c>
    </row>
    <row r="368" spans="1:5">
      <c r="A368" t="s">
        <v>29</v>
      </c>
      <c r="B368" t="s">
        <v>4</v>
      </c>
      <c r="C368" t="s">
        <v>10</v>
      </c>
      <c r="D368" t="s">
        <v>46</v>
      </c>
      <c r="E368">
        <v>0</v>
      </c>
    </row>
    <row r="369" spans="1:5">
      <c r="A369" t="s">
        <v>29</v>
      </c>
      <c r="B369" t="s">
        <v>4</v>
      </c>
      <c r="C369" t="s">
        <v>6</v>
      </c>
      <c r="D369" t="s">
        <v>46</v>
      </c>
      <c r="E369">
        <v>166800</v>
      </c>
    </row>
    <row r="370" spans="1:5">
      <c r="A370" t="s">
        <v>32</v>
      </c>
      <c r="B370" t="s">
        <v>4</v>
      </c>
      <c r="C370" t="s">
        <v>6</v>
      </c>
      <c r="D370" t="s">
        <v>46</v>
      </c>
      <c r="E370">
        <v>1581600</v>
      </c>
    </row>
    <row r="371" spans="1:5">
      <c r="A371" t="s">
        <v>28</v>
      </c>
      <c r="B371" t="s">
        <v>3</v>
      </c>
      <c r="C371" t="s">
        <v>6</v>
      </c>
      <c r="D371" t="s">
        <v>45</v>
      </c>
      <c r="E371">
        <v>369960</v>
      </c>
    </row>
    <row r="372" spans="1:5">
      <c r="A372" t="s">
        <v>28</v>
      </c>
      <c r="B372" t="s">
        <v>3</v>
      </c>
      <c r="C372" t="s">
        <v>6</v>
      </c>
      <c r="D372" t="s">
        <v>45</v>
      </c>
      <c r="E372">
        <v>113711.51</v>
      </c>
    </row>
    <row r="373" spans="1:5">
      <c r="A373" t="s">
        <v>33</v>
      </c>
      <c r="B373" t="s">
        <v>4</v>
      </c>
      <c r="C373" t="s">
        <v>10</v>
      </c>
      <c r="D373" t="s">
        <v>46</v>
      </c>
      <c r="E373">
        <v>0</v>
      </c>
    </row>
    <row r="374" spans="1:5">
      <c r="A374" t="s">
        <v>32</v>
      </c>
      <c r="B374" t="s">
        <v>4</v>
      </c>
      <c r="C374" t="s">
        <v>6</v>
      </c>
      <c r="D374" t="s">
        <v>46</v>
      </c>
      <c r="E374">
        <v>600000</v>
      </c>
    </row>
    <row r="375" spans="1:5">
      <c r="A375" t="s">
        <v>25</v>
      </c>
      <c r="B375" t="s">
        <v>4</v>
      </c>
      <c r="C375" t="s">
        <v>9</v>
      </c>
      <c r="D375" t="s">
        <v>46</v>
      </c>
      <c r="E375">
        <v>0</v>
      </c>
    </row>
    <row r="376" spans="1:5">
      <c r="A376" t="s">
        <v>25</v>
      </c>
      <c r="B376" t="s">
        <v>4</v>
      </c>
      <c r="C376" t="s">
        <v>9</v>
      </c>
      <c r="D376" t="s">
        <v>46</v>
      </c>
      <c r="E376">
        <v>0</v>
      </c>
    </row>
    <row r="377" spans="1:5">
      <c r="A377" t="s">
        <v>23</v>
      </c>
      <c r="B377" t="s">
        <v>3</v>
      </c>
      <c r="C377" t="s">
        <v>6</v>
      </c>
      <c r="D377" t="s">
        <v>45</v>
      </c>
      <c r="E377">
        <v>677850.68</v>
      </c>
    </row>
    <row r="378" spans="1:5">
      <c r="A378" t="s">
        <v>23</v>
      </c>
      <c r="B378" t="s">
        <v>3</v>
      </c>
      <c r="C378" t="s">
        <v>6</v>
      </c>
      <c r="D378" t="s">
        <v>45</v>
      </c>
      <c r="E378">
        <v>1111110.72</v>
      </c>
    </row>
    <row r="379" spans="1:5">
      <c r="A379" t="s">
        <v>23</v>
      </c>
      <c r="B379" t="s">
        <v>3</v>
      </c>
      <c r="C379" t="s">
        <v>6</v>
      </c>
      <c r="D379" t="s">
        <v>45</v>
      </c>
      <c r="E379">
        <v>101358.96</v>
      </c>
    </row>
    <row r="380" spans="1:5">
      <c r="A380" t="s">
        <v>23</v>
      </c>
      <c r="B380" t="s">
        <v>3</v>
      </c>
      <c r="C380" t="s">
        <v>6</v>
      </c>
      <c r="D380" t="s">
        <v>45</v>
      </c>
      <c r="E380">
        <v>69549.91</v>
      </c>
    </row>
    <row r="381" spans="1:5">
      <c r="A381" t="s">
        <v>23</v>
      </c>
      <c r="B381" t="s">
        <v>3</v>
      </c>
      <c r="C381" t="s">
        <v>6</v>
      </c>
      <c r="D381" t="s">
        <v>45</v>
      </c>
      <c r="E381">
        <v>6109952.74</v>
      </c>
    </row>
    <row r="382" spans="1:5">
      <c r="A382" t="s">
        <v>23</v>
      </c>
      <c r="B382" t="s">
        <v>3</v>
      </c>
      <c r="C382" t="s">
        <v>6</v>
      </c>
      <c r="D382" t="s">
        <v>45</v>
      </c>
      <c r="E382">
        <v>275055</v>
      </c>
    </row>
    <row r="383" spans="1:5">
      <c r="A383" t="s">
        <v>23</v>
      </c>
      <c r="B383" t="s">
        <v>3</v>
      </c>
      <c r="C383" t="s">
        <v>6</v>
      </c>
      <c r="D383" t="s">
        <v>45</v>
      </c>
      <c r="E383">
        <v>67722.48</v>
      </c>
    </row>
    <row r="384" spans="1:5">
      <c r="A384" t="s">
        <v>23</v>
      </c>
      <c r="B384" t="s">
        <v>3</v>
      </c>
      <c r="C384" t="s">
        <v>6</v>
      </c>
      <c r="D384" t="s">
        <v>45</v>
      </c>
      <c r="E384">
        <v>139287.2</v>
      </c>
    </row>
    <row r="385" spans="1:5">
      <c r="A385" t="s">
        <v>25</v>
      </c>
      <c r="B385" t="s">
        <v>3</v>
      </c>
      <c r="C385" t="s">
        <v>8</v>
      </c>
      <c r="D385" t="s">
        <v>46</v>
      </c>
      <c r="E385">
        <v>304057.2</v>
      </c>
    </row>
    <row r="386" spans="1:5">
      <c r="A386" t="s">
        <v>25</v>
      </c>
      <c r="B386" t="s">
        <v>3</v>
      </c>
      <c r="C386" t="s">
        <v>6</v>
      </c>
      <c r="D386" t="s">
        <v>46</v>
      </c>
      <c r="E386">
        <v>240000</v>
      </c>
    </row>
    <row r="387" spans="1:5">
      <c r="A387" t="s">
        <v>13</v>
      </c>
      <c r="B387" t="s">
        <v>3</v>
      </c>
      <c r="C387" t="s">
        <v>6</v>
      </c>
      <c r="D387" t="s">
        <v>45</v>
      </c>
      <c r="E387">
        <v>250000</v>
      </c>
    </row>
    <row r="388" spans="1:5">
      <c r="A388" t="s">
        <v>13</v>
      </c>
      <c r="B388" t="s">
        <v>3</v>
      </c>
      <c r="C388" t="s">
        <v>6</v>
      </c>
      <c r="D388" t="s">
        <v>45</v>
      </c>
      <c r="E388">
        <v>1800000</v>
      </c>
    </row>
    <row r="389" spans="1:5">
      <c r="A389" t="s">
        <v>13</v>
      </c>
      <c r="B389" t="s">
        <v>3</v>
      </c>
      <c r="C389" t="s">
        <v>6</v>
      </c>
      <c r="D389" t="s">
        <v>45</v>
      </c>
      <c r="E389">
        <v>1400000</v>
      </c>
    </row>
    <row r="390" spans="1:5">
      <c r="A390" t="s">
        <v>13</v>
      </c>
      <c r="B390" t="s">
        <v>3</v>
      </c>
      <c r="C390" t="s">
        <v>6</v>
      </c>
      <c r="D390" t="s">
        <v>45</v>
      </c>
      <c r="E390">
        <v>777671.4</v>
      </c>
    </row>
    <row r="391" spans="1:5">
      <c r="A391" t="s">
        <v>24</v>
      </c>
      <c r="B391" t="s">
        <v>3</v>
      </c>
      <c r="C391" t="s">
        <v>6</v>
      </c>
      <c r="D391" t="s">
        <v>45</v>
      </c>
      <c r="E391">
        <v>114000</v>
      </c>
    </row>
    <row r="392" spans="1:5">
      <c r="A392" t="s">
        <v>25</v>
      </c>
      <c r="B392" t="s">
        <v>3</v>
      </c>
      <c r="C392" t="s">
        <v>6</v>
      </c>
      <c r="D392" t="s">
        <v>46</v>
      </c>
      <c r="E392">
        <v>94200</v>
      </c>
    </row>
    <row r="393" spans="1:5">
      <c r="A393" t="s">
        <v>25</v>
      </c>
      <c r="B393" t="s">
        <v>3</v>
      </c>
      <c r="C393" t="s">
        <v>6</v>
      </c>
      <c r="D393" t="s">
        <v>46</v>
      </c>
      <c r="E393">
        <v>90000</v>
      </c>
    </row>
    <row r="394" spans="1:5">
      <c r="A394" t="s">
        <v>18</v>
      </c>
      <c r="B394" t="s">
        <v>3</v>
      </c>
      <c r="C394" t="s">
        <v>6</v>
      </c>
      <c r="D394" t="s">
        <v>45</v>
      </c>
      <c r="E394">
        <v>156000</v>
      </c>
    </row>
    <row r="395" spans="1:5">
      <c r="A395" t="s">
        <v>29</v>
      </c>
      <c r="B395" t="s">
        <v>3</v>
      </c>
      <c r="C395" t="s">
        <v>6</v>
      </c>
      <c r="D395" t="s">
        <v>48</v>
      </c>
      <c r="E395">
        <v>295662</v>
      </c>
    </row>
    <row r="396" spans="1:5">
      <c r="A396" t="s">
        <v>33</v>
      </c>
      <c r="B396" t="s">
        <v>4</v>
      </c>
      <c r="C396" t="s">
        <v>6</v>
      </c>
      <c r="D396" t="s">
        <v>46</v>
      </c>
      <c r="E396">
        <v>2497800</v>
      </c>
    </row>
    <row r="397" spans="1:5">
      <c r="A397" t="s">
        <v>25</v>
      </c>
      <c r="B397" t="s">
        <v>4</v>
      </c>
      <c r="C397" t="s">
        <v>6</v>
      </c>
      <c r="D397" t="s">
        <v>48</v>
      </c>
      <c r="E397">
        <v>238938</v>
      </c>
    </row>
    <row r="398" spans="1:5">
      <c r="A398" t="s">
        <v>25</v>
      </c>
      <c r="B398" t="s">
        <v>3</v>
      </c>
      <c r="C398" t="s">
        <v>6</v>
      </c>
      <c r="D398" t="s">
        <v>48</v>
      </c>
      <c r="E398">
        <v>120000.32</v>
      </c>
    </row>
    <row r="399" spans="1:5">
      <c r="A399" t="s">
        <v>25</v>
      </c>
      <c r="B399" t="s">
        <v>3</v>
      </c>
      <c r="C399" t="s">
        <v>6</v>
      </c>
      <c r="D399" t="s">
        <v>48</v>
      </c>
      <c r="E399">
        <v>458400</v>
      </c>
    </row>
    <row r="400" spans="1:5">
      <c r="A400" t="s">
        <v>28</v>
      </c>
      <c r="B400" t="s">
        <v>3</v>
      </c>
      <c r="C400" t="s">
        <v>8</v>
      </c>
      <c r="D400" t="s">
        <v>46</v>
      </c>
      <c r="E400">
        <v>350000</v>
      </c>
    </row>
    <row r="401" spans="1:5">
      <c r="A401" t="s">
        <v>33</v>
      </c>
      <c r="B401" t="s">
        <v>4</v>
      </c>
      <c r="C401" t="s">
        <v>6</v>
      </c>
      <c r="D401" t="s">
        <v>46</v>
      </c>
      <c r="E401">
        <v>460560</v>
      </c>
    </row>
    <row r="402" spans="1:5">
      <c r="A402" t="s">
        <v>22</v>
      </c>
      <c r="B402" t="s">
        <v>3</v>
      </c>
      <c r="C402" t="s">
        <v>6</v>
      </c>
      <c r="D402" t="s">
        <v>45</v>
      </c>
      <c r="E402">
        <v>1241174</v>
      </c>
    </row>
    <row r="403" spans="1:5">
      <c r="A403" t="s">
        <v>22</v>
      </c>
      <c r="B403" t="s">
        <v>3</v>
      </c>
      <c r="C403" t="s">
        <v>6</v>
      </c>
      <c r="D403" t="s">
        <v>45</v>
      </c>
      <c r="E403">
        <v>1122588</v>
      </c>
    </row>
    <row r="404" spans="1:5">
      <c r="A404" t="s">
        <v>22</v>
      </c>
      <c r="B404" t="s">
        <v>3</v>
      </c>
      <c r="C404" t="s">
        <v>6</v>
      </c>
      <c r="D404" t="s">
        <v>45</v>
      </c>
      <c r="E404">
        <v>864000</v>
      </c>
    </row>
    <row r="405" spans="1:5">
      <c r="A405" t="s">
        <v>22</v>
      </c>
      <c r="B405" t="s">
        <v>3</v>
      </c>
      <c r="C405" t="s">
        <v>6</v>
      </c>
      <c r="D405" t="s">
        <v>45</v>
      </c>
      <c r="E405">
        <v>2040000</v>
      </c>
    </row>
    <row r="406" spans="1:5">
      <c r="A406" t="s">
        <v>22</v>
      </c>
      <c r="B406" t="s">
        <v>3</v>
      </c>
      <c r="C406" t="s">
        <v>6</v>
      </c>
      <c r="D406" t="s">
        <v>45</v>
      </c>
      <c r="E406">
        <v>240480</v>
      </c>
    </row>
    <row r="407" spans="1:5">
      <c r="A407" t="s">
        <v>22</v>
      </c>
      <c r="B407" t="s">
        <v>3</v>
      </c>
      <c r="C407" t="s">
        <v>7</v>
      </c>
      <c r="D407" t="s">
        <v>46</v>
      </c>
      <c r="E407">
        <v>76464</v>
      </c>
    </row>
    <row r="408" spans="1:5">
      <c r="A408" t="s">
        <v>32</v>
      </c>
      <c r="B408" t="s">
        <v>4</v>
      </c>
      <c r="C408" t="s">
        <v>7</v>
      </c>
      <c r="D408" t="s">
        <v>46</v>
      </c>
      <c r="E408">
        <v>0</v>
      </c>
    </row>
    <row r="409" spans="1:5">
      <c r="A409" t="s">
        <v>18</v>
      </c>
      <c r="B409" t="s">
        <v>3</v>
      </c>
      <c r="C409" t="s">
        <v>6</v>
      </c>
      <c r="D409" t="s">
        <v>45</v>
      </c>
      <c r="E409">
        <v>84480</v>
      </c>
    </row>
    <row r="410" spans="1:5">
      <c r="A410" t="s">
        <v>18</v>
      </c>
      <c r="B410" t="s">
        <v>3</v>
      </c>
      <c r="C410" t="s">
        <v>6</v>
      </c>
      <c r="D410" t="s">
        <v>45</v>
      </c>
      <c r="E410">
        <v>90090</v>
      </c>
    </row>
    <row r="411" spans="1:5">
      <c r="A411" t="s">
        <v>33</v>
      </c>
      <c r="B411" t="s">
        <v>3</v>
      </c>
      <c r="C411" t="s">
        <v>7</v>
      </c>
      <c r="D411" t="s">
        <v>46</v>
      </c>
      <c r="E411">
        <v>832134</v>
      </c>
    </row>
    <row r="412" spans="1:5">
      <c r="A412" t="s">
        <v>33</v>
      </c>
      <c r="B412" t="s">
        <v>3</v>
      </c>
      <c r="C412" t="s">
        <v>10</v>
      </c>
      <c r="D412" t="s">
        <v>46</v>
      </c>
      <c r="E412">
        <v>0</v>
      </c>
    </row>
    <row r="413" spans="1:5">
      <c r="A413" t="s">
        <v>13</v>
      </c>
      <c r="B413" t="s">
        <v>3</v>
      </c>
      <c r="C413" t="s">
        <v>6</v>
      </c>
      <c r="D413" t="s">
        <v>45</v>
      </c>
      <c r="E413">
        <v>321020</v>
      </c>
    </row>
    <row r="414" spans="1:5">
      <c r="A414" t="s">
        <v>13</v>
      </c>
      <c r="B414" t="s">
        <v>3</v>
      </c>
      <c r="C414" t="s">
        <v>6</v>
      </c>
      <c r="D414" t="s">
        <v>45</v>
      </c>
      <c r="E414">
        <v>321020</v>
      </c>
    </row>
    <row r="415" spans="1:5">
      <c r="A415" t="s">
        <v>13</v>
      </c>
      <c r="B415" t="s">
        <v>3</v>
      </c>
      <c r="C415" t="s">
        <v>6</v>
      </c>
      <c r="D415" t="s">
        <v>45</v>
      </c>
      <c r="E415">
        <v>926100</v>
      </c>
    </row>
    <row r="416" spans="1:5">
      <c r="A416" t="s">
        <v>13</v>
      </c>
      <c r="B416" t="s">
        <v>3</v>
      </c>
      <c r="C416" t="s">
        <v>6</v>
      </c>
      <c r="D416" t="s">
        <v>45</v>
      </c>
      <c r="E416">
        <v>1200000</v>
      </c>
    </row>
    <row r="417" spans="1:5">
      <c r="A417" t="s">
        <v>13</v>
      </c>
      <c r="B417" t="s">
        <v>3</v>
      </c>
      <c r="C417" t="s">
        <v>6</v>
      </c>
      <c r="D417" t="s">
        <v>45</v>
      </c>
      <c r="E417">
        <v>1000000</v>
      </c>
    </row>
    <row r="418" spans="1:5">
      <c r="A418" t="s">
        <v>13</v>
      </c>
      <c r="B418" t="s">
        <v>3</v>
      </c>
      <c r="C418" t="s">
        <v>6</v>
      </c>
      <c r="D418" t="s">
        <v>45</v>
      </c>
      <c r="E418">
        <v>155000000</v>
      </c>
    </row>
    <row r="419" spans="1:5">
      <c r="A419" t="s">
        <v>13</v>
      </c>
      <c r="B419" t="s">
        <v>3</v>
      </c>
      <c r="C419" t="s">
        <v>6</v>
      </c>
      <c r="D419" t="s">
        <v>45</v>
      </c>
      <c r="E419">
        <v>250000</v>
      </c>
    </row>
    <row r="420" spans="1:5">
      <c r="A420" t="s">
        <v>18</v>
      </c>
      <c r="B420" t="s">
        <v>3</v>
      </c>
      <c r="C420" t="s">
        <v>6</v>
      </c>
      <c r="D420" t="s">
        <v>45</v>
      </c>
      <c r="E420">
        <v>200000</v>
      </c>
    </row>
    <row r="421" spans="1:5">
      <c r="A421" t="s">
        <v>24</v>
      </c>
      <c r="B421" t="s">
        <v>3</v>
      </c>
      <c r="C421" t="s">
        <v>6</v>
      </c>
      <c r="D421" t="s">
        <v>45</v>
      </c>
      <c r="E421">
        <v>72000</v>
      </c>
    </row>
    <row r="422" spans="1:5">
      <c r="A422" t="s">
        <v>29</v>
      </c>
      <c r="B422" t="s">
        <v>4</v>
      </c>
      <c r="C422" t="s">
        <v>10</v>
      </c>
      <c r="D422" t="s">
        <v>46</v>
      </c>
      <c r="E422">
        <v>0</v>
      </c>
    </row>
    <row r="423" spans="1:5">
      <c r="A423" t="s">
        <v>29</v>
      </c>
      <c r="B423" t="s">
        <v>3</v>
      </c>
      <c r="C423" t="s">
        <v>6</v>
      </c>
      <c r="D423" t="s">
        <v>46</v>
      </c>
      <c r="E423">
        <v>337110</v>
      </c>
    </row>
    <row r="424" spans="1:5">
      <c r="A424" t="s">
        <v>29</v>
      </c>
      <c r="B424" t="s">
        <v>3</v>
      </c>
      <c r="C424" t="s">
        <v>6</v>
      </c>
      <c r="D424" t="s">
        <v>46</v>
      </c>
      <c r="E424">
        <v>1379196</v>
      </c>
    </row>
    <row r="425" spans="1:5">
      <c r="A425" t="s">
        <v>29</v>
      </c>
      <c r="B425" t="s">
        <v>3</v>
      </c>
      <c r="C425" t="s">
        <v>10</v>
      </c>
      <c r="D425" t="s">
        <v>46</v>
      </c>
      <c r="E425">
        <v>0</v>
      </c>
    </row>
    <row r="426" spans="1:5">
      <c r="A426" t="s">
        <v>25</v>
      </c>
      <c r="B426" t="s">
        <v>4</v>
      </c>
      <c r="C426" t="s">
        <v>8</v>
      </c>
      <c r="D426" t="s">
        <v>48</v>
      </c>
      <c r="E426">
        <v>66000</v>
      </c>
    </row>
    <row r="427" spans="1:5">
      <c r="A427" t="s">
        <v>29</v>
      </c>
      <c r="B427" t="s">
        <v>4</v>
      </c>
      <c r="C427" t="s">
        <v>7</v>
      </c>
      <c r="D427" t="s">
        <v>46</v>
      </c>
      <c r="E427">
        <v>2017741.2</v>
      </c>
    </row>
    <row r="428" spans="1:5">
      <c r="A428" t="s">
        <v>29</v>
      </c>
      <c r="B428" t="s">
        <v>4</v>
      </c>
      <c r="C428" t="s">
        <v>10</v>
      </c>
      <c r="D428" t="s">
        <v>46</v>
      </c>
      <c r="E428">
        <v>0</v>
      </c>
    </row>
    <row r="429" spans="1:5">
      <c r="A429" t="s">
        <v>29</v>
      </c>
      <c r="B429" t="s">
        <v>4</v>
      </c>
      <c r="C429" t="s">
        <v>10</v>
      </c>
      <c r="D429" t="s">
        <v>46</v>
      </c>
      <c r="E429">
        <v>0</v>
      </c>
    </row>
    <row r="430" spans="1:5">
      <c r="A430" t="s">
        <v>29</v>
      </c>
      <c r="B430" t="s">
        <v>3</v>
      </c>
      <c r="C430" t="s">
        <v>7</v>
      </c>
      <c r="D430" t="s">
        <v>46</v>
      </c>
      <c r="E430">
        <v>307526.4</v>
      </c>
    </row>
    <row r="431" spans="1:5">
      <c r="A431" t="s">
        <v>32</v>
      </c>
      <c r="B431" t="s">
        <v>4</v>
      </c>
      <c r="C431" t="s">
        <v>9</v>
      </c>
      <c r="D431" t="s">
        <v>46</v>
      </c>
      <c r="E431">
        <v>0</v>
      </c>
    </row>
    <row r="432" spans="1:5">
      <c r="A432" t="s">
        <v>13</v>
      </c>
      <c r="B432" t="s">
        <v>3</v>
      </c>
      <c r="C432" t="s">
        <v>6</v>
      </c>
      <c r="D432" t="s">
        <v>45</v>
      </c>
      <c r="E432">
        <v>848337.5</v>
      </c>
    </row>
    <row r="433" spans="1:5">
      <c r="A433" t="s">
        <v>13</v>
      </c>
      <c r="B433" t="s">
        <v>3</v>
      </c>
      <c r="C433" t="s">
        <v>6</v>
      </c>
      <c r="D433" t="s">
        <v>45</v>
      </c>
      <c r="E433">
        <v>1349674.56</v>
      </c>
    </row>
    <row r="434" spans="1:5">
      <c r="A434" t="s">
        <v>13</v>
      </c>
      <c r="B434" t="s">
        <v>3</v>
      </c>
      <c r="C434" t="s">
        <v>6</v>
      </c>
      <c r="D434" t="s">
        <v>45</v>
      </c>
      <c r="E434">
        <v>2335975.2</v>
      </c>
    </row>
    <row r="435" spans="1:5">
      <c r="A435" t="s">
        <v>13</v>
      </c>
      <c r="B435" t="s">
        <v>3</v>
      </c>
      <c r="C435" t="s">
        <v>6</v>
      </c>
      <c r="D435" t="s">
        <v>45</v>
      </c>
      <c r="E435">
        <v>150000</v>
      </c>
    </row>
    <row r="436" spans="1:5">
      <c r="A436" t="s">
        <v>32</v>
      </c>
      <c r="B436" t="s">
        <v>4</v>
      </c>
      <c r="C436" t="s">
        <v>6</v>
      </c>
      <c r="D436" t="s">
        <v>46</v>
      </c>
      <c r="E436">
        <v>2373651.54</v>
      </c>
    </row>
    <row r="437" spans="1:5">
      <c r="A437" t="s">
        <v>32</v>
      </c>
      <c r="B437" t="s">
        <v>3</v>
      </c>
      <c r="C437" t="s">
        <v>6</v>
      </c>
      <c r="D437" t="s">
        <v>48</v>
      </c>
      <c r="E437">
        <v>107000</v>
      </c>
    </row>
    <row r="438" spans="1:5">
      <c r="A438" t="s">
        <v>32</v>
      </c>
      <c r="B438" t="s">
        <v>3</v>
      </c>
      <c r="C438" t="s">
        <v>6</v>
      </c>
      <c r="D438" t="s">
        <v>48</v>
      </c>
      <c r="E438">
        <v>37800</v>
      </c>
    </row>
    <row r="439" spans="1:5">
      <c r="A439" t="s">
        <v>22</v>
      </c>
      <c r="B439" t="s">
        <v>3</v>
      </c>
      <c r="C439" t="s">
        <v>6</v>
      </c>
      <c r="D439" t="s">
        <v>45</v>
      </c>
      <c r="E439">
        <v>130000</v>
      </c>
    </row>
    <row r="440" spans="1:5">
      <c r="A440" t="s">
        <v>22</v>
      </c>
      <c r="B440" t="s">
        <v>3</v>
      </c>
      <c r="C440" t="s">
        <v>6</v>
      </c>
      <c r="D440" t="s">
        <v>45</v>
      </c>
      <c r="E440">
        <v>130000</v>
      </c>
    </row>
    <row r="441" spans="1:5">
      <c r="A441" t="s">
        <v>22</v>
      </c>
      <c r="B441" t="s">
        <v>3</v>
      </c>
      <c r="C441" t="s">
        <v>6</v>
      </c>
      <c r="D441" t="s">
        <v>45</v>
      </c>
      <c r="E441">
        <v>130000</v>
      </c>
    </row>
    <row r="442" spans="1:5">
      <c r="A442" t="s">
        <v>29</v>
      </c>
      <c r="B442" t="s">
        <v>4</v>
      </c>
      <c r="C442" t="s">
        <v>7</v>
      </c>
      <c r="D442" t="s">
        <v>46</v>
      </c>
      <c r="E442">
        <v>0</v>
      </c>
    </row>
    <row r="443" spans="1:5">
      <c r="A443" t="s">
        <v>25</v>
      </c>
      <c r="B443" t="s">
        <v>3</v>
      </c>
      <c r="C443" t="s">
        <v>6</v>
      </c>
      <c r="D443" t="s">
        <v>45</v>
      </c>
      <c r="E443">
        <v>622864.76</v>
      </c>
    </row>
    <row r="444" spans="1:5">
      <c r="A444" t="s">
        <v>25</v>
      </c>
      <c r="B444" t="s">
        <v>3</v>
      </c>
      <c r="C444" t="s">
        <v>6</v>
      </c>
      <c r="D444" t="s">
        <v>45</v>
      </c>
      <c r="E444">
        <v>9116.24</v>
      </c>
    </row>
    <row r="445" spans="1:5">
      <c r="A445" t="s">
        <v>25</v>
      </c>
      <c r="B445" t="s">
        <v>3</v>
      </c>
      <c r="C445" t="s">
        <v>6</v>
      </c>
      <c r="D445" t="s">
        <v>45</v>
      </c>
      <c r="E445">
        <v>12762.72</v>
      </c>
    </row>
    <row r="446" spans="1:5">
      <c r="A446" t="s">
        <v>25</v>
      </c>
      <c r="B446" t="s">
        <v>3</v>
      </c>
      <c r="C446" t="s">
        <v>6</v>
      </c>
      <c r="D446" t="s">
        <v>45</v>
      </c>
      <c r="E446">
        <v>1896356.04</v>
      </c>
    </row>
    <row r="447" spans="1:5">
      <c r="A447" t="s">
        <v>25</v>
      </c>
      <c r="B447" t="s">
        <v>3</v>
      </c>
      <c r="C447" t="s">
        <v>6</v>
      </c>
      <c r="D447" t="s">
        <v>45</v>
      </c>
      <c r="E447">
        <v>190540.92</v>
      </c>
    </row>
    <row r="448" spans="1:5">
      <c r="A448" t="s">
        <v>25</v>
      </c>
      <c r="B448" t="s">
        <v>3</v>
      </c>
      <c r="C448" t="s">
        <v>6</v>
      </c>
      <c r="D448" t="s">
        <v>45</v>
      </c>
      <c r="E448">
        <v>144079.24</v>
      </c>
    </row>
    <row r="449" spans="1:5">
      <c r="A449" t="s">
        <v>25</v>
      </c>
      <c r="B449" t="s">
        <v>3</v>
      </c>
      <c r="C449" t="s">
        <v>6</v>
      </c>
      <c r="D449" t="s">
        <v>45</v>
      </c>
      <c r="E449">
        <v>25525.52</v>
      </c>
    </row>
    <row r="450" spans="1:5">
      <c r="A450" t="s">
        <v>25</v>
      </c>
      <c r="B450" t="s">
        <v>3</v>
      </c>
      <c r="C450" t="s">
        <v>6</v>
      </c>
      <c r="D450" t="s">
        <v>45</v>
      </c>
      <c r="E450">
        <v>25525.52</v>
      </c>
    </row>
    <row r="451" spans="1:5">
      <c r="A451" t="s">
        <v>25</v>
      </c>
      <c r="B451" t="s">
        <v>3</v>
      </c>
      <c r="C451" t="s">
        <v>6</v>
      </c>
      <c r="D451" t="s">
        <v>45</v>
      </c>
      <c r="E451">
        <v>88245</v>
      </c>
    </row>
    <row r="452" spans="1:5">
      <c r="A452" t="s">
        <v>25</v>
      </c>
      <c r="B452" t="s">
        <v>3</v>
      </c>
      <c r="C452" t="s">
        <v>6</v>
      </c>
      <c r="D452" t="s">
        <v>45</v>
      </c>
      <c r="E452">
        <v>265585.04</v>
      </c>
    </row>
    <row r="453" spans="1:5">
      <c r="A453" t="s">
        <v>25</v>
      </c>
      <c r="B453" t="s">
        <v>3</v>
      </c>
      <c r="C453" t="s">
        <v>6</v>
      </c>
      <c r="D453" t="s">
        <v>45</v>
      </c>
      <c r="E453">
        <v>135907.6</v>
      </c>
    </row>
    <row r="454" spans="1:5">
      <c r="A454" t="s">
        <v>25</v>
      </c>
      <c r="B454" t="s">
        <v>3</v>
      </c>
      <c r="C454" t="s">
        <v>6</v>
      </c>
      <c r="D454" t="s">
        <v>45</v>
      </c>
      <c r="E454">
        <v>1863740.64</v>
      </c>
    </row>
    <row r="455" spans="1:5">
      <c r="A455" t="s">
        <v>25</v>
      </c>
      <c r="B455" t="s">
        <v>3</v>
      </c>
      <c r="C455" t="s">
        <v>6</v>
      </c>
      <c r="D455" t="s">
        <v>45</v>
      </c>
      <c r="E455">
        <v>1553117.28</v>
      </c>
    </row>
    <row r="456" spans="1:5">
      <c r="A456" t="s">
        <v>25</v>
      </c>
      <c r="B456" t="s">
        <v>3</v>
      </c>
      <c r="C456" t="s">
        <v>6</v>
      </c>
      <c r="D456" t="s">
        <v>45</v>
      </c>
      <c r="E456">
        <v>1588415.4</v>
      </c>
    </row>
    <row r="457" spans="1:5">
      <c r="A457" t="s">
        <v>25</v>
      </c>
      <c r="B457" t="s">
        <v>3</v>
      </c>
      <c r="C457" t="s">
        <v>6</v>
      </c>
      <c r="D457" t="s">
        <v>45</v>
      </c>
      <c r="E457">
        <v>529471.8</v>
      </c>
    </row>
    <row r="458" spans="1:5">
      <c r="A458" t="s">
        <v>25</v>
      </c>
      <c r="B458" t="s">
        <v>3</v>
      </c>
      <c r="C458" t="s">
        <v>6</v>
      </c>
      <c r="D458" t="s">
        <v>45</v>
      </c>
      <c r="E458">
        <v>641784</v>
      </c>
    </row>
    <row r="459" spans="1:5">
      <c r="A459" t="s">
        <v>25</v>
      </c>
      <c r="B459" t="s">
        <v>3</v>
      </c>
      <c r="C459" t="s">
        <v>6</v>
      </c>
      <c r="D459" t="s">
        <v>45</v>
      </c>
      <c r="E459">
        <v>260724.72</v>
      </c>
    </row>
    <row r="460" spans="1:5">
      <c r="A460" t="s">
        <v>25</v>
      </c>
      <c r="B460" t="s">
        <v>3</v>
      </c>
      <c r="C460" t="s">
        <v>6</v>
      </c>
      <c r="D460" t="s">
        <v>45</v>
      </c>
      <c r="E460">
        <v>260724.72</v>
      </c>
    </row>
    <row r="461" spans="1:5">
      <c r="A461" t="s">
        <v>25</v>
      </c>
      <c r="B461" t="s">
        <v>3</v>
      </c>
      <c r="C461" t="s">
        <v>6</v>
      </c>
      <c r="D461" t="s">
        <v>45</v>
      </c>
      <c r="E461">
        <v>521449.44</v>
      </c>
    </row>
    <row r="462" spans="1:5">
      <c r="A462" t="s">
        <v>25</v>
      </c>
      <c r="B462" t="s">
        <v>3</v>
      </c>
      <c r="C462" t="s">
        <v>6</v>
      </c>
      <c r="D462" t="s">
        <v>45</v>
      </c>
      <c r="E462">
        <v>521449.44</v>
      </c>
    </row>
    <row r="463" spans="1:5">
      <c r="A463" t="s">
        <v>25</v>
      </c>
      <c r="B463" t="s">
        <v>3</v>
      </c>
      <c r="C463" t="s">
        <v>6</v>
      </c>
      <c r="D463" t="s">
        <v>45</v>
      </c>
      <c r="E463">
        <v>521449.44</v>
      </c>
    </row>
    <row r="464" spans="1:5">
      <c r="A464" t="s">
        <v>25</v>
      </c>
      <c r="B464" t="s">
        <v>3</v>
      </c>
      <c r="C464" t="s">
        <v>6</v>
      </c>
      <c r="D464" t="s">
        <v>45</v>
      </c>
      <c r="E464">
        <v>75219.96</v>
      </c>
    </row>
    <row r="465" spans="1:5">
      <c r="A465" t="s">
        <v>25</v>
      </c>
      <c r="B465" t="s">
        <v>3</v>
      </c>
      <c r="C465" t="s">
        <v>6</v>
      </c>
      <c r="D465" t="s">
        <v>45</v>
      </c>
      <c r="E465">
        <v>38579.88</v>
      </c>
    </row>
    <row r="466" spans="1:5">
      <c r="A466" t="s">
        <v>25</v>
      </c>
      <c r="B466" t="s">
        <v>3</v>
      </c>
      <c r="C466" t="s">
        <v>6</v>
      </c>
      <c r="D466" t="s">
        <v>45</v>
      </c>
      <c r="E466">
        <v>319440</v>
      </c>
    </row>
    <row r="467" spans="1:5">
      <c r="A467" t="s">
        <v>25</v>
      </c>
      <c r="B467" t="s">
        <v>3</v>
      </c>
      <c r="C467" t="s">
        <v>6</v>
      </c>
      <c r="D467" t="s">
        <v>45</v>
      </c>
      <c r="E467">
        <v>154608.96</v>
      </c>
    </row>
    <row r="468" spans="1:5">
      <c r="A468" t="s">
        <v>25</v>
      </c>
      <c r="B468" t="s">
        <v>3</v>
      </c>
      <c r="C468" t="s">
        <v>6</v>
      </c>
      <c r="D468" t="s">
        <v>45</v>
      </c>
      <c r="E468">
        <v>92400</v>
      </c>
    </row>
    <row r="469" spans="1:5">
      <c r="A469" t="s">
        <v>25</v>
      </c>
      <c r="B469" t="s">
        <v>3</v>
      </c>
      <c r="C469" t="s">
        <v>6</v>
      </c>
      <c r="D469" t="s">
        <v>45</v>
      </c>
      <c r="E469">
        <v>290400</v>
      </c>
    </row>
    <row r="470" spans="1:5">
      <c r="A470" t="s">
        <v>25</v>
      </c>
      <c r="B470" t="s">
        <v>3</v>
      </c>
      <c r="C470" t="s">
        <v>6</v>
      </c>
      <c r="D470" t="s">
        <v>45</v>
      </c>
      <c r="E470">
        <v>303600</v>
      </c>
    </row>
    <row r="471" spans="1:5">
      <c r="A471" t="s">
        <v>25</v>
      </c>
      <c r="B471" t="s">
        <v>3</v>
      </c>
      <c r="C471" t="s">
        <v>6</v>
      </c>
      <c r="D471" t="s">
        <v>45</v>
      </c>
      <c r="E471">
        <v>288802.8</v>
      </c>
    </row>
    <row r="472" spans="1:5">
      <c r="A472" t="s">
        <v>25</v>
      </c>
      <c r="B472" t="s">
        <v>3</v>
      </c>
      <c r="C472" t="s">
        <v>6</v>
      </c>
      <c r="D472" t="s">
        <v>45</v>
      </c>
      <c r="E472">
        <v>406560</v>
      </c>
    </row>
    <row r="473" spans="1:5">
      <c r="A473" t="s">
        <v>25</v>
      </c>
      <c r="B473" t="s">
        <v>3</v>
      </c>
      <c r="C473" t="s">
        <v>6</v>
      </c>
      <c r="D473" t="s">
        <v>45</v>
      </c>
      <c r="E473">
        <v>58564</v>
      </c>
    </row>
    <row r="474" spans="1:5">
      <c r="A474" t="s">
        <v>25</v>
      </c>
      <c r="B474" t="s">
        <v>3</v>
      </c>
      <c r="C474" t="s">
        <v>6</v>
      </c>
      <c r="D474" t="s">
        <v>46</v>
      </c>
      <c r="E474">
        <v>7343586.84</v>
      </c>
    </row>
    <row r="475" spans="1:5">
      <c r="A475" t="s">
        <v>25</v>
      </c>
      <c r="B475" t="s">
        <v>3</v>
      </c>
      <c r="C475" t="s">
        <v>6</v>
      </c>
      <c r="D475" t="s">
        <v>46</v>
      </c>
      <c r="E475">
        <v>1449692.4</v>
      </c>
    </row>
    <row r="476" spans="1:5">
      <c r="A476" t="s">
        <v>25</v>
      </c>
      <c r="B476" t="s">
        <v>3</v>
      </c>
      <c r="C476" t="s">
        <v>6</v>
      </c>
      <c r="D476" t="s">
        <v>46</v>
      </c>
      <c r="E476">
        <v>2940732</v>
      </c>
    </row>
    <row r="477" spans="1:5">
      <c r="A477" t="s">
        <v>25</v>
      </c>
      <c r="B477" t="s">
        <v>3</v>
      </c>
      <c r="C477" t="s">
        <v>6</v>
      </c>
      <c r="D477" t="s">
        <v>46</v>
      </c>
      <c r="E477">
        <v>686565</v>
      </c>
    </row>
    <row r="478" spans="1:5">
      <c r="A478" t="s">
        <v>25</v>
      </c>
      <c r="B478" t="s">
        <v>3</v>
      </c>
      <c r="C478" t="s">
        <v>6</v>
      </c>
      <c r="D478" t="s">
        <v>46</v>
      </c>
      <c r="E478">
        <v>867981.07</v>
      </c>
    </row>
    <row r="479" spans="1:5">
      <c r="A479" t="s">
        <v>25</v>
      </c>
      <c r="B479" t="s">
        <v>3</v>
      </c>
      <c r="C479" t="s">
        <v>6</v>
      </c>
      <c r="D479" t="s">
        <v>46</v>
      </c>
      <c r="E479">
        <v>399672</v>
      </c>
    </row>
    <row r="480" spans="1:5">
      <c r="A480" t="s">
        <v>25</v>
      </c>
      <c r="B480" t="s">
        <v>3</v>
      </c>
      <c r="C480" t="s">
        <v>6</v>
      </c>
      <c r="D480" t="s">
        <v>46</v>
      </c>
      <c r="E480">
        <v>3470365.98</v>
      </c>
    </row>
    <row r="481" spans="1:5">
      <c r="A481" t="s">
        <v>25</v>
      </c>
      <c r="B481" t="s">
        <v>3</v>
      </c>
      <c r="C481" t="s">
        <v>6</v>
      </c>
      <c r="D481" t="s">
        <v>46</v>
      </c>
      <c r="E481">
        <v>41205482</v>
      </c>
    </row>
    <row r="482" spans="1:5">
      <c r="A482" t="s">
        <v>25</v>
      </c>
      <c r="B482" t="s">
        <v>3</v>
      </c>
      <c r="C482" t="s">
        <v>6</v>
      </c>
      <c r="D482" t="s">
        <v>46</v>
      </c>
      <c r="E482">
        <v>180096</v>
      </c>
    </row>
    <row r="483" spans="1:5">
      <c r="A483" t="s">
        <v>25</v>
      </c>
      <c r="B483" t="s">
        <v>3</v>
      </c>
      <c r="C483" t="s">
        <v>6</v>
      </c>
      <c r="D483" t="s">
        <v>45</v>
      </c>
      <c r="E483">
        <v>9780100</v>
      </c>
    </row>
    <row r="484" spans="1:5">
      <c r="A484" t="s">
        <v>25</v>
      </c>
      <c r="B484" t="s">
        <v>3</v>
      </c>
      <c r="C484" t="s">
        <v>6</v>
      </c>
      <c r="D484" t="s">
        <v>45</v>
      </c>
      <c r="E484">
        <v>400000</v>
      </c>
    </row>
    <row r="485" spans="1:5">
      <c r="A485" t="s">
        <v>25</v>
      </c>
      <c r="B485" t="s">
        <v>3</v>
      </c>
      <c r="C485" t="s">
        <v>6</v>
      </c>
      <c r="D485" t="s">
        <v>45</v>
      </c>
      <c r="E485">
        <v>1100000</v>
      </c>
    </row>
    <row r="486" spans="1:5">
      <c r="A486" t="s">
        <v>25</v>
      </c>
      <c r="B486" t="s">
        <v>3</v>
      </c>
      <c r="C486" t="s">
        <v>6</v>
      </c>
      <c r="D486" t="s">
        <v>45</v>
      </c>
      <c r="E486">
        <v>1200000</v>
      </c>
    </row>
    <row r="487" spans="1:5">
      <c r="A487" t="s">
        <v>25</v>
      </c>
      <c r="B487" t="s">
        <v>3</v>
      </c>
      <c r="C487" t="s">
        <v>6</v>
      </c>
      <c r="D487" t="s">
        <v>45</v>
      </c>
      <c r="E487">
        <v>318</v>
      </c>
    </row>
    <row r="488" spans="1:5">
      <c r="A488" t="s">
        <v>25</v>
      </c>
      <c r="B488" t="s">
        <v>3</v>
      </c>
      <c r="C488" t="s">
        <v>6</v>
      </c>
      <c r="D488" t="s">
        <v>45</v>
      </c>
      <c r="E488">
        <v>5000000</v>
      </c>
    </row>
    <row r="489" spans="1:5">
      <c r="A489" t="s">
        <v>25</v>
      </c>
      <c r="B489" t="s">
        <v>3</v>
      </c>
      <c r="C489" t="s">
        <v>6</v>
      </c>
      <c r="D489" t="s">
        <v>45</v>
      </c>
      <c r="E489">
        <v>70000</v>
      </c>
    </row>
    <row r="490" spans="1:5">
      <c r="A490" t="s">
        <v>25</v>
      </c>
      <c r="B490" t="s">
        <v>3</v>
      </c>
      <c r="C490" t="s">
        <v>6</v>
      </c>
      <c r="D490" t="s">
        <v>45</v>
      </c>
      <c r="E490">
        <v>5000</v>
      </c>
    </row>
    <row r="491" spans="1:5">
      <c r="A491" t="s">
        <v>25</v>
      </c>
      <c r="B491" t="s">
        <v>3</v>
      </c>
      <c r="C491" t="s">
        <v>6</v>
      </c>
      <c r="D491" t="s">
        <v>45</v>
      </c>
      <c r="E491">
        <v>4000000</v>
      </c>
    </row>
    <row r="492" spans="1:5">
      <c r="A492" t="s">
        <v>25</v>
      </c>
      <c r="B492" t="s">
        <v>3</v>
      </c>
      <c r="C492" t="s">
        <v>6</v>
      </c>
      <c r="D492" t="s">
        <v>45</v>
      </c>
      <c r="E492">
        <v>900000</v>
      </c>
    </row>
    <row r="493" spans="1:5">
      <c r="A493" t="s">
        <v>25</v>
      </c>
      <c r="B493" t="s">
        <v>3</v>
      </c>
      <c r="C493" t="s">
        <v>6</v>
      </c>
      <c r="D493" t="s">
        <v>45</v>
      </c>
      <c r="E493">
        <v>51000</v>
      </c>
    </row>
    <row r="494" spans="1:5">
      <c r="A494" t="s">
        <v>25</v>
      </c>
      <c r="B494" t="s">
        <v>3</v>
      </c>
      <c r="C494" t="s">
        <v>6</v>
      </c>
      <c r="D494" t="s">
        <v>45</v>
      </c>
      <c r="E494">
        <v>2934182.63</v>
      </c>
    </row>
    <row r="495" spans="1:5">
      <c r="A495" t="s">
        <v>25</v>
      </c>
      <c r="B495" t="s">
        <v>3</v>
      </c>
      <c r="C495" t="s">
        <v>6</v>
      </c>
      <c r="D495" t="s">
        <v>45</v>
      </c>
      <c r="E495">
        <v>6602511.15</v>
      </c>
    </row>
    <row r="496" spans="1:5">
      <c r="A496" t="s">
        <v>25</v>
      </c>
      <c r="B496" t="s">
        <v>3</v>
      </c>
      <c r="C496" t="s">
        <v>6</v>
      </c>
      <c r="D496" t="s">
        <v>45</v>
      </c>
      <c r="E496">
        <v>3806571</v>
      </c>
    </row>
    <row r="497" spans="1:5">
      <c r="A497" t="s">
        <v>25</v>
      </c>
      <c r="B497" t="s">
        <v>3</v>
      </c>
      <c r="C497" t="s">
        <v>6</v>
      </c>
      <c r="D497" t="s">
        <v>45</v>
      </c>
      <c r="E497">
        <v>550000</v>
      </c>
    </row>
    <row r="498" spans="1:5">
      <c r="A498" t="s">
        <v>25</v>
      </c>
      <c r="B498" t="s">
        <v>3</v>
      </c>
      <c r="C498" t="s">
        <v>6</v>
      </c>
      <c r="D498" t="s">
        <v>45</v>
      </c>
      <c r="E498">
        <v>1119028</v>
      </c>
    </row>
    <row r="499" spans="1:5">
      <c r="A499" t="s">
        <v>27</v>
      </c>
      <c r="B499" t="s">
        <v>3</v>
      </c>
      <c r="C499" t="s">
        <v>6</v>
      </c>
      <c r="D499" t="s">
        <v>45</v>
      </c>
      <c r="E499">
        <v>85714.32</v>
      </c>
    </row>
    <row r="500" spans="1:5">
      <c r="A500" t="s">
        <v>27</v>
      </c>
      <c r="B500" t="s">
        <v>3</v>
      </c>
      <c r="C500" t="s">
        <v>6</v>
      </c>
      <c r="D500" t="s">
        <v>45</v>
      </c>
      <c r="E500">
        <v>171428.5704</v>
      </c>
    </row>
    <row r="501" spans="1:5">
      <c r="A501" t="s">
        <v>27</v>
      </c>
      <c r="B501" t="s">
        <v>3</v>
      </c>
      <c r="C501" t="s">
        <v>6</v>
      </c>
      <c r="D501" t="s">
        <v>45</v>
      </c>
      <c r="E501">
        <v>171428.5704</v>
      </c>
    </row>
    <row r="502" spans="1:5">
      <c r="A502" t="s">
        <v>27</v>
      </c>
      <c r="B502" t="s">
        <v>3</v>
      </c>
      <c r="C502" t="s">
        <v>6</v>
      </c>
      <c r="D502" t="s">
        <v>45</v>
      </c>
      <c r="E502">
        <v>171428.5704</v>
      </c>
    </row>
    <row r="503" spans="1:5">
      <c r="A503" t="s">
        <v>27</v>
      </c>
      <c r="B503" t="s">
        <v>3</v>
      </c>
      <c r="C503" t="s">
        <v>6</v>
      </c>
      <c r="D503" t="s">
        <v>45</v>
      </c>
      <c r="E503">
        <v>183680</v>
      </c>
    </row>
    <row r="504" spans="1:5">
      <c r="A504" t="s">
        <v>27</v>
      </c>
      <c r="B504" t="s">
        <v>3</v>
      </c>
      <c r="C504" t="s">
        <v>6</v>
      </c>
      <c r="D504" t="s">
        <v>45</v>
      </c>
      <c r="E504">
        <v>127666.666666667</v>
      </c>
    </row>
    <row r="505" spans="1:5">
      <c r="A505" t="s">
        <v>24</v>
      </c>
      <c r="B505" t="s">
        <v>3</v>
      </c>
      <c r="C505" t="s">
        <v>6</v>
      </c>
      <c r="D505" t="s">
        <v>45</v>
      </c>
      <c r="E505">
        <v>1560000</v>
      </c>
    </row>
    <row r="506" spans="1:5">
      <c r="A506" t="s">
        <v>28</v>
      </c>
      <c r="B506" t="s">
        <v>3</v>
      </c>
      <c r="C506" t="s">
        <v>6</v>
      </c>
      <c r="D506" t="s">
        <v>45</v>
      </c>
      <c r="E506">
        <v>250000</v>
      </c>
    </row>
    <row r="507" spans="1:5">
      <c r="A507" t="s">
        <v>13</v>
      </c>
      <c r="B507" t="s">
        <v>3</v>
      </c>
      <c r="C507" t="s">
        <v>6</v>
      </c>
      <c r="D507" t="s">
        <v>45</v>
      </c>
      <c r="E507">
        <v>1427180</v>
      </c>
    </row>
    <row r="508" spans="1:5">
      <c r="A508" t="s">
        <v>13</v>
      </c>
      <c r="B508" t="s">
        <v>3</v>
      </c>
      <c r="C508" t="s">
        <v>6</v>
      </c>
      <c r="D508" t="s">
        <v>45</v>
      </c>
      <c r="E508">
        <v>414064</v>
      </c>
    </row>
    <row r="509" spans="1:5">
      <c r="A509" t="s">
        <v>13</v>
      </c>
      <c r="B509" t="s">
        <v>3</v>
      </c>
      <c r="C509" t="s">
        <v>6</v>
      </c>
      <c r="D509" t="s">
        <v>45</v>
      </c>
      <c r="E509">
        <v>96190</v>
      </c>
    </row>
    <row r="510" spans="1:5">
      <c r="A510" t="s">
        <v>29</v>
      </c>
      <c r="B510" t="s">
        <v>3</v>
      </c>
      <c r="C510" t="s">
        <v>6</v>
      </c>
      <c r="D510" t="s">
        <v>45</v>
      </c>
      <c r="E510">
        <v>439980</v>
      </c>
    </row>
    <row r="511" spans="1:5">
      <c r="A511" t="s">
        <v>29</v>
      </c>
      <c r="B511" t="s">
        <v>3</v>
      </c>
      <c r="C511" t="s">
        <v>6</v>
      </c>
      <c r="D511" t="s">
        <v>45</v>
      </c>
      <c r="E511">
        <v>339840</v>
      </c>
    </row>
    <row r="512" spans="1:5">
      <c r="A512" t="s">
        <v>29</v>
      </c>
      <c r="B512" t="s">
        <v>3</v>
      </c>
      <c r="C512" t="s">
        <v>6</v>
      </c>
      <c r="D512" t="s">
        <v>45</v>
      </c>
      <c r="E512">
        <v>137664</v>
      </c>
    </row>
    <row r="513" spans="1:5">
      <c r="A513" t="s">
        <v>29</v>
      </c>
      <c r="B513" t="s">
        <v>3</v>
      </c>
      <c r="C513" t="s">
        <v>6</v>
      </c>
      <c r="D513" t="s">
        <v>45</v>
      </c>
      <c r="E513">
        <v>1644442.8</v>
      </c>
    </row>
    <row r="514" spans="1:5">
      <c r="A514" t="s">
        <v>20</v>
      </c>
      <c r="B514" t="s">
        <v>3</v>
      </c>
      <c r="C514" t="s">
        <v>6</v>
      </c>
      <c r="D514" t="s">
        <v>45</v>
      </c>
      <c r="E514">
        <v>576000</v>
      </c>
    </row>
    <row r="515" spans="1:5">
      <c r="A515" t="s">
        <v>16</v>
      </c>
      <c r="B515" t="s">
        <v>3</v>
      </c>
      <c r="C515" t="s">
        <v>6</v>
      </c>
      <c r="D515" t="s">
        <v>45</v>
      </c>
      <c r="E515">
        <v>118500</v>
      </c>
    </row>
    <row r="516" spans="1:5">
      <c r="A516" t="s">
        <v>16</v>
      </c>
      <c r="B516" t="s">
        <v>3</v>
      </c>
      <c r="C516" t="s">
        <v>6</v>
      </c>
      <c r="D516" t="s">
        <v>45</v>
      </c>
      <c r="E516">
        <v>100000</v>
      </c>
    </row>
    <row r="517" spans="1:5">
      <c r="A517" t="s">
        <v>16</v>
      </c>
      <c r="B517" t="s">
        <v>3</v>
      </c>
      <c r="C517" t="s">
        <v>6</v>
      </c>
      <c r="D517" t="s">
        <v>45</v>
      </c>
      <c r="E517">
        <v>100000</v>
      </c>
    </row>
    <row r="518" spans="1:5">
      <c r="A518" t="s">
        <v>32</v>
      </c>
      <c r="B518" t="s">
        <v>3</v>
      </c>
      <c r="C518" t="s">
        <v>6</v>
      </c>
      <c r="D518" t="s">
        <v>45</v>
      </c>
      <c r="E518">
        <v>3000000</v>
      </c>
    </row>
    <row r="519" spans="1:5">
      <c r="A519" t="s">
        <v>32</v>
      </c>
      <c r="B519" t="s">
        <v>3</v>
      </c>
      <c r="C519" t="s">
        <v>6</v>
      </c>
      <c r="D519" t="s">
        <v>45</v>
      </c>
      <c r="E519">
        <v>2340000</v>
      </c>
    </row>
    <row r="520" spans="1:5">
      <c r="A520" t="s">
        <v>32</v>
      </c>
      <c r="B520" t="s">
        <v>3</v>
      </c>
      <c r="C520" t="s">
        <v>6</v>
      </c>
      <c r="D520" t="s">
        <v>45</v>
      </c>
      <c r="E520">
        <v>18960000</v>
      </c>
    </row>
    <row r="521" spans="1:5">
      <c r="A521" t="s">
        <v>32</v>
      </c>
      <c r="B521" t="s">
        <v>3</v>
      </c>
      <c r="C521" t="s">
        <v>6</v>
      </c>
      <c r="D521" t="s">
        <v>45</v>
      </c>
      <c r="E521">
        <v>66430944.36</v>
      </c>
    </row>
    <row r="522" spans="1:5">
      <c r="A522" t="s">
        <v>32</v>
      </c>
      <c r="B522" t="s">
        <v>3</v>
      </c>
      <c r="C522" t="s">
        <v>6</v>
      </c>
      <c r="D522" t="s">
        <v>45</v>
      </c>
      <c r="E522">
        <v>1950000</v>
      </c>
    </row>
    <row r="523" spans="1:5">
      <c r="A523" t="s">
        <v>32</v>
      </c>
      <c r="B523" t="s">
        <v>3</v>
      </c>
      <c r="C523" t="s">
        <v>6</v>
      </c>
      <c r="D523" t="s">
        <v>45</v>
      </c>
      <c r="E523">
        <v>1805904</v>
      </c>
    </row>
    <row r="524" spans="1:5">
      <c r="A524" t="s">
        <v>32</v>
      </c>
      <c r="B524" t="s">
        <v>3</v>
      </c>
      <c r="C524" t="s">
        <v>6</v>
      </c>
      <c r="D524" t="s">
        <v>45</v>
      </c>
      <c r="E524">
        <v>11163484.99</v>
      </c>
    </row>
    <row r="525" spans="1:5">
      <c r="A525" t="s">
        <v>32</v>
      </c>
      <c r="B525" t="s">
        <v>3</v>
      </c>
      <c r="C525" t="s">
        <v>6</v>
      </c>
      <c r="D525" t="s">
        <v>46</v>
      </c>
      <c r="E525">
        <v>180000</v>
      </c>
    </row>
    <row r="526" spans="1:5">
      <c r="A526" t="s">
        <v>32</v>
      </c>
      <c r="B526" t="s">
        <v>3</v>
      </c>
      <c r="C526" t="s">
        <v>6</v>
      </c>
      <c r="D526" t="s">
        <v>46</v>
      </c>
      <c r="E526">
        <v>919800</v>
      </c>
    </row>
    <row r="527" spans="1:5">
      <c r="A527" t="s">
        <v>32</v>
      </c>
      <c r="B527" t="s">
        <v>3</v>
      </c>
      <c r="C527" t="s">
        <v>6</v>
      </c>
      <c r="D527" t="s">
        <v>46</v>
      </c>
      <c r="E527">
        <v>318960</v>
      </c>
    </row>
    <row r="528" spans="1:5">
      <c r="A528" t="s">
        <v>32</v>
      </c>
      <c r="B528" t="s">
        <v>3</v>
      </c>
      <c r="C528" t="s">
        <v>6</v>
      </c>
      <c r="D528" t="s">
        <v>46</v>
      </c>
      <c r="E528">
        <v>838800</v>
      </c>
    </row>
    <row r="529" spans="1:5">
      <c r="A529" t="s">
        <v>29</v>
      </c>
      <c r="B529" t="s">
        <v>3</v>
      </c>
      <c r="C529" t="s">
        <v>6</v>
      </c>
      <c r="D529" t="s">
        <v>46</v>
      </c>
      <c r="E529">
        <v>375420</v>
      </c>
    </row>
    <row r="530" spans="1:5">
      <c r="A530" t="s">
        <v>29</v>
      </c>
      <c r="B530" t="s">
        <v>3</v>
      </c>
      <c r="C530" t="s">
        <v>6</v>
      </c>
      <c r="D530" t="s">
        <v>46</v>
      </c>
      <c r="E530">
        <v>240000</v>
      </c>
    </row>
    <row r="531" spans="1:5">
      <c r="A531" t="s">
        <v>29</v>
      </c>
      <c r="B531" t="s">
        <v>3</v>
      </c>
      <c r="C531" t="s">
        <v>6</v>
      </c>
      <c r="D531" t="s">
        <v>46</v>
      </c>
      <c r="E531">
        <v>516000</v>
      </c>
    </row>
    <row r="532" spans="1:5">
      <c r="A532" t="s">
        <v>29</v>
      </c>
      <c r="B532" t="s">
        <v>3</v>
      </c>
      <c r="C532" t="s">
        <v>6</v>
      </c>
      <c r="D532" t="s">
        <v>46</v>
      </c>
      <c r="E532">
        <v>1365699.456</v>
      </c>
    </row>
    <row r="533" spans="1:5">
      <c r="A533" t="s">
        <v>29</v>
      </c>
      <c r="B533" t="s">
        <v>3</v>
      </c>
      <c r="C533" t="s">
        <v>6</v>
      </c>
      <c r="D533" t="s">
        <v>46</v>
      </c>
      <c r="E533">
        <v>494628</v>
      </c>
    </row>
    <row r="534" spans="1:5">
      <c r="A534" t="s">
        <v>29</v>
      </c>
      <c r="B534" t="s">
        <v>4</v>
      </c>
      <c r="C534" t="s">
        <v>10</v>
      </c>
      <c r="D534" t="s">
        <v>46</v>
      </c>
      <c r="E534">
        <v>0</v>
      </c>
    </row>
    <row r="535" spans="1:5">
      <c r="A535" t="s">
        <v>14</v>
      </c>
      <c r="B535" t="s">
        <v>3</v>
      </c>
      <c r="C535" t="s">
        <v>6</v>
      </c>
      <c r="D535" t="s">
        <v>45</v>
      </c>
      <c r="E535">
        <v>45000</v>
      </c>
    </row>
    <row r="536" spans="1:5">
      <c r="A536" t="s">
        <v>14</v>
      </c>
      <c r="B536" t="s">
        <v>3</v>
      </c>
      <c r="C536" t="s">
        <v>6</v>
      </c>
      <c r="D536" t="s">
        <v>45</v>
      </c>
      <c r="E536">
        <v>96000</v>
      </c>
    </row>
    <row r="537" spans="1:5">
      <c r="A537" t="s">
        <v>22</v>
      </c>
      <c r="B537" t="s">
        <v>3</v>
      </c>
      <c r="C537" t="s">
        <v>6</v>
      </c>
      <c r="D537" t="s">
        <v>45</v>
      </c>
      <c r="E537">
        <v>360000</v>
      </c>
    </row>
    <row r="538" spans="1:5">
      <c r="A538" t="s">
        <v>22</v>
      </c>
      <c r="B538" t="s">
        <v>3</v>
      </c>
      <c r="C538" t="s">
        <v>6</v>
      </c>
      <c r="D538" t="s">
        <v>45</v>
      </c>
      <c r="E538">
        <v>437638.83</v>
      </c>
    </row>
    <row r="539" spans="1:5">
      <c r="A539" t="s">
        <v>24</v>
      </c>
      <c r="B539" t="s">
        <v>3</v>
      </c>
      <c r="C539" t="s">
        <v>6</v>
      </c>
      <c r="D539" t="s">
        <v>45</v>
      </c>
      <c r="E539">
        <v>1080000</v>
      </c>
    </row>
    <row r="540" spans="1:5">
      <c r="A540" t="s">
        <v>14</v>
      </c>
      <c r="B540" t="s">
        <v>3</v>
      </c>
      <c r="C540" t="s">
        <v>6</v>
      </c>
      <c r="D540" t="s">
        <v>45</v>
      </c>
      <c r="E540">
        <v>70000</v>
      </c>
    </row>
    <row r="541" spans="1:5">
      <c r="A541" t="s">
        <v>14</v>
      </c>
      <c r="B541" t="s">
        <v>3</v>
      </c>
      <c r="C541" t="s">
        <v>6</v>
      </c>
      <c r="D541" t="s">
        <v>45</v>
      </c>
      <c r="E541">
        <v>80000</v>
      </c>
    </row>
    <row r="542" spans="1:5">
      <c r="A542" t="s">
        <v>14</v>
      </c>
      <c r="B542" t="s">
        <v>3</v>
      </c>
      <c r="C542" t="s">
        <v>6</v>
      </c>
      <c r="D542" t="s">
        <v>45</v>
      </c>
      <c r="E542">
        <v>70000</v>
      </c>
    </row>
    <row r="543" spans="1:5">
      <c r="A543" t="s">
        <v>14</v>
      </c>
      <c r="B543" t="s">
        <v>3</v>
      </c>
      <c r="C543" t="s">
        <v>6</v>
      </c>
      <c r="D543" t="s">
        <v>45</v>
      </c>
      <c r="E543">
        <v>70000</v>
      </c>
    </row>
    <row r="544" spans="1:5">
      <c r="A544" t="s">
        <v>25</v>
      </c>
      <c r="B544" t="s">
        <v>3</v>
      </c>
      <c r="C544" t="s">
        <v>9</v>
      </c>
      <c r="D544" t="s">
        <v>46</v>
      </c>
      <c r="E544">
        <v>0</v>
      </c>
    </row>
    <row r="545" spans="1:5">
      <c r="A545" t="s">
        <v>32</v>
      </c>
      <c r="B545" t="s">
        <v>4</v>
      </c>
      <c r="C545" t="s">
        <v>7</v>
      </c>
      <c r="D545" t="s">
        <v>46</v>
      </c>
      <c r="E545">
        <v>0</v>
      </c>
    </row>
    <row r="546" spans="1:5">
      <c r="A546" t="s">
        <v>19</v>
      </c>
      <c r="B546" t="s">
        <v>3</v>
      </c>
      <c r="C546" t="s">
        <v>6</v>
      </c>
      <c r="D546" t="s">
        <v>45</v>
      </c>
      <c r="E546">
        <v>318240</v>
      </c>
    </row>
    <row r="547" spans="1:5">
      <c r="A547" t="s">
        <v>33</v>
      </c>
      <c r="B547" t="s">
        <v>4</v>
      </c>
      <c r="C547" t="s">
        <v>10</v>
      </c>
      <c r="D547" t="s">
        <v>46</v>
      </c>
      <c r="E547">
        <v>0</v>
      </c>
    </row>
    <row r="548" spans="1:5">
      <c r="A548" t="s">
        <v>29</v>
      </c>
      <c r="B548" t="s">
        <v>4</v>
      </c>
      <c r="C548" t="s">
        <v>10</v>
      </c>
      <c r="D548" t="s">
        <v>46</v>
      </c>
      <c r="E548">
        <v>0</v>
      </c>
    </row>
    <row r="549" spans="1:5">
      <c r="A549" t="s">
        <v>29</v>
      </c>
      <c r="B549" t="s">
        <v>3</v>
      </c>
      <c r="C549" t="s">
        <v>7</v>
      </c>
      <c r="D549" t="s">
        <v>46</v>
      </c>
      <c r="E549">
        <v>0</v>
      </c>
    </row>
    <row r="550" spans="1:5">
      <c r="A550" t="s">
        <v>13</v>
      </c>
      <c r="B550" t="s">
        <v>3</v>
      </c>
      <c r="C550" t="s">
        <v>6</v>
      </c>
      <c r="D550" t="s">
        <v>45</v>
      </c>
      <c r="E550">
        <v>150000</v>
      </c>
    </row>
    <row r="551" spans="1:5">
      <c r="A551" t="s">
        <v>31</v>
      </c>
      <c r="B551" t="s">
        <v>3</v>
      </c>
      <c r="C551" t="s">
        <v>6</v>
      </c>
      <c r="D551" t="s">
        <v>45</v>
      </c>
      <c r="E551">
        <v>64000</v>
      </c>
    </row>
    <row r="552" spans="1:5">
      <c r="A552" t="s">
        <v>18</v>
      </c>
      <c r="B552" t="s">
        <v>3</v>
      </c>
      <c r="C552" t="s">
        <v>6</v>
      </c>
      <c r="D552" t="s">
        <v>45</v>
      </c>
      <c r="E552">
        <v>200000</v>
      </c>
    </row>
    <row r="553" spans="1:5">
      <c r="A553" t="s">
        <v>29</v>
      </c>
      <c r="B553" t="s">
        <v>4</v>
      </c>
      <c r="C553" t="s">
        <v>6</v>
      </c>
      <c r="D553" t="s">
        <v>48</v>
      </c>
      <c r="E553">
        <v>83649.19</v>
      </c>
    </row>
    <row r="554" spans="1:5">
      <c r="A554" t="s">
        <v>29</v>
      </c>
      <c r="B554" t="s">
        <v>4</v>
      </c>
      <c r="C554" t="s">
        <v>7</v>
      </c>
      <c r="D554" t="s">
        <v>46</v>
      </c>
      <c r="E554">
        <v>0</v>
      </c>
    </row>
    <row r="555" spans="1:5">
      <c r="A555" t="s">
        <v>29</v>
      </c>
      <c r="B555" t="s">
        <v>4</v>
      </c>
      <c r="C555" t="s">
        <v>10</v>
      </c>
      <c r="D555" t="s">
        <v>46</v>
      </c>
      <c r="E555">
        <v>0</v>
      </c>
    </row>
    <row r="556" spans="1:5">
      <c r="A556" t="s">
        <v>32</v>
      </c>
      <c r="B556" t="s">
        <v>3</v>
      </c>
      <c r="C556" t="s">
        <v>9</v>
      </c>
      <c r="D556" t="s">
        <v>46</v>
      </c>
      <c r="E556">
        <v>0</v>
      </c>
    </row>
    <row r="557" spans="1:5">
      <c r="A557" t="s">
        <v>32</v>
      </c>
      <c r="B557" t="s">
        <v>4</v>
      </c>
      <c r="C557" t="s">
        <v>9</v>
      </c>
      <c r="D557" t="s">
        <v>46</v>
      </c>
      <c r="E557">
        <v>0</v>
      </c>
    </row>
    <row r="558" spans="1:5">
      <c r="A558" t="s">
        <v>18</v>
      </c>
      <c r="B558" t="s">
        <v>3</v>
      </c>
      <c r="C558" t="s">
        <v>6</v>
      </c>
      <c r="D558" t="s">
        <v>45</v>
      </c>
      <c r="E558">
        <v>50071.4</v>
      </c>
    </row>
    <row r="559" spans="1:5">
      <c r="A559" t="s">
        <v>25</v>
      </c>
      <c r="B559" t="s">
        <v>3</v>
      </c>
      <c r="C559" t="s">
        <v>7</v>
      </c>
      <c r="D559" t="s">
        <v>46</v>
      </c>
      <c r="E559">
        <v>0</v>
      </c>
    </row>
    <row r="560" spans="1:5">
      <c r="A560" t="s">
        <v>16</v>
      </c>
      <c r="B560" t="s">
        <v>3</v>
      </c>
      <c r="C560" t="s">
        <v>9</v>
      </c>
      <c r="D560" t="s">
        <v>46</v>
      </c>
      <c r="E560">
        <v>0</v>
      </c>
    </row>
    <row r="561" spans="1:5">
      <c r="A561" t="s">
        <v>24</v>
      </c>
      <c r="B561" t="s">
        <v>3</v>
      </c>
      <c r="C561" t="s">
        <v>9</v>
      </c>
      <c r="D561" t="s">
        <v>46</v>
      </c>
      <c r="E561">
        <v>0</v>
      </c>
    </row>
    <row r="562" spans="1:5">
      <c r="A562" t="s">
        <v>24</v>
      </c>
      <c r="B562" t="s">
        <v>4</v>
      </c>
      <c r="C562" t="s">
        <v>6</v>
      </c>
      <c r="D562" t="s">
        <v>49</v>
      </c>
      <c r="E562">
        <v>198971.91</v>
      </c>
    </row>
    <row r="563" spans="1:5">
      <c r="A563" t="s">
        <v>13</v>
      </c>
      <c r="B563" t="s">
        <v>3</v>
      </c>
      <c r="C563" t="s">
        <v>6</v>
      </c>
      <c r="D563" t="s">
        <v>45</v>
      </c>
      <c r="E563">
        <v>12857.14</v>
      </c>
    </row>
    <row r="564" spans="1:5">
      <c r="A564" t="s">
        <v>33</v>
      </c>
      <c r="B564" t="s">
        <v>3</v>
      </c>
      <c r="C564" t="s">
        <v>9</v>
      </c>
      <c r="D564" t="s">
        <v>46</v>
      </c>
      <c r="E564">
        <v>0</v>
      </c>
    </row>
    <row r="565" spans="1:5">
      <c r="A565" t="s">
        <v>25</v>
      </c>
      <c r="B565" t="s">
        <v>3</v>
      </c>
      <c r="C565" t="s">
        <v>6</v>
      </c>
      <c r="D565" t="s">
        <v>45</v>
      </c>
      <c r="E565">
        <v>500000</v>
      </c>
    </row>
    <row r="566" spans="1:5">
      <c r="A566" t="s">
        <v>24</v>
      </c>
      <c r="B566" t="s">
        <v>3</v>
      </c>
      <c r="C566" t="s">
        <v>6</v>
      </c>
      <c r="D566" t="s">
        <v>45</v>
      </c>
      <c r="E566">
        <v>60000</v>
      </c>
    </row>
    <row r="567" spans="1:5">
      <c r="A567" t="s">
        <v>21</v>
      </c>
      <c r="B567" t="s">
        <v>3</v>
      </c>
      <c r="C567" t="s">
        <v>6</v>
      </c>
      <c r="D567" t="s">
        <v>45</v>
      </c>
      <c r="E567">
        <v>88000</v>
      </c>
    </row>
    <row r="568" spans="1:5">
      <c r="A568" t="s">
        <v>13</v>
      </c>
      <c r="B568" t="s">
        <v>3</v>
      </c>
      <c r="C568" t="s">
        <v>6</v>
      </c>
      <c r="D568" t="s">
        <v>45</v>
      </c>
      <c r="E568">
        <v>803722.5</v>
      </c>
    </row>
    <row r="569" spans="1:5">
      <c r="A569" t="s">
        <v>25</v>
      </c>
      <c r="B569" t="s">
        <v>4</v>
      </c>
      <c r="C569" t="s">
        <v>9</v>
      </c>
      <c r="D569" t="s">
        <v>46</v>
      </c>
      <c r="E569">
        <v>0</v>
      </c>
    </row>
    <row r="570" spans="1:5">
      <c r="A570" t="s">
        <v>25</v>
      </c>
      <c r="B570" t="s">
        <v>4</v>
      </c>
      <c r="C570" t="s">
        <v>7</v>
      </c>
      <c r="D570" t="s">
        <v>46</v>
      </c>
      <c r="E570">
        <v>0</v>
      </c>
    </row>
    <row r="571" spans="1:5">
      <c r="A571" t="s">
        <v>25</v>
      </c>
      <c r="B571" t="s">
        <v>3</v>
      </c>
      <c r="C571" t="s">
        <v>7</v>
      </c>
      <c r="D571" t="s">
        <v>46</v>
      </c>
      <c r="E571">
        <v>0</v>
      </c>
    </row>
    <row r="572" spans="1:5">
      <c r="A572" t="s">
        <v>22</v>
      </c>
      <c r="B572" t="s">
        <v>3</v>
      </c>
      <c r="C572" t="s">
        <v>6</v>
      </c>
      <c r="D572" t="s">
        <v>45</v>
      </c>
      <c r="E572">
        <v>960000</v>
      </c>
    </row>
    <row r="573" spans="1:5">
      <c r="A573" t="s">
        <v>29</v>
      </c>
      <c r="B573" t="s">
        <v>4</v>
      </c>
      <c r="C573" t="s">
        <v>7</v>
      </c>
      <c r="D573" t="s">
        <v>46</v>
      </c>
      <c r="E573">
        <v>0</v>
      </c>
    </row>
    <row r="574" spans="1:5">
      <c r="A574" t="s">
        <v>29</v>
      </c>
      <c r="B574" t="s">
        <v>3</v>
      </c>
      <c r="C574" t="s">
        <v>7</v>
      </c>
      <c r="D574" t="s">
        <v>46</v>
      </c>
      <c r="E574">
        <v>0</v>
      </c>
    </row>
    <row r="575" spans="1:5">
      <c r="A575" t="s">
        <v>29</v>
      </c>
      <c r="B575" t="s">
        <v>3</v>
      </c>
      <c r="C575" t="s">
        <v>7</v>
      </c>
      <c r="D575" t="s">
        <v>46</v>
      </c>
      <c r="E575">
        <v>0</v>
      </c>
    </row>
    <row r="576" spans="1:5">
      <c r="A576" t="s">
        <v>33</v>
      </c>
      <c r="B576" t="s">
        <v>3</v>
      </c>
      <c r="C576" t="s">
        <v>7</v>
      </c>
      <c r="D576" t="s">
        <v>46</v>
      </c>
      <c r="E576">
        <v>0</v>
      </c>
    </row>
    <row r="577" spans="1:5">
      <c r="A577" t="s">
        <v>33</v>
      </c>
      <c r="B577" t="s">
        <v>3</v>
      </c>
      <c r="C577" t="s">
        <v>7</v>
      </c>
      <c r="D577" t="s">
        <v>46</v>
      </c>
      <c r="E577">
        <v>0</v>
      </c>
    </row>
    <row r="578" spans="1:5">
      <c r="A578" t="s">
        <v>18</v>
      </c>
      <c r="B578" t="s">
        <v>3</v>
      </c>
      <c r="C578" t="s">
        <v>6</v>
      </c>
      <c r="D578" t="s">
        <v>45</v>
      </c>
      <c r="E578">
        <v>400000</v>
      </c>
    </row>
    <row r="579" spans="1:5">
      <c r="A579" t="s">
        <v>33</v>
      </c>
      <c r="B579" t="s">
        <v>3</v>
      </c>
      <c r="C579" t="s">
        <v>9</v>
      </c>
      <c r="D579" t="s">
        <v>46</v>
      </c>
      <c r="E579">
        <v>0</v>
      </c>
    </row>
    <row r="580" spans="1:5">
      <c r="A580" t="s">
        <v>33</v>
      </c>
      <c r="B580" t="s">
        <v>3</v>
      </c>
      <c r="C580" t="s">
        <v>9</v>
      </c>
      <c r="D580" t="s">
        <v>46</v>
      </c>
      <c r="E580">
        <v>0</v>
      </c>
    </row>
    <row r="581" spans="1:5">
      <c r="A581" t="s">
        <v>33</v>
      </c>
      <c r="B581" t="s">
        <v>3</v>
      </c>
      <c r="C581" t="s">
        <v>9</v>
      </c>
      <c r="D581" t="s">
        <v>46</v>
      </c>
      <c r="E581">
        <v>0</v>
      </c>
    </row>
    <row r="582" spans="1:5">
      <c r="A582" t="s">
        <v>29</v>
      </c>
      <c r="B582" t="s">
        <v>4</v>
      </c>
      <c r="C582" t="s">
        <v>7</v>
      </c>
      <c r="D582" t="s">
        <v>46</v>
      </c>
      <c r="E582">
        <v>0</v>
      </c>
    </row>
    <row r="583" spans="1:5">
      <c r="A583" t="s">
        <v>29</v>
      </c>
      <c r="B583" t="s">
        <v>4</v>
      </c>
      <c r="C583" t="s">
        <v>7</v>
      </c>
      <c r="D583" t="s">
        <v>46</v>
      </c>
      <c r="E583">
        <v>0</v>
      </c>
    </row>
    <row r="584" spans="1:5">
      <c r="A584" t="s">
        <v>29</v>
      </c>
      <c r="B584" t="s">
        <v>4</v>
      </c>
      <c r="C584" t="s">
        <v>7</v>
      </c>
      <c r="D584" t="s">
        <v>46</v>
      </c>
      <c r="E584">
        <v>0</v>
      </c>
    </row>
    <row r="585" spans="1:5">
      <c r="A585" t="s">
        <v>28</v>
      </c>
      <c r="B585" t="s">
        <v>3</v>
      </c>
      <c r="C585" t="s">
        <v>9</v>
      </c>
      <c r="D585" t="s">
        <v>46</v>
      </c>
      <c r="E585">
        <v>0</v>
      </c>
    </row>
    <row r="586" spans="1:5">
      <c r="A586" t="s">
        <v>28</v>
      </c>
      <c r="B586" t="s">
        <v>3</v>
      </c>
      <c r="C586" t="s">
        <v>9</v>
      </c>
      <c r="D586" t="s">
        <v>46</v>
      </c>
      <c r="E586">
        <v>0</v>
      </c>
    </row>
    <row r="587" spans="1:5">
      <c r="A587" t="s">
        <v>29</v>
      </c>
      <c r="B587" t="s">
        <v>4</v>
      </c>
      <c r="C587" t="s">
        <v>7</v>
      </c>
      <c r="D587" t="s">
        <v>46</v>
      </c>
      <c r="E587">
        <v>0</v>
      </c>
    </row>
    <row r="588" spans="1:5">
      <c r="A588" t="s">
        <v>32</v>
      </c>
      <c r="B588" t="s">
        <v>4</v>
      </c>
      <c r="C588" t="s">
        <v>8</v>
      </c>
      <c r="D588" t="s">
        <v>48</v>
      </c>
      <c r="E588">
        <v>89976</v>
      </c>
    </row>
    <row r="589" spans="1:5">
      <c r="A589" t="s">
        <v>32</v>
      </c>
      <c r="B589" t="s">
        <v>4</v>
      </c>
      <c r="C589" t="s">
        <v>9</v>
      </c>
      <c r="D589" t="s">
        <v>46</v>
      </c>
      <c r="E589">
        <v>0</v>
      </c>
    </row>
    <row r="590" spans="1:5">
      <c r="A590" t="s">
        <v>29</v>
      </c>
      <c r="B590" t="s">
        <v>4</v>
      </c>
      <c r="C590" t="s">
        <v>9</v>
      </c>
      <c r="D590" t="s">
        <v>46</v>
      </c>
      <c r="E590">
        <v>0</v>
      </c>
    </row>
    <row r="591" spans="1:5">
      <c r="A591" t="s">
        <v>33</v>
      </c>
      <c r="B591" t="s">
        <v>3</v>
      </c>
      <c r="C591" t="s">
        <v>8</v>
      </c>
      <c r="D591" t="s">
        <v>48</v>
      </c>
      <c r="E591">
        <v>57600</v>
      </c>
    </row>
    <row r="592" spans="1:5">
      <c r="A592" t="s">
        <v>33</v>
      </c>
      <c r="B592" t="s">
        <v>3</v>
      </c>
      <c r="C592" t="s">
        <v>8</v>
      </c>
      <c r="D592" t="s">
        <v>48</v>
      </c>
      <c r="E592">
        <v>35976</v>
      </c>
    </row>
    <row r="593" spans="1:5">
      <c r="A593" t="s">
        <v>29</v>
      </c>
      <c r="B593" t="s">
        <v>4</v>
      </c>
      <c r="C593" t="s">
        <v>8</v>
      </c>
      <c r="D593" t="s">
        <v>48</v>
      </c>
      <c r="E593">
        <v>412077.77</v>
      </c>
    </row>
    <row r="594" spans="1:5">
      <c r="A594" t="s">
        <v>32</v>
      </c>
      <c r="B594" t="s">
        <v>3</v>
      </c>
      <c r="C594" t="s">
        <v>8</v>
      </c>
      <c r="D594" t="s">
        <v>48</v>
      </c>
      <c r="E594">
        <v>14000</v>
      </c>
    </row>
    <row r="595" spans="1:5">
      <c r="A595" t="s">
        <v>25</v>
      </c>
      <c r="B595" t="s">
        <v>4</v>
      </c>
      <c r="C595" t="s">
        <v>8</v>
      </c>
      <c r="D595" t="s">
        <v>48</v>
      </c>
      <c r="E595">
        <v>45000</v>
      </c>
    </row>
    <row r="596" spans="1:5">
      <c r="A596" t="s">
        <v>33</v>
      </c>
      <c r="B596" t="s">
        <v>3</v>
      </c>
      <c r="C596" t="s">
        <v>8</v>
      </c>
      <c r="D596" t="s">
        <v>48</v>
      </c>
      <c r="E596">
        <v>32040</v>
      </c>
    </row>
    <row r="597" spans="1:5">
      <c r="A597" t="s">
        <v>13</v>
      </c>
      <c r="B597" t="s">
        <v>3</v>
      </c>
      <c r="C597" t="s">
        <v>8</v>
      </c>
      <c r="D597" t="s">
        <v>45</v>
      </c>
      <c r="E597">
        <v>2776080</v>
      </c>
    </row>
    <row r="598" spans="1:5">
      <c r="A598" t="s">
        <v>32</v>
      </c>
      <c r="B598" t="s">
        <v>4</v>
      </c>
      <c r="C598" t="s">
        <v>9</v>
      </c>
      <c r="D598" t="s">
        <v>46</v>
      </c>
      <c r="E598">
        <v>0</v>
      </c>
    </row>
    <row r="599" spans="1:5">
      <c r="A599" t="s">
        <v>32</v>
      </c>
      <c r="B599" t="s">
        <v>4</v>
      </c>
      <c r="C599" t="s">
        <v>9</v>
      </c>
      <c r="D599" t="s">
        <v>46</v>
      </c>
      <c r="E59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Tableau de Bord</vt:lpstr>
      <vt:lpstr>Achats par Direction</vt:lpstr>
      <vt:lpstr>Données</vt:lpstr>
      <vt:lpstr>DATA_ACHATS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2026-06-26T20:55:00Z</dcterms:created>
  <dcterms:modified xsi:type="dcterms:W3CDTF">2026-06-27T11:13:01Z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970BC36C20E843A2AED0BF73CD5CE6BA_12</vt:lpwstr>
  </property>
  <property fmtid="{D5CDD505-2E9C-101B-9397-08002B2CF9AE}" pid="3" name="KSOProductBuildVer">
    <vt:lpwstr>1036-12.1.0.26880</vt:lpwstr>
  </property>
  <property fmtid="{D5CDD505-2E9C-101B-9397-08002B2CF9AE}" pid="4" name="CalculationRule">
    <vt:i4>0</vt:i4>
  </property>
</Properties>
</file>