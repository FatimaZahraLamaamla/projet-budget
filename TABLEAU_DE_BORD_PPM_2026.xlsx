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drawings/drawing1.xml" ContentType="application/vnd.openxmlformats-officedocument.drawing+xml"/>
  <Override PartName="/xl/worksheets/sheet3.xml" ContentType="application/vnd.openxmlformats-officedocument.spreadsheetml.worksheet+xml"/>
  <Override PartName="/xl/charts/chart1.xml" ContentType="application/vnd.openxmlformats-officedocument.drawingml.chart+xml"/>
  <Override PartName="/xl/charts/chart2.xml" ContentType="application/vnd.openxmlformats-officedocument.drawingml.chart+xml"/>
  <Override PartName="/xl/charts/chart3.xml" ContentType="application/vnd.openxmlformats-officedocument.drawingml.chart+xml"/>
  <Override PartName="/xl/charts/chart4.xml" ContentType="application/vnd.openxmlformats-officedocument.drawingml.char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onnées" sheetId="1" state="visible" r:id="rId1"/>
    <sheet name="Tableau de Bord" sheetId="2" state="visible" r:id="rId2"/>
    <sheet name="Détail Direction-Nature" sheetId="3" state="visible" r:id="rId3"/>
  </sheets>
  <definedNames/>
  <calcPr calcId="124519" fullCalcOnLoad="1"/>
</workbook>
</file>

<file path=xl/styles.xml><?xml version="1.0" encoding="utf-8"?>
<styleSheet xmlns="http://schemas.openxmlformats.org/spreadsheetml/2006/main">
  <numFmts count="1">
    <numFmt numFmtId="164" formatCode="0.0%"/>
  </numFmts>
  <fonts count="12">
    <font>
      <name val="Calibri"/>
      <family val="2"/>
      <color theme="1"/>
      <sz val="11"/>
      <scheme val="minor"/>
    </font>
    <font>
      <b val="1"/>
      <color rgb="00FFFFFF"/>
    </font>
    <font>
      <b val="1"/>
      <color rgb="00FFFFFF"/>
      <sz val="16"/>
    </font>
    <font>
      <b val="1"/>
      <color rgb="001F4E78"/>
      <sz val="10"/>
    </font>
    <font>
      <b val="1"/>
      <color rgb="001F4E78"/>
      <sz val="18"/>
    </font>
    <font>
      <b val="1"/>
      <color rgb="00FFFFFF"/>
      <sz val="12"/>
    </font>
    <font>
      <b val="1"/>
      <color rgb="001F4E78"/>
    </font>
    <font>
      <color rgb="001155CC"/>
      <u val="single"/>
    </font>
    <font>
      <b val="1"/>
    </font>
    <font>
      <b val="1"/>
      <color rgb="00FFFFFF"/>
      <sz val="13"/>
    </font>
    <font>
      <i val="1"/>
      <color rgb="001155CC"/>
      <sz val="9"/>
      <u val="single"/>
    </font>
    <font>
      <b val="1"/>
      <i val="1"/>
      <color rgb="001F4E78"/>
    </font>
  </fonts>
  <fills count="6">
    <fill>
      <patternFill/>
    </fill>
    <fill>
      <patternFill patternType="gray125"/>
    </fill>
    <fill>
      <patternFill patternType="solid">
        <fgColor rgb="001F4E78"/>
      </patternFill>
    </fill>
    <fill>
      <patternFill patternType="solid">
        <fgColor rgb="00DDEBF7"/>
      </patternFill>
    </fill>
    <fill>
      <patternFill patternType="solid">
        <fgColor rgb="002E75B6"/>
      </patternFill>
    </fill>
    <fill>
      <patternFill patternType="solid">
        <fgColor rgb="00D9E2F3"/>
      </patternFill>
    </fill>
  </fills>
  <borders count="2">
    <border>
      <left/>
      <right/>
      <top/>
      <bottom/>
      <diagonal/>
    </border>
    <border>
      <left style="thin">
        <color rgb="00B7C6D9"/>
      </left>
      <right style="thin">
        <color rgb="00B7C6D9"/>
      </right>
      <top style="thin">
        <color rgb="00B7C6D9"/>
      </top>
      <bottom style="thin">
        <color rgb="00B7C6D9"/>
      </bottom>
    </border>
  </borders>
  <cellStyleXfs count="1">
    <xf numFmtId="0" fontId="0" fillId="0" borderId="0"/>
  </cellStyleXfs>
  <cellXfs count="26">
    <xf numFmtId="0" fontId="0" fillId="0" borderId="0" pivotButton="0" quotePrefix="0" xfId="0"/>
    <xf numFmtId="0" fontId="1" fillId="2" borderId="0" applyAlignment="1" pivotButton="0" quotePrefix="0" xfId="0">
      <alignment horizontal="center" vertical="center" wrapText="1"/>
    </xf>
    <xf numFmtId="3" fontId="0" fillId="0" borderId="0" pivotButton="0" quotePrefix="0" xfId="0"/>
    <xf numFmtId="0" fontId="2" fillId="2" borderId="0" applyAlignment="1" pivotButton="0" quotePrefix="0" xfId="0">
      <alignment horizontal="center" vertical="center"/>
    </xf>
    <xf numFmtId="0" fontId="3" fillId="3" borderId="1" applyAlignment="1" pivotButton="0" quotePrefix="0" xfId="0">
      <alignment horizontal="center" vertical="center" wrapText="1"/>
    </xf>
    <xf numFmtId="0" fontId="0" fillId="3" borderId="1" pivotButton="0" quotePrefix="0" xfId="0"/>
    <xf numFmtId="1" fontId="4" fillId="3" borderId="1" applyAlignment="1" pivotButton="0" quotePrefix="0" xfId="0">
      <alignment horizontal="center" vertical="center"/>
    </xf>
    <xf numFmtId="3" fontId="4" fillId="3" borderId="1" applyAlignment="1" pivotButton="0" quotePrefix="0" xfId="0">
      <alignment horizontal="center" vertical="center"/>
    </xf>
    <xf numFmtId="164" fontId="4" fillId="3" borderId="1" applyAlignment="1" pivotButton="0" quotePrefix="0" xfId="0">
      <alignment horizontal="center" vertical="center"/>
    </xf>
    <xf numFmtId="0" fontId="5" fillId="4" borderId="0" applyAlignment="1" pivotButton="0" quotePrefix="0" xfId="0">
      <alignment horizontal="center" vertical="center"/>
    </xf>
    <xf numFmtId="0" fontId="6" fillId="5" borderId="1" applyAlignment="1" pivotButton="0" quotePrefix="0" xfId="0">
      <alignment horizontal="center"/>
    </xf>
    <xf numFmtId="0" fontId="0" fillId="0" borderId="1" pivotButton="0" quotePrefix="0" xfId="0"/>
    <xf numFmtId="0" fontId="0" fillId="0" borderId="1" applyAlignment="1" pivotButton="0" quotePrefix="0" xfId="0">
      <alignment horizontal="center"/>
    </xf>
    <xf numFmtId="3" fontId="0" fillId="0" borderId="1" applyAlignment="1" pivotButton="0" quotePrefix="0" xfId="0">
      <alignment horizontal="center"/>
    </xf>
    <xf numFmtId="0" fontId="6" fillId="5" borderId="1" applyAlignment="1" pivotButton="0" quotePrefix="0" xfId="0">
      <alignment horizontal="center" wrapText="1"/>
    </xf>
    <xf numFmtId="0" fontId="7" fillId="0" borderId="1" pivotButton="0" quotePrefix="0" xfId="0"/>
    <xf numFmtId="3" fontId="0" fillId="0" borderId="1" pivotButton="0" quotePrefix="0" xfId="0"/>
    <xf numFmtId="0" fontId="8" fillId="0" borderId="1" pivotButton="0" quotePrefix="0" xfId="0"/>
    <xf numFmtId="0" fontId="8" fillId="0" borderId="1" applyAlignment="1" pivotButton="0" quotePrefix="0" xfId="0">
      <alignment horizontal="center"/>
    </xf>
    <xf numFmtId="3" fontId="8" fillId="0" borderId="1" pivotButton="0" quotePrefix="0" xfId="0"/>
    <xf numFmtId="0" fontId="9" fillId="4" borderId="0" applyAlignment="1" pivotButton="0" quotePrefix="0" xfId="0">
      <alignment horizontal="left" vertical="center" indent="1"/>
    </xf>
    <xf numFmtId="0" fontId="10" fillId="0" borderId="0" pivotButton="0" quotePrefix="0" xfId="0"/>
    <xf numFmtId="0" fontId="11" fillId="0" borderId="0" pivotButton="0" quotePrefix="0" xfId="0"/>
    <xf numFmtId="0" fontId="0" fillId="0" borderId="1" applyAlignment="1" pivotButton="0" quotePrefix="0" xfId="0">
      <alignment vertical="top" wrapText="1"/>
    </xf>
    <xf numFmtId="0" fontId="0" fillId="0" borderId="1" applyAlignment="1" pivotButton="0" quotePrefix="0" xfId="0">
      <alignment horizontal="center" vertical="top" wrapText="1"/>
    </xf>
    <xf numFmtId="3" fontId="0" fillId="0" borderId="1" applyAlignment="1" pivotButton="0" quotePrefix="0" xfId="0">
      <alignment horizontal="center"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styles" Target="styles.xml" Id="rId4" /><Relationship Type="http://schemas.openxmlformats.org/officeDocument/2006/relationships/theme" Target="theme/theme1.xml" Id="rId5" /></Relationships>
</file>

<file path=xl/charts/chart1.xml><?xml version="1.0" encoding="utf-8"?>
<chartSpace xmlns:a="http://schemas.openxmlformats.org/drawingml/2006/main" xmlns="http://schemas.openxmlformats.org/drawingml/2006/chart">
  <style val="10"/>
  <chart>
    <title>
      <tx>
        <rich>
          <a:bodyPr/>
          <a:p>
            <a:pPr>
              <a:defRPr/>
            </a:pPr>
            <a:r>
              <a:t>Montant estimé par Direction (MAD)</a:t>
            </a:r>
          </a:p>
        </rich>
      </tx>
    </title>
    <plotArea>
      <barChart>
        <barDir val="col"/>
        <grouping val="clustered"/>
        <ser>
          <idx val="0"/>
          <order val="0"/>
          <tx>
            <strRef>
              <f>'Tableau de Bord'!C8</f>
            </strRef>
          </tx>
          <spPr>
            <a:ln>
              <a:prstDash val="solid"/>
            </a:ln>
          </spPr>
          <cat>
            <numRef>
              <f>'Tableau de Bord'!$A$9:$A$23</f>
            </numRef>
          </cat>
          <val>
            <numRef>
              <f>'Tableau de Bord'!$C$9:$C$23</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title>
          <tx>
            <rich>
              <a:bodyPr/>
              <a:p>
                <a:pPr>
                  <a:defRPr/>
                </a:pPr>
                <a:r>
                  <a:t>MAD</a:t>
                </a:r>
              </a:p>
            </rich>
          </tx>
        </title>
        <majorTickMark val="none"/>
        <minorTickMark val="none"/>
        <crossAx val="10"/>
      </valAx>
    </plotArea>
    <legend>
      <legendPos val="r"/>
    </legend>
    <plotVisOnly val="1"/>
    <dispBlanksAs val="gap"/>
  </chart>
</chartSpace>
</file>

<file path=xl/charts/chart2.xml><?xml version="1.0" encoding="utf-8"?>
<chartSpace xmlns:a="http://schemas.openxmlformats.org/drawingml/2006/main" xmlns="http://schemas.openxmlformats.org/drawingml/2006/chart">
  <chart>
    <title>
      <tx>
        <rich>
          <a:bodyPr/>
          <a:p>
            <a:pPr>
              <a:defRPr/>
            </a:pPr>
            <a:r>
              <a:t>Nb marchés par Nature de prestation</a:t>
            </a:r>
          </a:p>
        </rich>
      </tx>
    </title>
    <plotArea>
      <pieChart>
        <varyColors val="1"/>
        <ser>
          <idx val="0"/>
          <order val="0"/>
          <tx>
            <strRef>
              <f>'Tableau de Bord'!B26</f>
            </strRef>
          </tx>
          <spPr>
            <a:ln>
              <a:prstDash val="solid"/>
            </a:ln>
          </spPr>
          <cat>
            <numRef>
              <f>'Tableau de Bord'!$A$27:$A$29</f>
            </numRef>
          </cat>
          <val>
            <numRef>
              <f>'Tableau de Bord'!$B$27:$B$29</f>
            </numRef>
          </val>
        </ser>
        <firstSliceAng val="0"/>
      </pieChart>
    </plotArea>
    <legend>
      <legendPos val="r"/>
    </legend>
    <plotVisOnly val="1"/>
    <dispBlanksAs val="gap"/>
  </chart>
</chartSpace>
</file>

<file path=xl/charts/chart3.xml><?xml version="1.0" encoding="utf-8"?>
<chartSpace xmlns:a="http://schemas.openxmlformats.org/drawingml/2006/main" xmlns="http://schemas.openxmlformats.org/drawingml/2006/chart">
  <style val="12"/>
  <chart>
    <title>
      <tx>
        <rich>
          <a:bodyPr/>
          <a:p>
            <a:pPr>
              <a:defRPr/>
            </a:pPr>
            <a:r>
              <a:t>Nb marchés par Période d'exécution</a:t>
            </a:r>
          </a:p>
        </rich>
      </tx>
    </title>
    <plotArea>
      <barChart>
        <barDir val="col"/>
        <grouping val="clustered"/>
        <ser>
          <idx val="0"/>
          <order val="0"/>
          <tx>
            <strRef>
              <f>'Tableau de Bord'!B32</f>
            </strRef>
          </tx>
          <spPr>
            <a:ln>
              <a:prstDash val="solid"/>
            </a:ln>
          </spPr>
          <cat>
            <numRef>
              <f>'Tableau de Bord'!$A$33:$A$39</f>
            </numRef>
          </cat>
          <val>
            <numRef>
              <f>'Tableau de Bord'!$B$33:$B$39</f>
            </numRef>
          </val>
        </ser>
        <gapWidth val="150"/>
        <axId val="10"/>
        <axId val="100"/>
      </barChart>
      <catAx>
        <axId val="10"/>
        <scaling>
          <orientation val="minMax"/>
        </scaling>
        <axPos val="l"/>
        <majorTickMark val="none"/>
        <minorTickMark val="none"/>
        <crossAx val="100"/>
        <lblOffset val="100"/>
      </catAx>
      <valAx>
        <axId val="100"/>
        <scaling>
          <orientation val="minMax"/>
        </scaling>
        <axPos val="l"/>
        <majorGridlines/>
        <majorTickMark val="none"/>
        <minorTickMark val="none"/>
        <crossAx val="10"/>
      </valAx>
    </plotArea>
    <legend>
      <legendPos val="r"/>
    </legend>
    <plotVisOnly val="1"/>
    <dispBlanksAs val="gap"/>
  </chart>
</chartSpace>
</file>

<file path=xl/charts/chart4.xml><?xml version="1.0" encoding="utf-8"?>
<chartSpace xmlns:a="http://schemas.openxmlformats.org/drawingml/2006/main" xmlns="http://schemas.openxmlformats.org/drawingml/2006/chart">
  <chart>
    <title>
      <tx>
        <rich>
          <a:bodyPr/>
          <a:p>
            <a:pPr>
              <a:defRPr/>
            </a:pPr>
            <a:r>
              <a:t>Répartition PME (nb marchés)</a:t>
            </a:r>
          </a:p>
        </rich>
      </tx>
    </title>
    <plotArea>
      <pieChart>
        <varyColors val="1"/>
        <ser>
          <idx val="0"/>
          <order val="0"/>
          <tx>
            <strRef>
              <f>'Tableau de Bord'!B42</f>
            </strRef>
          </tx>
          <spPr>
            <a:ln>
              <a:prstDash val="solid"/>
            </a:ln>
          </spPr>
          <cat>
            <numRef>
              <f>'Tableau de Bord'!$A$43:$A$44</f>
            </numRef>
          </cat>
          <val>
            <numRef>
              <f>'Tableau de Bord'!$B$43:$B$44</f>
            </numRef>
          </val>
        </ser>
        <firstSliceAng val="0"/>
      </pieChart>
    </plotArea>
    <legend>
      <legendPos val="r"/>
    </legend>
    <plotVisOnly val="1"/>
    <dispBlanksAs val="gap"/>
  </chart>
</chartSpace>
</file>

<file path=xl/drawings/_rels/drawing1.xml.rels><Relationships xmlns="http://schemas.openxmlformats.org/package/2006/relationships"><Relationship Type="http://schemas.openxmlformats.org/officeDocument/2006/relationships/chart" Target="/xl/charts/chart1.xml" Id="rId1" /><Relationship Type="http://schemas.openxmlformats.org/officeDocument/2006/relationships/chart" Target="/xl/charts/chart2.xml" Id="rId2" /><Relationship Type="http://schemas.openxmlformats.org/officeDocument/2006/relationships/chart" Target="/xl/charts/chart3.xml" Id="rId3" /><Relationship Type="http://schemas.openxmlformats.org/officeDocument/2006/relationships/chart" Target="/xl/charts/chart4.xml" Id="rId4" /></Relationships>
</file>

<file path=xl/drawings/drawing1.xml><?xml version="1.0" encoding="utf-8"?>
<wsDr xmlns:a="http://schemas.openxmlformats.org/drawingml/2006/main" xmlns:c="http://schemas.openxmlformats.org/drawingml/2006/chart" xmlns:r="http://schemas.openxmlformats.org/officeDocument/2006/relationships" xmlns="http://schemas.openxmlformats.org/drawingml/2006/spreadsheetDrawing">
  <oneCellAnchor>
    <from>
      <col>4</col>
      <colOff>0</colOff>
      <row>6</row>
      <rowOff>0</rowOff>
    </from>
    <ext cx="8640000" cy="3960000"/>
    <graphicFrame>
      <nvGraphicFramePr>
        <cNvPr id="1" name="Chart 1"/>
        <cNvGraphicFramePr/>
      </nvGraphicFramePr>
      <xfrm/>
      <a:graphic>
        <a:graphicData uri="http://schemas.openxmlformats.org/drawingml/2006/chart">
          <c:chart r:id="rId1"/>
        </a:graphicData>
      </a:graphic>
    </graphicFrame>
    <clientData/>
  </oneCellAnchor>
  <oneCellAnchor>
    <from>
      <col>4</col>
      <colOff>0</colOff>
      <row>28</row>
      <rowOff>0</rowOff>
    </from>
    <ext cx="4320000" cy="3240000"/>
    <graphicFrame>
      <nvGraphicFramePr>
        <cNvPr id="2" name="Chart 2"/>
        <cNvGraphicFramePr/>
      </nvGraphicFramePr>
      <xfrm/>
      <a:graphic>
        <a:graphicData uri="http://schemas.openxmlformats.org/drawingml/2006/chart">
          <c:chart r:id="rId2"/>
        </a:graphicData>
      </a:graphic>
    </graphicFrame>
    <clientData/>
  </oneCellAnchor>
  <oneCellAnchor>
    <from>
      <col>4</col>
      <colOff>0</colOff>
      <row>47</row>
      <rowOff>0</rowOff>
    </from>
    <ext cx="4320000" cy="3240000"/>
    <graphicFrame>
      <nvGraphicFramePr>
        <cNvPr id="3" name="Chart 3"/>
        <cNvGraphicFramePr/>
      </nvGraphicFramePr>
      <xfrm/>
      <a:graphic>
        <a:graphicData uri="http://schemas.openxmlformats.org/drawingml/2006/chart">
          <c:chart r:id="rId3"/>
        </a:graphicData>
      </a:graphic>
    </graphicFrame>
    <clientData/>
  </oneCellAnchor>
  <oneCellAnchor>
    <from>
      <col>4</col>
      <colOff>0</colOff>
      <row>66</row>
      <rowOff>0</rowOff>
    </from>
    <ext cx="2880000" cy="2880000"/>
    <graphicFrame>
      <nvGraphicFramePr>
        <cNvPr id="4" name="Chart 4"/>
        <cNvGraphicFramePr/>
      </nvGraphicFramePr>
      <xfrm/>
      <a:graphic>
        <a:graphicData uri="http://schemas.openxmlformats.org/drawingml/2006/chart">
          <c:chart r:id="rId4"/>
        </a:graphicData>
      </a:graphic>
    </graphicFrame>
    <clientData/>
  </oneCellAnchor>
</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drawing" Target="/xl/drawings/drawing1.xml" Id="rId1" /></Relationships>
</file>

<file path=xl/worksheets/_rels/sheet3.xml.rels><Relationships xmlns="http://schemas.openxmlformats.org/package/2006/relationships"><Relationship Type="http://schemas.openxmlformats.org/officeDocument/2006/relationships/hyperlink" Target="#'D&#233;tail Direction-Nature'!A22" TargetMode="External" Id="rId1" /><Relationship Type="http://schemas.openxmlformats.org/officeDocument/2006/relationships/hyperlink" Target="#'D&#233;tail Direction-Nature'!A35" TargetMode="External" Id="rId2" /><Relationship Type="http://schemas.openxmlformats.org/officeDocument/2006/relationships/hyperlink" Target="#'D&#233;tail Direction-Nature'!A47" TargetMode="External" Id="rId3" /><Relationship Type="http://schemas.openxmlformats.org/officeDocument/2006/relationships/hyperlink" Target="#'D&#233;tail Direction-Nature'!A59" TargetMode="External" Id="rId4" /><Relationship Type="http://schemas.openxmlformats.org/officeDocument/2006/relationships/hyperlink" Target="#'D&#233;tail Direction-Nature'!A78" TargetMode="External" Id="rId5" /><Relationship Type="http://schemas.openxmlformats.org/officeDocument/2006/relationships/hyperlink" Target="#'D&#233;tail Direction-Nature'!A122" TargetMode="External" Id="rId6" /><Relationship Type="http://schemas.openxmlformats.org/officeDocument/2006/relationships/hyperlink" Target="#'D&#233;tail Direction-Nature'!A136" TargetMode="External" Id="rId7" /><Relationship Type="http://schemas.openxmlformats.org/officeDocument/2006/relationships/hyperlink" Target="#'D&#233;tail Direction-Nature'!A160" TargetMode="External" Id="rId8" /><Relationship Type="http://schemas.openxmlformats.org/officeDocument/2006/relationships/hyperlink" Target="#'D&#233;tail Direction-Nature'!A174" TargetMode="External" Id="rId9" /><Relationship Type="http://schemas.openxmlformats.org/officeDocument/2006/relationships/hyperlink" Target="#'D&#233;tail Direction-Nature'!A188" TargetMode="External" Id="rId10" /><Relationship Type="http://schemas.openxmlformats.org/officeDocument/2006/relationships/hyperlink" Target="#'D&#233;tail Direction-Nature'!A206" TargetMode="External" Id="rId11" /><Relationship Type="http://schemas.openxmlformats.org/officeDocument/2006/relationships/hyperlink" Target="#'D&#233;tail Direction-Nature'!A219" TargetMode="External" Id="rId12" /><Relationship Type="http://schemas.openxmlformats.org/officeDocument/2006/relationships/hyperlink" Target="#'D&#233;tail Direction-Nature'!A270" TargetMode="External" Id="rId13" /><Relationship Type="http://schemas.openxmlformats.org/officeDocument/2006/relationships/hyperlink" Target="#'D&#233;tail Direction-Nature'!A282" TargetMode="External" Id="rId14" /><Relationship Type="http://schemas.openxmlformats.org/officeDocument/2006/relationships/hyperlink" Target="#'D&#233;tail Direction-Nature'!A330" TargetMode="External" Id="rId15" /><Relationship Type="http://schemas.openxmlformats.org/officeDocument/2006/relationships/hyperlink" Target="#'D&#233;tail Direction-Nature'!A4" TargetMode="External" Id="rId16" /><Relationship Type="http://schemas.openxmlformats.org/officeDocument/2006/relationships/hyperlink" Target="#'D&#233;tail Direction-Nature'!A4" TargetMode="External" Id="rId17" /><Relationship Type="http://schemas.openxmlformats.org/officeDocument/2006/relationships/hyperlink" Target="#'D&#233;tail Direction-Nature'!A4" TargetMode="External" Id="rId18" /><Relationship Type="http://schemas.openxmlformats.org/officeDocument/2006/relationships/hyperlink" Target="#'D&#233;tail Direction-Nature'!A4" TargetMode="External" Id="rId19" /><Relationship Type="http://schemas.openxmlformats.org/officeDocument/2006/relationships/hyperlink" Target="#'D&#233;tail Direction-Nature'!A4" TargetMode="External" Id="rId20" /><Relationship Type="http://schemas.openxmlformats.org/officeDocument/2006/relationships/hyperlink" Target="#'D&#233;tail Direction-Nature'!A4" TargetMode="External" Id="rId21" /><Relationship Type="http://schemas.openxmlformats.org/officeDocument/2006/relationships/hyperlink" Target="#'D&#233;tail Direction-Nature'!A4" TargetMode="External" Id="rId22" /><Relationship Type="http://schemas.openxmlformats.org/officeDocument/2006/relationships/hyperlink" Target="#'D&#233;tail Direction-Nature'!A4" TargetMode="External" Id="rId23" /><Relationship Type="http://schemas.openxmlformats.org/officeDocument/2006/relationships/hyperlink" Target="#'D&#233;tail Direction-Nature'!A4" TargetMode="External" Id="rId24" /><Relationship Type="http://schemas.openxmlformats.org/officeDocument/2006/relationships/hyperlink" Target="#'D&#233;tail Direction-Nature'!A4" TargetMode="External" Id="rId25" /><Relationship Type="http://schemas.openxmlformats.org/officeDocument/2006/relationships/hyperlink" Target="#'D&#233;tail Direction-Nature'!A4" TargetMode="External" Id="rId26" /><Relationship Type="http://schemas.openxmlformats.org/officeDocument/2006/relationships/hyperlink" Target="#'D&#233;tail Direction-Nature'!A4" TargetMode="External" Id="rId27" /><Relationship Type="http://schemas.openxmlformats.org/officeDocument/2006/relationships/hyperlink" Target="#'D&#233;tail Direction-Nature'!A4" TargetMode="External" Id="rId28" /><Relationship Type="http://schemas.openxmlformats.org/officeDocument/2006/relationships/hyperlink" Target="#'D&#233;tail Direction-Nature'!A4" TargetMode="External" Id="rId29" /><Relationship Type="http://schemas.openxmlformats.org/officeDocument/2006/relationships/hyperlink" Target="#'D&#233;tail Direction-Nature'!A4" TargetMode="External" Id="rId30" /></Relationships>
</file>

<file path=xl/worksheets/sheet1.xml><?xml version="1.0" encoding="utf-8"?>
<worksheet xmlns="http://schemas.openxmlformats.org/spreadsheetml/2006/main">
  <sheetPr>
    <outlinePr summaryBelow="1" summaryRight="1"/>
    <pageSetUpPr/>
  </sheetPr>
  <dimension ref="A1:H161"/>
  <sheetViews>
    <sheetView workbookViewId="0">
      <pane ySplit="1" topLeftCell="A2" activePane="bottomLeft" state="frozen"/>
      <selection pane="bottomLeft" activeCell="A1" sqref="A1"/>
    </sheetView>
  </sheetViews>
  <sheetFormatPr baseColWidth="8" defaultRowHeight="15"/>
  <cols>
    <col width="38" customWidth="1" min="1" max="1"/>
    <col width="55" customWidth="1" min="2" max="2"/>
    <col width="20" customWidth="1" min="3" max="3"/>
    <col width="22" customWidth="1" min="4" max="4"/>
    <col width="14" customWidth="1" min="5" max="5"/>
    <col width="22" customWidth="1" min="6" max="6"/>
    <col width="12" customWidth="1" min="7" max="7"/>
    <col width="16" customWidth="1" min="8" max="8"/>
  </cols>
  <sheetData>
    <row r="1">
      <c r="A1" s="1" t="inlineStr">
        <is>
          <t>DIRECTION</t>
        </is>
      </c>
      <c r="B1" s="1" t="inlineStr">
        <is>
          <t>OBJET</t>
        </is>
      </c>
      <c r="C1" s="1" t="inlineStr">
        <is>
          <t>NATURE DE LA PRESTATION</t>
        </is>
      </c>
      <c r="D1" s="1" t="inlineStr">
        <is>
          <t>MODE DE PASSATION</t>
        </is>
      </c>
      <c r="E1" s="1" t="inlineStr">
        <is>
          <t>PERIODE PREVUE</t>
        </is>
      </c>
      <c r="F1" s="1" t="inlineStr">
        <is>
          <t>LIEU D'EXECUTION</t>
        </is>
      </c>
      <c r="G1" s="1" t="inlineStr">
        <is>
          <t>RESERVE PME</t>
        </is>
      </c>
      <c r="H1" s="1" t="inlineStr">
        <is>
          <t>ESTIMATION (MAD)</t>
        </is>
      </c>
    </row>
    <row r="2">
      <c r="A2" t="inlineStr">
        <is>
          <t>Direction de la Télédiffusion</t>
        </is>
      </c>
      <c r="B2" t="inlineStr">
        <is>
          <t>Fourniture des modules de traitement audio et RDS pour les émetteurs FM</t>
        </is>
      </c>
      <c r="C2" t="inlineStr">
        <is>
          <t>Fournitures</t>
        </is>
      </c>
      <c r="D2" t="inlineStr">
        <is>
          <t>Appel d'offres ouvert</t>
        </is>
      </c>
      <c r="E2" t="inlineStr">
        <is>
          <t>T3</t>
        </is>
      </c>
      <c r="F2" t="inlineStr">
        <is>
          <t>Magasin Temara</t>
        </is>
      </c>
      <c r="G2" t="inlineStr">
        <is>
          <t>Non</t>
        </is>
      </c>
      <c r="H2" s="2" t="n">
        <v>1800000</v>
      </c>
    </row>
    <row r="3">
      <c r="A3" t="inlineStr">
        <is>
          <t>Direction de la Télédiffusion</t>
        </is>
      </c>
      <c r="B3" t="inlineStr">
        <is>
          <t>Fourniture, installation et mise en service de systèmes de supervision des antennes de diffusion FM et TV</t>
        </is>
      </c>
      <c r="C3" t="inlineStr">
        <is>
          <t>Fournitures</t>
        </is>
      </c>
      <c r="D3" t="inlineStr">
        <is>
          <t>Appel d'offres ouvert</t>
        </is>
      </c>
      <c r="E3" t="inlineStr">
        <is>
          <t>T2</t>
        </is>
      </c>
      <c r="F3" t="inlineStr">
        <is>
          <t>Centres de diffusion de la SNRT</t>
        </is>
      </c>
      <c r="G3" t="inlineStr">
        <is>
          <t>Non</t>
        </is>
      </c>
      <c r="H3" s="2" t="n">
        <v>2755000</v>
      </c>
    </row>
    <row r="4">
      <c r="A4" t="inlineStr">
        <is>
          <t>Direction de la Télédiffusion</t>
        </is>
      </c>
      <c r="B4" t="inlineStr">
        <is>
          <t>Fourniture et installation des équipements de contrôle audio et vidéo pour les petits centres de diffusion TV/FM</t>
        </is>
      </c>
      <c r="C4" t="inlineStr">
        <is>
          <t>Fournitures</t>
        </is>
      </c>
      <c r="D4" t="inlineStr">
        <is>
          <t>Appel d'offres ouvert</t>
        </is>
      </c>
      <c r="E4" t="inlineStr">
        <is>
          <t>T2</t>
        </is>
      </c>
      <c r="F4" t="inlineStr">
        <is>
          <t>Centres de diffusion de la SNRT</t>
        </is>
      </c>
      <c r="G4" t="inlineStr">
        <is>
          <t>Non</t>
        </is>
      </c>
      <c r="H4" s="2" t="n">
        <v>1000000</v>
      </c>
    </row>
    <row r="5">
      <c r="A5" t="inlineStr">
        <is>
          <t>Direction de la Télédiffusion</t>
        </is>
      </c>
      <c r="B5" t="inlineStr">
        <is>
          <t>Fourniture, installation et mise en service des climatiseurs aux centres de diffusion de la SNRT</t>
        </is>
      </c>
      <c r="C5" t="inlineStr">
        <is>
          <t>Fournitures</t>
        </is>
      </c>
      <c r="D5" t="inlineStr">
        <is>
          <t>Appel d'offres ouvert</t>
        </is>
      </c>
      <c r="E5" t="inlineStr">
        <is>
          <t>T3</t>
        </is>
      </c>
      <c r="F5" t="inlineStr">
        <is>
          <t>Centres de diffusion de la SNRT</t>
        </is>
      </c>
      <c r="G5" t="inlineStr">
        <is>
          <t>Oui</t>
        </is>
      </c>
      <c r="H5" s="2" t="n">
        <v>3500000</v>
      </c>
    </row>
    <row r="6">
      <c r="A6" t="inlineStr">
        <is>
          <t>Direction de la Télédiffusion</t>
        </is>
      </c>
      <c r="B6" t="inlineStr">
        <is>
          <t>Fourniture des analyseurs de réseaux électrique et les appareils de mesure électrique</t>
        </is>
      </c>
      <c r="C6" t="inlineStr">
        <is>
          <t>Fournitures</t>
        </is>
      </c>
      <c r="D6" t="inlineStr">
        <is>
          <t>Appel d'offres ouvert</t>
        </is>
      </c>
      <c r="E6" t="inlineStr">
        <is>
          <t>T2</t>
        </is>
      </c>
      <c r="F6" t="inlineStr">
        <is>
          <t>Magasin Temara</t>
        </is>
      </c>
      <c r="G6" t="inlineStr">
        <is>
          <t>Non</t>
        </is>
      </c>
      <c r="H6" s="2" t="n">
        <v>800000</v>
      </c>
    </row>
    <row r="7">
      <c r="A7" t="inlineStr">
        <is>
          <t>Direction de la Télédiffusion</t>
        </is>
      </c>
      <c r="B7" t="inlineStr">
        <is>
          <t>Fourniture,installation et mise en service des commutateurs et distributeurs des signaux ASI et IP pour les centres de diffusion TNT et FM</t>
        </is>
      </c>
      <c r="C7" t="inlineStr">
        <is>
          <t>Fournitures</t>
        </is>
      </c>
      <c r="D7" t="inlineStr">
        <is>
          <t>Appel d'offres ouvert</t>
        </is>
      </c>
      <c r="E7" t="inlineStr">
        <is>
          <t>T3</t>
        </is>
      </c>
      <c r="F7" t="inlineStr">
        <is>
          <t>Centres de diffusion de la SNRT</t>
        </is>
      </c>
      <c r="G7" t="inlineStr">
        <is>
          <t>Non</t>
        </is>
      </c>
      <c r="H7" s="2" t="n">
        <v>1000000</v>
      </c>
    </row>
    <row r="8">
      <c r="A8" t="inlineStr">
        <is>
          <t>Direction de la Télédiffusion</t>
        </is>
      </c>
      <c r="B8" t="inlineStr">
        <is>
          <t>Fourniture et installation des sondes FM et TNT pour le contrôle des signaux audios et vidéo des chaines radio et télevision de la SNRT</t>
        </is>
      </c>
      <c r="C8" t="inlineStr">
        <is>
          <t>Fournitures</t>
        </is>
      </c>
      <c r="D8" t="inlineStr">
        <is>
          <t>Appel d'offres ouvert</t>
        </is>
      </c>
      <c r="E8" t="inlineStr">
        <is>
          <t>T3</t>
        </is>
      </c>
      <c r="F8" t="inlineStr">
        <is>
          <t>Magasin Temara</t>
        </is>
      </c>
      <c r="G8" t="inlineStr">
        <is>
          <t>Non</t>
        </is>
      </c>
      <c r="H8" s="2" t="n">
        <v>1200000</v>
      </c>
    </row>
    <row r="9">
      <c r="A9" t="inlineStr">
        <is>
          <t>Direction de la Télédiffusion</t>
        </is>
      </c>
      <c r="B9" t="inlineStr">
        <is>
          <t>Fourniture des modules et pièces de rechanges des émetteurs TNT de des centres de la SNRT</t>
        </is>
      </c>
      <c r="C9" t="inlineStr">
        <is>
          <t>Fournitures</t>
        </is>
      </c>
      <c r="D9" t="inlineStr">
        <is>
          <t>Appel d'offres ouvert</t>
        </is>
      </c>
      <c r="E9" t="inlineStr">
        <is>
          <t>T2</t>
        </is>
      </c>
      <c r="F9" t="inlineStr">
        <is>
          <t>Magasin Temara</t>
        </is>
      </c>
      <c r="G9" t="inlineStr">
        <is>
          <t>Non</t>
        </is>
      </c>
      <c r="H9" s="2" t="n">
        <v>6500000</v>
      </c>
    </row>
    <row r="10">
      <c r="A10" t="inlineStr">
        <is>
          <t>Direction de la Télédiffusion</t>
        </is>
      </c>
      <c r="B10" t="inlineStr">
        <is>
          <t>Fourniture des modules et pièces de rechanges des émetteurs FM des centres de la SNRT</t>
        </is>
      </c>
      <c r="C10" t="inlineStr">
        <is>
          <t>Fournitures</t>
        </is>
      </c>
      <c r="D10" t="inlineStr">
        <is>
          <t>Appel d'offres ouvert</t>
        </is>
      </c>
      <c r="E10" t="inlineStr">
        <is>
          <t>T2</t>
        </is>
      </c>
      <c r="F10" t="inlineStr">
        <is>
          <t>Magasin Temara</t>
        </is>
      </c>
      <c r="G10" t="inlineStr">
        <is>
          <t>Non</t>
        </is>
      </c>
      <c r="H10" s="2" t="n">
        <v>6500000</v>
      </c>
    </row>
    <row r="11">
      <c r="A11" t="inlineStr">
        <is>
          <t>Direction de la Télédiffusion</t>
        </is>
      </c>
      <c r="B11" t="inlineStr">
        <is>
          <t>Fourniture des duplexeurs, filtres, patchs panel , commutateurs RF et adaptateurs</t>
        </is>
      </c>
      <c r="C11" t="inlineStr">
        <is>
          <t>Fournitures</t>
        </is>
      </c>
      <c r="D11" t="inlineStr">
        <is>
          <t>Appel d'offres ouvert</t>
        </is>
      </c>
      <c r="E11" t="inlineStr">
        <is>
          <t>T3</t>
        </is>
      </c>
      <c r="F11" t="inlineStr">
        <is>
          <t>Magasin Temara</t>
        </is>
      </c>
      <c r="G11" t="inlineStr">
        <is>
          <t>Non</t>
        </is>
      </c>
      <c r="H11" s="2" t="n">
        <v>1600000</v>
      </c>
    </row>
    <row r="12">
      <c r="A12" t="inlineStr">
        <is>
          <t>Direction de la Télédiffusion</t>
        </is>
      </c>
      <c r="B12" t="inlineStr">
        <is>
          <t>Fourniture des distributeurs de puissance UHF et FM, combiners, feeders et antennes</t>
        </is>
      </c>
      <c r="C12" t="inlineStr">
        <is>
          <t>Fournitures</t>
        </is>
      </c>
      <c r="D12" t="inlineStr">
        <is>
          <t>Appel d'offres ouvert</t>
        </is>
      </c>
      <c r="E12" t="inlineStr">
        <is>
          <t>T3</t>
        </is>
      </c>
      <c r="F12" t="inlineStr">
        <is>
          <t>Magasin Temara</t>
        </is>
      </c>
      <c r="G12" t="inlineStr">
        <is>
          <t>Non</t>
        </is>
      </c>
      <c r="H12" s="2" t="n">
        <v>3500000</v>
      </c>
    </row>
    <row r="13">
      <c r="A13" t="inlineStr">
        <is>
          <t>Direction de la Télédiffusion</t>
        </is>
      </c>
      <c r="B13" t="inlineStr">
        <is>
          <t>Fourniture des modules et pièces de rechanges hydrauliques et électriques pour les émetteurs de diffusion TNT et FM</t>
        </is>
      </c>
      <c r="C13" t="inlineStr">
        <is>
          <t>Fournitures</t>
        </is>
      </c>
      <c r="D13" t="inlineStr">
        <is>
          <t>Appel d'offres ouvert</t>
        </is>
      </c>
      <c r="E13" t="inlineStr">
        <is>
          <t>T2</t>
        </is>
      </c>
      <c r="F13" t="inlineStr">
        <is>
          <t>Magasin Temara</t>
        </is>
      </c>
      <c r="G13" t="inlineStr">
        <is>
          <t>Non</t>
        </is>
      </c>
      <c r="H13" s="2" t="n">
        <v>1100000</v>
      </c>
    </row>
    <row r="14">
      <c r="A14" t="inlineStr">
        <is>
          <t>Direction de la Télédiffusion</t>
        </is>
      </c>
      <c r="B14" t="inlineStr">
        <is>
          <t>L'entretien et la remise en état des systèmes de balisage aux pylônes des centres de diffusion TV/FM</t>
        </is>
      </c>
      <c r="C14" t="inlineStr">
        <is>
          <t>Services</t>
        </is>
      </c>
      <c r="D14" t="inlineStr">
        <is>
          <t>Appel d'offres ouvert</t>
        </is>
      </c>
      <c r="E14" t="inlineStr">
        <is>
          <t>T2</t>
        </is>
      </c>
      <c r="F14" t="inlineStr">
        <is>
          <t>centres de diffusion de la SNRT</t>
        </is>
      </c>
      <c r="G14" t="inlineStr">
        <is>
          <t>Oui</t>
        </is>
      </c>
      <c r="H14" s="2" t="n">
        <v>500000</v>
      </c>
    </row>
    <row r="15">
      <c r="A15" t="inlineStr">
        <is>
          <t>Direction de la Télédiffusion</t>
        </is>
      </c>
      <c r="B15" t="inlineStr">
        <is>
          <t>Entretien et maintenance du syteme d'antennes du centre radio AM d'Ait Melloul</t>
        </is>
      </c>
      <c r="C15" t="inlineStr">
        <is>
          <t>Services</t>
        </is>
      </c>
      <c r="D15" t="inlineStr">
        <is>
          <t>Appel d'offres ouvert</t>
        </is>
      </c>
      <c r="E15" t="inlineStr">
        <is>
          <t>T2</t>
        </is>
      </c>
      <c r="F15" t="inlineStr">
        <is>
          <t>Ait Melloul</t>
        </is>
      </c>
      <c r="G15" t="inlineStr">
        <is>
          <t>Oui</t>
        </is>
      </c>
      <c r="H15" s="2" t="n">
        <v>2600000</v>
      </c>
    </row>
    <row r="16">
      <c r="A16" t="inlineStr">
        <is>
          <t>Direction de la Télédiffusion</t>
        </is>
      </c>
      <c r="B16" t="inlineStr">
        <is>
          <t>Entretien et remise en état du système de verouillage et de protection des cabines d'antennes de centres AM</t>
        </is>
      </c>
      <c r="C16" t="inlineStr">
        <is>
          <t>Services</t>
        </is>
      </c>
      <c r="D16" t="inlineStr">
        <is>
          <t>Appel d'offres ouvert</t>
        </is>
      </c>
      <c r="E16" t="inlineStr">
        <is>
          <t>T3</t>
        </is>
      </c>
      <c r="F16" t="inlineStr">
        <is>
          <t>centres de diffusion de la SNRT</t>
        </is>
      </c>
      <c r="G16" t="inlineStr">
        <is>
          <t>Oui</t>
        </is>
      </c>
      <c r="H16" s="2" t="n">
        <v>1800000</v>
      </c>
    </row>
    <row r="17">
      <c r="A17" t="inlineStr">
        <is>
          <t>Direction de la Télédiffusion</t>
        </is>
      </c>
      <c r="B17" t="inlineStr">
        <is>
          <t>Entretien des systèmes de la télésurveillance des centres radio AM.</t>
        </is>
      </c>
      <c r="C17" t="inlineStr">
        <is>
          <t>Services</t>
        </is>
      </c>
      <c r="D17" t="inlineStr">
        <is>
          <t>Appel d'offres ouvert</t>
        </is>
      </c>
      <c r="E17" t="inlineStr">
        <is>
          <t>T2</t>
        </is>
      </c>
      <c r="F17" t="inlineStr">
        <is>
          <t>Centre de diffusion AM</t>
        </is>
      </c>
      <c r="G17" t="inlineStr">
        <is>
          <t>Oui</t>
        </is>
      </c>
      <c r="H17" s="2" t="n">
        <v>180000</v>
      </c>
    </row>
    <row r="18">
      <c r="A18" t="inlineStr">
        <is>
          <t>Direction de la Télédiffusion</t>
        </is>
      </c>
      <c r="B18" t="inlineStr">
        <is>
          <t>Entretien et maintenance des équipements électriques, électroniques des climatiseurs aux centres de diffusion, y compris la fourniture des pièces de rechange.</t>
        </is>
      </c>
      <c r="C18" t="inlineStr">
        <is>
          <t>Services</t>
        </is>
      </c>
      <c r="D18" t="inlineStr">
        <is>
          <t>Appel d'offres ouvert</t>
        </is>
      </c>
      <c r="E18" t="inlineStr">
        <is>
          <t>T2</t>
        </is>
      </c>
      <c r="F18" t="inlineStr">
        <is>
          <t>Centres de diffusion TV/FM</t>
        </is>
      </c>
      <c r="G18" t="inlineStr">
        <is>
          <t>Oui</t>
        </is>
      </c>
      <c r="H18" s="2" t="n">
        <v>4500000</v>
      </c>
    </row>
    <row r="19">
      <c r="A19" t="inlineStr">
        <is>
          <t>Direction de la Télédiffusion</t>
        </is>
      </c>
      <c r="B19" t="inlineStr">
        <is>
          <t>Fourniture, installation et mise en service des émetteurs DVB-T/T2 avec combiners pour quelques sites de diffusion</t>
        </is>
      </c>
      <c r="C19" t="inlineStr">
        <is>
          <t>Fournitures</t>
        </is>
      </c>
      <c r="D19" t="inlineStr">
        <is>
          <t>Appel d'offres ouvert</t>
        </is>
      </c>
      <c r="E19" t="inlineStr">
        <is>
          <t>T2</t>
        </is>
      </c>
      <c r="F19" t="inlineStr">
        <is>
          <t>Laayoune, Palomas, Tazerkount</t>
        </is>
      </c>
      <c r="G19" t="inlineStr">
        <is>
          <t>Non</t>
        </is>
      </c>
      <c r="H19" s="2" t="n">
        <v>4000000</v>
      </c>
    </row>
    <row r="20">
      <c r="A20" t="inlineStr">
        <is>
          <t>Direction de la Télédiffusion</t>
        </is>
      </c>
      <c r="B20" t="inlineStr">
        <is>
          <t>Fourniture, installation et mise en service des émetteurs FM avec combiners et systèmes d'antennes FM pour quelques sites de diffusion</t>
        </is>
      </c>
      <c r="C20" t="inlineStr">
        <is>
          <t>Fournitures</t>
        </is>
      </c>
      <c r="D20" t="inlineStr">
        <is>
          <t>Appel d'offres ouvert</t>
        </is>
      </c>
      <c r="E20" t="inlineStr">
        <is>
          <t>T2</t>
        </is>
      </c>
      <c r="F20" t="inlineStr">
        <is>
          <t>Azougar, Bouarfa, Figuig, Palomas, Tizi Azza</t>
        </is>
      </c>
      <c r="G20" t="inlineStr">
        <is>
          <t>Non</t>
        </is>
      </c>
      <c r="H20" s="2" t="n">
        <v>4400000</v>
      </c>
    </row>
    <row r="21">
      <c r="A21" t="inlineStr">
        <is>
          <t>Direction de la Télédiffusion</t>
        </is>
      </c>
      <c r="B21" t="inlineStr">
        <is>
          <t>Fourniture, installation et mise en service de nouvelles liaisons de faisceaux hertzien pour un Trafic MPEG-TS/IP et IP.</t>
        </is>
      </c>
      <c r="C21" t="inlineStr">
        <is>
          <t>Fournitures</t>
        </is>
      </c>
      <c r="D21" t="inlineStr">
        <is>
          <t>Appel d'offres ouvert</t>
        </is>
      </c>
      <c r="E21" t="inlineStr">
        <is>
          <t>T3</t>
        </is>
      </c>
      <c r="F21" t="inlineStr">
        <is>
          <t>Zerhoun - Azougar - Tiguelmamine - Takka Tissoufra - Izeft - Errachidia - Rich Rabat - Zaers - Témara.</t>
        </is>
      </c>
      <c r="G21" t="inlineStr">
        <is>
          <t>Non</t>
        </is>
      </c>
      <c r="H21" s="2" t="n">
        <v>8000000</v>
      </c>
    </row>
    <row r="22">
      <c r="A22" t="inlineStr">
        <is>
          <t>Direction de la Télédiffusion</t>
        </is>
      </c>
      <c r="B22" t="inlineStr">
        <is>
          <t>Fourniture de combiners/upconverters.</t>
        </is>
      </c>
      <c r="C22" t="inlineStr">
        <is>
          <t>Fournitures</t>
        </is>
      </c>
      <c r="D22" t="inlineStr">
        <is>
          <t>Appel d'offres ouvert</t>
        </is>
      </c>
      <c r="E22" t="inlineStr">
        <is>
          <t>T1</t>
        </is>
      </c>
      <c r="F22" t="inlineStr">
        <is>
          <t>Rabat</t>
        </is>
      </c>
      <c r="G22" t="inlineStr">
        <is>
          <t>Non</t>
        </is>
      </c>
      <c r="H22" s="2" t="n">
        <v>979200</v>
      </c>
    </row>
    <row r="23">
      <c r="A23" t="inlineStr">
        <is>
          <t>Direction de la Télédiffusion</t>
        </is>
      </c>
      <c r="B23" t="inlineStr">
        <is>
          <t>Fourniture, installation et mise en service des onduleurs 2x150 KVA type modulaires et d’un système de climatisation au centre SNRT de ZAER (RABAT).</t>
        </is>
      </c>
      <c r="C23" t="inlineStr">
        <is>
          <t>Fournitures</t>
        </is>
      </c>
      <c r="D23" t="inlineStr">
        <is>
          <t>Appel d'offres ouvert</t>
        </is>
      </c>
      <c r="E23" t="inlineStr">
        <is>
          <t>T1</t>
        </is>
      </c>
      <c r="F23" t="inlineStr">
        <is>
          <t>Rabat zaer</t>
        </is>
      </c>
      <c r="G23" t="inlineStr">
        <is>
          <t>Oui</t>
        </is>
      </c>
      <c r="H23" s="2" t="n">
        <v>3301704</v>
      </c>
    </row>
    <row r="24">
      <c r="A24" t="inlineStr">
        <is>
          <t>Direction de la Télédiffusion</t>
        </is>
      </c>
      <c r="B24" t="inlineStr">
        <is>
          <t>Acquisition de matériel technique et informatique pour l'extension de l'outil digital de gestion des ressources techniques et humaines de l'exploitation et de la maintenance.</t>
        </is>
      </c>
      <c r="C24" t="inlineStr">
        <is>
          <t>Fournitures</t>
        </is>
      </c>
      <c r="D24" t="inlineStr">
        <is>
          <t>Appel d'offres ouvert</t>
        </is>
      </c>
      <c r="E24" t="inlineStr">
        <is>
          <t>T1</t>
        </is>
      </c>
      <c r="F24" t="inlineStr">
        <is>
          <t>Témara</t>
        </is>
      </c>
      <c r="G24" t="inlineStr">
        <is>
          <t>Non</t>
        </is>
      </c>
      <c r="H24" s="2" t="n">
        <v>540000</v>
      </c>
    </row>
    <row r="25">
      <c r="A25" t="inlineStr">
        <is>
          <t>Direction de la Télédiffusion</t>
        </is>
      </c>
      <c r="B25" t="inlineStr">
        <is>
          <t>Fourniture installation et mise en service d’un nouveau groupe électrogène de puissance 200 KW/PRP pour le centre SNRT de PALOMAS (P.EL HOCEIMA), ainsi que le transfert de quelques groupes électrogènes entre des centres SNRT y compris leurs mise à niveau.</t>
        </is>
      </c>
      <c r="C25" t="inlineStr">
        <is>
          <t>Travaux</t>
        </is>
      </c>
      <c r="D25" t="inlineStr">
        <is>
          <t>Appel d'offres ouvert</t>
        </is>
      </c>
      <c r="E25" t="inlineStr">
        <is>
          <t>T1</t>
        </is>
      </c>
      <c r="F25" t="inlineStr">
        <is>
          <t>Al Houceima</t>
        </is>
      </c>
      <c r="G25" t="inlineStr">
        <is>
          <t>Oui</t>
        </is>
      </c>
      <c r="H25" s="2" t="n">
        <v>1200000</v>
      </c>
    </row>
    <row r="26">
      <c r="A26" t="inlineStr">
        <is>
          <t>Direction de la Télédiffusion</t>
        </is>
      </c>
      <c r="B26" t="inlineStr">
        <is>
          <t>Fourniture, installation et mise en service de nouveaux onduleurs dans quelques sites de diffusion.</t>
        </is>
      </c>
      <c r="C26" t="inlineStr">
        <is>
          <t>Fournitures</t>
        </is>
      </c>
      <c r="D26" t="inlineStr">
        <is>
          <t>Appel d'offres ouvert</t>
        </is>
      </c>
      <c r="E26" t="inlineStr">
        <is>
          <t>T2</t>
        </is>
      </c>
      <c r="F26" t="inlineStr">
        <is>
          <t>JBEL LAHDID (ESSAOUIRA) - ZERHOUNE - OUKEIMEDEN</t>
        </is>
      </c>
      <c r="G26" t="inlineStr">
        <is>
          <t>Oui</t>
        </is>
      </c>
      <c r="H26" s="2" t="n">
        <v>4000000</v>
      </c>
    </row>
    <row r="27">
      <c r="A27" t="inlineStr">
        <is>
          <t>Direction de la Télédiffusion</t>
        </is>
      </c>
      <c r="B27" t="inlineStr">
        <is>
          <t>Fourniture, installation et mise en service des groupes électrogènes dans quelques sites de diffusion.</t>
        </is>
      </c>
      <c r="C27" t="inlineStr">
        <is>
          <t>Travaux</t>
        </is>
      </c>
      <c r="D27" t="inlineStr">
        <is>
          <t>Appel d'offres ouvert</t>
        </is>
      </c>
      <c r="E27" t="inlineStr">
        <is>
          <t>T2</t>
        </is>
      </c>
      <c r="F27" t="inlineStr">
        <is>
          <t>Tarfaya - Akhfennir - Abtih - Sidi IfniI - Sidi Bounouara</t>
        </is>
      </c>
      <c r="G27" t="inlineStr">
        <is>
          <t>Oui</t>
        </is>
      </c>
      <c r="H27" s="2" t="n">
        <v>3000000</v>
      </c>
    </row>
    <row r="28">
      <c r="A28" t="inlineStr">
        <is>
          <t>Direction de la Télédiffusion</t>
        </is>
      </c>
      <c r="B28" t="inlineStr">
        <is>
          <t>Electricafication/augmentation MT/BT 2éme reseau de quelques sites de diffusion SNRT.</t>
        </is>
      </c>
      <c r="C28" t="inlineStr">
        <is>
          <t>Travaux</t>
        </is>
      </c>
      <c r="D28" t="inlineStr">
        <is>
          <t>Appel d'offres ouvert</t>
        </is>
      </c>
      <c r="E28" t="inlineStr">
        <is>
          <t>T3</t>
        </is>
      </c>
      <c r="F28" t="inlineStr">
        <is>
          <t>Fogo (Guelmim) - Akka Ighan (Tata) - Arfoud (Errachidia)</t>
        </is>
      </c>
      <c r="G28" t="inlineStr">
        <is>
          <t>Oui</t>
        </is>
      </c>
      <c r="H28" s="2" t="n">
        <v>4000000</v>
      </c>
    </row>
    <row r="29">
      <c r="A29" t="inlineStr">
        <is>
          <t>Direction de la Télédiffusion</t>
        </is>
      </c>
      <c r="B29"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C29" t="inlineStr">
        <is>
          <t>Fournitures</t>
        </is>
      </c>
      <c r="D29" t="inlineStr">
        <is>
          <t>Appel d'offres ouvert</t>
        </is>
      </c>
      <c r="E29" t="inlineStr">
        <is>
          <t>T2</t>
        </is>
      </c>
      <c r="F29" t="inlineStr">
        <is>
          <t>Magasin Témara</t>
        </is>
      </c>
      <c r="G29" t="inlineStr">
        <is>
          <t>Oui</t>
        </is>
      </c>
      <c r="H29" s="2" t="n">
        <v>900000</v>
      </c>
    </row>
    <row r="30">
      <c r="A30" t="inlineStr">
        <is>
          <t>Direction de la Télédiffusion</t>
        </is>
      </c>
      <c r="B30" t="inlineStr">
        <is>
          <t>Acquisition de climatiseurs</t>
        </is>
      </c>
      <c r="C30" t="inlineStr">
        <is>
          <t>Fournitures</t>
        </is>
      </c>
      <c r="D30" t="inlineStr">
        <is>
          <t>Appel d'offres ouvert</t>
        </is>
      </c>
      <c r="E30" t="inlineStr">
        <is>
          <t>T4</t>
        </is>
      </c>
      <c r="F30" t="inlineStr">
        <is>
          <t>Akka Ighan + tout besoin ponctuel</t>
        </is>
      </c>
      <c r="G30" t="inlineStr">
        <is>
          <t>Oui</t>
        </is>
      </c>
      <c r="H30" s="2" t="n">
        <v>200000</v>
      </c>
    </row>
    <row r="31">
      <c r="A31" t="inlineStr">
        <is>
          <t>Direction de la Télédiffusion</t>
        </is>
      </c>
      <c r="B31" t="inlineStr">
        <is>
          <t>Construction et achèvement d'installation des pylônes auto-stable aux sites SNRT TANAKOUBE ( P.CHEFCHAOUEN) et TAOURIRT</t>
        </is>
      </c>
      <c r="C31" t="inlineStr">
        <is>
          <t>Travaux</t>
        </is>
      </c>
      <c r="D31" t="inlineStr">
        <is>
          <t>Appel d'offres ouvert</t>
        </is>
      </c>
      <c r="E31" t="inlineStr">
        <is>
          <t>T3</t>
        </is>
      </c>
      <c r="F31" t="inlineStr">
        <is>
          <t>Tanakoube ( (P,Chefchaouen) et Taourirt)</t>
        </is>
      </c>
      <c r="G31" t="inlineStr">
        <is>
          <t>Oui</t>
        </is>
      </c>
      <c r="H31" s="2" t="n">
        <v>2000000</v>
      </c>
    </row>
    <row r="32">
      <c r="A32" t="inlineStr">
        <is>
          <t>Direction de la Télédiffusion</t>
        </is>
      </c>
      <c r="B32" t="inlineStr">
        <is>
          <t>Elaboration des études technique et le suivi des travaux pour la construction et achèvement d'installation des pylônes auto-stable aux sites SNRT TANAKOUBE ( P.CHEFCHAOUEN) et TAOURIRT</t>
        </is>
      </c>
      <c r="C32" t="inlineStr">
        <is>
          <t>Services</t>
        </is>
      </c>
      <c r="D32" t="inlineStr">
        <is>
          <t>Appel d'offres ouvert</t>
        </is>
      </c>
      <c r="E32" t="inlineStr">
        <is>
          <t>T2</t>
        </is>
      </c>
      <c r="F32" t="inlineStr">
        <is>
          <t>Tanakoube ( P,Chefchaouen) et Taourirt</t>
        </is>
      </c>
      <c r="G32" t="inlineStr">
        <is>
          <t>Non</t>
        </is>
      </c>
      <c r="H32" s="2" t="n">
        <v>120000</v>
      </c>
    </row>
    <row r="33">
      <c r="A33" t="inlineStr">
        <is>
          <t>Direction de la Télédiffusion</t>
        </is>
      </c>
      <c r="B33" t="inlineStr">
        <is>
          <t>Etudes architecturales et le suivi des travaux pour la construction des nouveau sites de diffusion de la SNRT à RICH et MSISSI</t>
        </is>
      </c>
      <c r="C33" t="inlineStr">
        <is>
          <t>Services</t>
        </is>
      </c>
      <c r="D33" t="inlineStr">
        <is>
          <t>Appel d'offres ouvert</t>
        </is>
      </c>
      <c r="E33" t="inlineStr">
        <is>
          <t>T2</t>
        </is>
      </c>
      <c r="F33" t="inlineStr">
        <is>
          <t>Rich et Msissi</t>
        </is>
      </c>
      <c r="G33" t="inlineStr">
        <is>
          <t>Non</t>
        </is>
      </c>
      <c r="H33" s="2" t="n">
        <v>180000</v>
      </c>
    </row>
    <row r="34">
      <c r="A34" t="inlineStr">
        <is>
          <t>Direction de la Télédiffusion</t>
        </is>
      </c>
      <c r="B34" t="inlineStr">
        <is>
          <t>Elaboration des études technique et le suivi des travaux pour la construction des nouveau sites de diffusion à RICH et MSISSI</t>
        </is>
      </c>
      <c r="C34" t="inlineStr">
        <is>
          <t>Services</t>
        </is>
      </c>
      <c r="D34" t="inlineStr">
        <is>
          <t>Appel d'offres ouvert</t>
        </is>
      </c>
      <c r="E34" t="inlineStr">
        <is>
          <t>T2</t>
        </is>
      </c>
      <c r="F34" t="inlineStr">
        <is>
          <t>Rich et Msissi</t>
        </is>
      </c>
      <c r="G34" t="inlineStr">
        <is>
          <t>Non</t>
        </is>
      </c>
      <c r="H34" s="2" t="n">
        <v>150000</v>
      </c>
    </row>
    <row r="35">
      <c r="A35" t="inlineStr">
        <is>
          <t>Direction de la Télédiffusion</t>
        </is>
      </c>
      <c r="B35" t="inlineStr">
        <is>
          <t>Travaux de construction de nouveaux sites à RICH et MSISSI</t>
        </is>
      </c>
      <c r="C35" t="inlineStr">
        <is>
          <t>Travaux</t>
        </is>
      </c>
      <c r="D35" t="inlineStr">
        <is>
          <t>Appel d'offres ouvert</t>
        </is>
      </c>
      <c r="E35" t="inlineStr">
        <is>
          <t>T3</t>
        </is>
      </c>
      <c r="F35" t="inlineStr">
        <is>
          <t>Rich et Msissi</t>
        </is>
      </c>
      <c r="G35" t="inlineStr">
        <is>
          <t>Oui</t>
        </is>
      </c>
      <c r="H35" s="2" t="n">
        <v>3000000</v>
      </c>
    </row>
    <row r="36">
      <c r="A36" t="inlineStr">
        <is>
          <t>Direction de la Télédiffusion</t>
        </is>
      </c>
      <c r="B36" t="inlineStr">
        <is>
          <t>Travaux d'aménagement des sites de diffusion.</t>
        </is>
      </c>
      <c r="C36" t="inlineStr">
        <is>
          <t>Travaux</t>
        </is>
      </c>
      <c r="D36" t="inlineStr">
        <is>
          <t>Appel d'offres ouvert</t>
        </is>
      </c>
      <c r="E36" t="inlineStr">
        <is>
          <t>T2 - T3 - T4</t>
        </is>
      </c>
      <c r="F36" t="inlineStr">
        <is>
          <t>Hafa Safa, Zerhoune, Figuig, Izeft, Safi</t>
        </is>
      </c>
      <c r="G36" t="inlineStr">
        <is>
          <t>Oui</t>
        </is>
      </c>
      <c r="H36" s="2" t="n">
        <v>4800000</v>
      </c>
    </row>
    <row r="37">
      <c r="A37" t="inlineStr">
        <is>
          <t>Direction de la Télédiffusion</t>
        </is>
      </c>
      <c r="B37" t="inlineStr">
        <is>
          <t>Entretien des pylônes et tours dessites de diffusion</t>
        </is>
      </c>
      <c r="C37" t="inlineStr">
        <is>
          <t>Travaux</t>
        </is>
      </c>
      <c r="D37" t="inlineStr">
        <is>
          <t>Appel d'offres ouvert</t>
        </is>
      </c>
      <c r="E37" t="inlineStr">
        <is>
          <t>T3</t>
        </is>
      </c>
      <c r="F37" t="inlineStr">
        <is>
          <t>Cap Spartel, Hafa Safa, Zerhoune, Safi, Ain Chock, Mirchich et Lakhiar</t>
        </is>
      </c>
      <c r="G37" t="inlineStr">
        <is>
          <t>Oui</t>
        </is>
      </c>
      <c r="H37" s="2" t="n">
        <v>2000000</v>
      </c>
    </row>
    <row r="38">
      <c r="A38" t="inlineStr">
        <is>
          <t>Direction de la Télédiffusion</t>
        </is>
      </c>
      <c r="B38" t="inlineStr">
        <is>
          <t>Fourniture, installation et mise en service de plateformes d'encodage et de multiplexage/Mise à niveau des platformes existantes.</t>
        </is>
      </c>
      <c r="C38" t="inlineStr">
        <is>
          <t>Fournitures</t>
        </is>
      </c>
      <c r="D38" t="inlineStr">
        <is>
          <t>Appel d'offres ouvert</t>
        </is>
      </c>
      <c r="E38" t="inlineStr">
        <is>
          <t>T2</t>
        </is>
      </c>
      <c r="F38" t="inlineStr">
        <is>
          <t>Rabat - Casablanca</t>
        </is>
      </c>
      <c r="G38" t="inlineStr">
        <is>
          <t>Non</t>
        </is>
      </c>
      <c r="H38" s="2" t="n">
        <v>5000000</v>
      </c>
    </row>
    <row r="39">
      <c r="A39" t="inlineStr">
        <is>
          <t>Direction de la Télédiffusion</t>
        </is>
      </c>
      <c r="B39" t="inlineStr">
        <is>
          <t>Fourniture des équipements de transmission pour les réseaux FH, satellite, contribution, tête réseau et NMS des stations terriennes.</t>
        </is>
      </c>
      <c r="C39" t="inlineStr">
        <is>
          <t>Fournitures</t>
        </is>
      </c>
      <c r="D39" t="inlineStr">
        <is>
          <t>Appel d'offres ouvert</t>
        </is>
      </c>
      <c r="E39" t="inlineStr">
        <is>
          <t>T2</t>
        </is>
      </c>
      <c r="F39" t="inlineStr">
        <is>
          <t>Rabat - Casablanca - Témara</t>
        </is>
      </c>
      <c r="G39" t="inlineStr">
        <is>
          <t>Non</t>
        </is>
      </c>
      <c r="H39" s="2" t="n">
        <v>8000000</v>
      </c>
    </row>
    <row r="40">
      <c r="A40" t="inlineStr">
        <is>
          <t>Direction de la Télédiffusion</t>
        </is>
      </c>
      <c r="B40" t="inlineStr">
        <is>
          <t>Formation dans les réseaux informatiques et réseaux de transmission.</t>
        </is>
      </c>
      <c r="C40" t="inlineStr">
        <is>
          <t>Services</t>
        </is>
      </c>
      <c r="D40" t="inlineStr">
        <is>
          <t>Appel d'offres ouvert</t>
        </is>
      </c>
      <c r="E40" t="inlineStr">
        <is>
          <t>T4</t>
        </is>
      </c>
      <c r="F40" t="inlineStr">
        <is>
          <t>Rabat</t>
        </is>
      </c>
      <c r="G40" t="inlineStr">
        <is>
          <t>Non</t>
        </is>
      </c>
      <c r="H40" s="2" t="n">
        <v>500000</v>
      </c>
    </row>
    <row r="41">
      <c r="A41" t="inlineStr">
        <is>
          <t>Direction de la Télédiffusion</t>
        </is>
      </c>
      <c r="B41" t="inlineStr">
        <is>
          <t>Entretien, réparation et maintenance des équipements de transmission.</t>
        </is>
      </c>
      <c r="C41" t="inlineStr">
        <is>
          <t>Services</t>
        </is>
      </c>
      <c r="D41" t="inlineStr">
        <is>
          <t>Appel d'offres ouvert</t>
        </is>
      </c>
      <c r="E41" t="inlineStr">
        <is>
          <t>T2</t>
        </is>
      </c>
      <c r="F41" t="inlineStr">
        <is>
          <t>Sites de Transmission</t>
        </is>
      </c>
      <c r="G41" t="inlineStr">
        <is>
          <t>Non</t>
        </is>
      </c>
      <c r="H41" s="2" t="n">
        <v>934000</v>
      </c>
    </row>
    <row r="42">
      <c r="A42" t="inlineStr">
        <is>
          <t>Direction Financière</t>
        </is>
      </c>
      <c r="B42" t="inlineStr">
        <is>
          <t>Commissarit aux apports - Expertise d'évaluation du foncier transféré par l'Etat à la SNRT</t>
        </is>
      </c>
      <c r="C42" t="inlineStr">
        <is>
          <t>Services</t>
        </is>
      </c>
      <c r="D42" t="inlineStr">
        <is>
          <t>Appel d'offres ouvert</t>
        </is>
      </c>
      <c r="E42" t="inlineStr">
        <is>
          <t>T2</t>
        </is>
      </c>
      <c r="F42" t="inlineStr">
        <is>
          <t>Siège SNRT</t>
        </is>
      </c>
      <c r="G42" t="inlineStr">
        <is>
          <t>Non</t>
        </is>
      </c>
      <c r="H42" s="2" t="n">
        <v>360000</v>
      </c>
    </row>
    <row r="43">
      <c r="A43" t="inlineStr">
        <is>
          <t>Direction Financière</t>
        </is>
      </c>
      <c r="B43" t="inlineStr">
        <is>
          <t>Audit fiscal de la SNRT au titre des exercices non prescrits (2022 - 2025)</t>
        </is>
      </c>
      <c r="C43" t="inlineStr">
        <is>
          <t>Services</t>
        </is>
      </c>
      <c r="D43" t="inlineStr">
        <is>
          <t>Appel d'offres ouvert</t>
        </is>
      </c>
      <c r="E43" t="inlineStr">
        <is>
          <t>T2</t>
        </is>
      </c>
      <c r="F43" t="inlineStr">
        <is>
          <t>Siège SNRT</t>
        </is>
      </c>
      <c r="G43" t="inlineStr">
        <is>
          <t>Non</t>
        </is>
      </c>
      <c r="H43" s="2" t="n">
        <v>600000</v>
      </c>
    </row>
    <row r="44">
      <c r="A44" t="inlineStr">
        <is>
          <t>Direction Financière</t>
        </is>
      </c>
      <c r="B44" t="inlineStr">
        <is>
          <t>Accompagnement du Groupe SNRT dans la production des comptes en IFRS (trois prix distincts : la production des comptes individuels de la SNRT, la production des comptes individuels des filiales, la production des comptes consolidés du groupe)</t>
        </is>
      </c>
      <c r="C44" t="inlineStr">
        <is>
          <t>Services</t>
        </is>
      </c>
      <c r="D44" t="inlineStr">
        <is>
          <t>Appel d'offres ouvert</t>
        </is>
      </c>
      <c r="E44" t="inlineStr">
        <is>
          <t>T2</t>
        </is>
      </c>
      <c r="F44" t="inlineStr">
        <is>
          <t>SNRT et Filiales</t>
        </is>
      </c>
      <c r="G44" t="inlineStr">
        <is>
          <t>Non</t>
        </is>
      </c>
      <c r="H44" s="2" t="n">
        <v>2600000</v>
      </c>
    </row>
    <row r="45">
      <c r="A45" t="inlineStr">
        <is>
          <t>Direction Centrale Marketing et Programmation TV</t>
        </is>
      </c>
      <c r="B45" t="inlineStr">
        <is>
          <t>Réalisation d'études qualitatives et quantitatives marketing pour la SNRT</t>
        </is>
      </c>
      <c r="C45" t="inlineStr">
        <is>
          <t>Services</t>
        </is>
      </c>
      <c r="D45" t="inlineStr">
        <is>
          <t>Appel d'offres ouvert</t>
        </is>
      </c>
      <c r="E45" t="inlineStr">
        <is>
          <t>T4</t>
        </is>
      </c>
      <c r="F45" t="inlineStr">
        <is>
          <t>Royaume du Maroc</t>
        </is>
      </c>
      <c r="G45" t="inlineStr">
        <is>
          <t>Non</t>
        </is>
      </c>
      <c r="H45" s="2" t="n">
        <v>800000</v>
      </c>
    </row>
    <row r="46">
      <c r="A46" t="inlineStr">
        <is>
          <t>Direction Centrale Marketing et Programmation TV</t>
        </is>
      </c>
      <c r="B46" t="inlineStr">
        <is>
          <t>Maintenance du portail de la SNRT</t>
        </is>
      </c>
      <c r="C46" t="inlineStr">
        <is>
          <t>Services</t>
        </is>
      </c>
      <c r="D46" t="inlineStr">
        <is>
          <t>Appel d'offres ouvert</t>
        </is>
      </c>
      <c r="E46" t="inlineStr">
        <is>
          <t>T2</t>
        </is>
      </c>
      <c r="F46" t="inlineStr">
        <is>
          <t>Rabat</t>
        </is>
      </c>
      <c r="G46" t="inlineStr">
        <is>
          <t>Non</t>
        </is>
      </c>
      <c r="H46" s="2" t="n">
        <v>730000</v>
      </c>
    </row>
    <row r="47">
      <c r="A47" t="inlineStr">
        <is>
          <t>Direction Centrale Marketing et Programmation TV</t>
        </is>
      </c>
      <c r="B47" t="inlineStr">
        <is>
          <t>Production de flags et bonnettes pour les micros des chaînes TV et radios de la SNRT</t>
        </is>
      </c>
      <c r="C47" t="inlineStr">
        <is>
          <t>Fournitures</t>
        </is>
      </c>
      <c r="D47" t="inlineStr">
        <is>
          <t>Appel d'offres ouvert</t>
        </is>
      </c>
      <c r="E47" t="inlineStr">
        <is>
          <t>T2</t>
        </is>
      </c>
      <c r="F47" t="inlineStr">
        <is>
          <t>Rabat</t>
        </is>
      </c>
      <c r="G47" t="inlineStr">
        <is>
          <t>Non</t>
        </is>
      </c>
      <c r="H47" s="2" t="n">
        <v>500000</v>
      </c>
    </row>
    <row r="48">
      <c r="A48" t="inlineStr">
        <is>
          <t>Direction Centrale Marketing et Programmation TV</t>
        </is>
      </c>
      <c r="B48" t="inlineStr">
        <is>
          <t>Stratégie Marketing, conseil en communication, exécution et production des campagnes</t>
        </is>
      </c>
      <c r="C48" t="inlineStr">
        <is>
          <t>Services</t>
        </is>
      </c>
      <c r="D48" t="inlineStr">
        <is>
          <t>Appel d'offres ouvert</t>
        </is>
      </c>
      <c r="E48" t="inlineStr">
        <is>
          <t>T4</t>
        </is>
      </c>
      <c r="F48" t="inlineStr">
        <is>
          <t>Rabat</t>
        </is>
      </c>
      <c r="G48" t="inlineStr">
        <is>
          <t>Non</t>
        </is>
      </c>
      <c r="H48" s="2" t="n">
        <v>4000000</v>
      </c>
    </row>
    <row r="49">
      <c r="A49" t="inlineStr">
        <is>
          <t>Direction Centrale Marketing et Programmation TV</t>
        </is>
      </c>
      <c r="B49" t="inlineStr">
        <is>
          <t>Location de supports d'affichage urbain 4x3 pour la promotion des produits et services de la SNRT</t>
        </is>
      </c>
      <c r="C49" t="inlineStr">
        <is>
          <t>Services</t>
        </is>
      </c>
      <c r="D49" t="inlineStr">
        <is>
          <t>Appel d'offres ouvert</t>
        </is>
      </c>
      <c r="E49" t="inlineStr">
        <is>
          <t>T2</t>
        </is>
      </c>
      <c r="F49" t="inlineStr">
        <is>
          <t>Rabat</t>
        </is>
      </c>
      <c r="G49" t="inlineStr">
        <is>
          <t>Non</t>
        </is>
      </c>
      <c r="H49" s="2" t="n">
        <v>11700000</v>
      </c>
    </row>
    <row r="50">
      <c r="A50" t="inlineStr">
        <is>
          <t>Direction Centrale Marketing et Programmation TV</t>
        </is>
      </c>
      <c r="B50" t="inlineStr">
        <is>
          <t>Production de spots / films publicitaires pour la promotion des produits et services de la SNRT</t>
        </is>
      </c>
      <c r="C50" t="inlineStr">
        <is>
          <t>Services</t>
        </is>
      </c>
      <c r="D50" t="inlineStr">
        <is>
          <t>Appel d'offres ouvert</t>
        </is>
      </c>
      <c r="E50" t="inlineStr">
        <is>
          <t>T2</t>
        </is>
      </c>
      <c r="F50" t="inlineStr">
        <is>
          <t>Royaume du Maroc</t>
        </is>
      </c>
      <c r="G50" t="inlineStr">
        <is>
          <t>Non</t>
        </is>
      </c>
      <c r="H50" s="2" t="n">
        <v>2750000</v>
      </c>
    </row>
    <row r="51">
      <c r="A51" t="inlineStr">
        <is>
          <t>Direction Centrale Marketing et Programmation TV</t>
        </is>
      </c>
      <c r="B51" t="inlineStr">
        <is>
          <t>Décor JT Al Aoula , Laayoune, Tamazight Habillage chaînes SNRT</t>
        </is>
      </c>
      <c r="C51" t="inlineStr">
        <is>
          <t>Fournitures</t>
        </is>
      </c>
      <c r="D51" t="inlineStr">
        <is>
          <t>Appel d'offres ouvert</t>
        </is>
      </c>
      <c r="E51" t="inlineStr">
        <is>
          <t>T2</t>
        </is>
      </c>
      <c r="F51" t="inlineStr">
        <is>
          <t>Rabat et Laayoune</t>
        </is>
      </c>
      <c r="G51" t="inlineStr">
        <is>
          <t>Non</t>
        </is>
      </c>
      <c r="H51" s="2" t="n">
        <v>5500000</v>
      </c>
    </row>
    <row r="52">
      <c r="A52" t="inlineStr">
        <is>
          <t>Direction Centrale Marketing et Programmation TV</t>
        </is>
      </c>
      <c r="B52" t="inlineStr">
        <is>
          <t>Décors virtuels des chaînes de la SNRT</t>
        </is>
      </c>
      <c r="C52" t="inlineStr">
        <is>
          <t>Services</t>
        </is>
      </c>
      <c r="D52" t="inlineStr">
        <is>
          <t>Appel d'offres ouvert</t>
        </is>
      </c>
      <c r="E52" t="inlineStr">
        <is>
          <t>T2</t>
        </is>
      </c>
      <c r="F52" t="inlineStr">
        <is>
          <t>Rabat/Casablanca</t>
        </is>
      </c>
      <c r="G52" t="inlineStr">
        <is>
          <t>Non</t>
        </is>
      </c>
      <c r="H52" s="2" t="n">
        <v>2000000</v>
      </c>
    </row>
    <row r="53">
      <c r="A53" t="inlineStr">
        <is>
          <t>Direction du Patrimoine et Moyens Généraux</t>
        </is>
      </c>
      <c r="B53" t="inlineStr">
        <is>
          <t>Acquisition et installation des caméras dans les locaux de la SNRT y compris serveurs et baie de stockage</t>
        </is>
      </c>
      <c r="C53" t="inlineStr">
        <is>
          <t>Fournitures</t>
        </is>
      </c>
      <c r="D53" t="inlineStr">
        <is>
          <t>Appel d'offres ouvert</t>
        </is>
      </c>
      <c r="E53" t="inlineStr">
        <is>
          <t>T1-T2</t>
        </is>
      </c>
      <c r="F53" t="inlineStr">
        <is>
          <t>Annexes SNRT</t>
        </is>
      </c>
      <c r="G53" t="inlineStr">
        <is>
          <t>Oui</t>
        </is>
      </c>
      <c r="H53" s="2" t="n">
        <v>6838480</v>
      </c>
    </row>
    <row r="54">
      <c r="A54" t="inlineStr">
        <is>
          <t>Direction du Patrimoine et Moyens Généraux</t>
        </is>
      </c>
      <c r="B54" t="inlineStr">
        <is>
          <t>Travaux d'aménagement des locaux d'archive TV de la SNRT à Témara.</t>
        </is>
      </c>
      <c r="C54" t="inlineStr">
        <is>
          <t>Travaux</t>
        </is>
      </c>
      <c r="D54" t="inlineStr">
        <is>
          <t>Appel d'offres ouvert</t>
        </is>
      </c>
      <c r="E54" t="inlineStr">
        <is>
          <t>T2</t>
        </is>
      </c>
      <c r="F54" t="inlineStr">
        <is>
          <t>Rabat</t>
        </is>
      </c>
      <c r="G54" t="inlineStr">
        <is>
          <t>Oui</t>
        </is>
      </c>
      <c r="H54" s="2" t="n">
        <v>600000</v>
      </c>
    </row>
    <row r="55">
      <c r="A55" t="inlineStr">
        <is>
          <t>Direction du Patrimoine et Moyens Généraux</t>
        </is>
      </c>
      <c r="B55" t="inlineStr">
        <is>
          <t>Travaux d'aménagement des locaux de la SNRT à Rabat.</t>
        </is>
      </c>
      <c r="C55" t="inlineStr">
        <is>
          <t>Travaux</t>
        </is>
      </c>
      <c r="D55" t="inlineStr">
        <is>
          <t>Appel d'offres ouvert</t>
        </is>
      </c>
      <c r="E55" t="inlineStr">
        <is>
          <t>T3</t>
        </is>
      </c>
      <c r="F55" t="inlineStr">
        <is>
          <t>Rabat</t>
        </is>
      </c>
      <c r="G55" t="inlineStr">
        <is>
          <t>Oui</t>
        </is>
      </c>
      <c r="H55" s="2" t="n">
        <v>3000000</v>
      </c>
    </row>
    <row r="56">
      <c r="A56" t="inlineStr">
        <is>
          <t>Direction du Patrimoine et Moyens Généraux</t>
        </is>
      </c>
      <c r="B56" t="inlineStr">
        <is>
          <t>Travaux d'aménagement de la station régionale Radio de Marrakech</t>
        </is>
      </c>
      <c r="C56" t="inlineStr">
        <is>
          <t>Travaux</t>
        </is>
      </c>
      <c r="D56" t="inlineStr">
        <is>
          <t>Appel d'offres ouvert</t>
        </is>
      </c>
      <c r="E56" t="inlineStr">
        <is>
          <t>T2</t>
        </is>
      </c>
      <c r="F56" t="inlineStr">
        <is>
          <t>Marrakech</t>
        </is>
      </c>
      <c r="G56" t="inlineStr">
        <is>
          <t>Oui</t>
        </is>
      </c>
      <c r="H56" s="2" t="n">
        <v>1400000</v>
      </c>
    </row>
    <row r="57">
      <c r="A57" t="inlineStr">
        <is>
          <t>Direction du Patrimoine et Moyens Généraux</t>
        </is>
      </c>
      <c r="B57" t="inlineStr">
        <is>
          <t>Travaux d'aménagement de la station régionale Radio d'AL Houceima</t>
        </is>
      </c>
      <c r="C57" t="inlineStr">
        <is>
          <t>Travaux</t>
        </is>
      </c>
      <c r="D57" t="inlineStr">
        <is>
          <t>Appel d'offres ouvert</t>
        </is>
      </c>
      <c r="E57" t="inlineStr">
        <is>
          <t>T3</t>
        </is>
      </c>
      <c r="F57" t="inlineStr">
        <is>
          <t>Al Houceima</t>
        </is>
      </c>
      <c r="G57" t="inlineStr">
        <is>
          <t>Oui</t>
        </is>
      </c>
      <c r="H57" s="2" t="n">
        <v>800000</v>
      </c>
    </row>
    <row r="58">
      <c r="A58" t="inlineStr">
        <is>
          <t>Direction du Patrimoine et Moyens Généraux</t>
        </is>
      </c>
      <c r="B58" t="inlineStr">
        <is>
          <t>Travaux d'aménagement de la station régionale Radio de Tetouane,</t>
        </is>
      </c>
      <c r="C58" t="inlineStr">
        <is>
          <t>Travaux</t>
        </is>
      </c>
      <c r="D58" t="inlineStr">
        <is>
          <t>Appel d'offres ouvert</t>
        </is>
      </c>
      <c r="E58" t="inlineStr">
        <is>
          <t>T2</t>
        </is>
      </c>
      <c r="F58" t="inlineStr">
        <is>
          <t>Al Houceima</t>
        </is>
      </c>
      <c r="G58" t="inlineStr">
        <is>
          <t>Oui</t>
        </is>
      </c>
      <c r="H58" s="2" t="n">
        <v>1000000</v>
      </c>
    </row>
    <row r="59">
      <c r="A59" t="inlineStr">
        <is>
          <t>Direction du Patrimoine et Moyens Généraux</t>
        </is>
      </c>
      <c r="B59" t="inlineStr">
        <is>
          <t>Travaux d'installation électrique au bâtiment administratif de la SNRT à Rabat</t>
        </is>
      </c>
      <c r="C59" t="inlineStr">
        <is>
          <t>Travaux</t>
        </is>
      </c>
      <c r="D59" t="inlineStr">
        <is>
          <t>Appel d'offres ouvert</t>
        </is>
      </c>
      <c r="E59" t="inlineStr">
        <is>
          <t>T2</t>
        </is>
      </c>
      <c r="F59" t="inlineStr">
        <is>
          <t>Rabat</t>
        </is>
      </c>
      <c r="G59" t="inlineStr">
        <is>
          <t>Non</t>
        </is>
      </c>
      <c r="H59" s="2" t="n">
        <v>450000</v>
      </c>
    </row>
    <row r="60">
      <c r="A60" t="inlineStr">
        <is>
          <t>Direction du Patrimoine et Moyens Généraux</t>
        </is>
      </c>
      <c r="B60" t="inlineStr">
        <is>
          <t>Travaux de plomberie au niveau des locaux de la SNRT Rabat</t>
        </is>
      </c>
      <c r="C60" t="inlineStr">
        <is>
          <t>Travaux</t>
        </is>
      </c>
      <c r="D60" t="inlineStr">
        <is>
          <t>Appel d'offres ouvert</t>
        </is>
      </c>
      <c r="E60" t="inlineStr">
        <is>
          <t>T3</t>
        </is>
      </c>
      <c r="F60" t="inlineStr">
        <is>
          <t>Rabat</t>
        </is>
      </c>
      <c r="G60" t="inlineStr">
        <is>
          <t>Oui</t>
        </is>
      </c>
      <c r="H60" s="2" t="n">
        <v>600000</v>
      </c>
    </row>
    <row r="61">
      <c r="A61" t="inlineStr">
        <is>
          <t>Direction du Patrimoine et Moyens Généraux</t>
        </is>
      </c>
      <c r="B61" t="inlineStr">
        <is>
          <t>Peinture extérieure pour les façades des bâtiments de la SNRT à Rabat.</t>
        </is>
      </c>
      <c r="C61" t="inlineStr">
        <is>
          <t>Travaux</t>
        </is>
      </c>
      <c r="D61" t="inlineStr">
        <is>
          <t>Appel d'offres ouvert</t>
        </is>
      </c>
      <c r="E61" t="inlineStr">
        <is>
          <t>T2</t>
        </is>
      </c>
      <c r="F61" t="inlineStr">
        <is>
          <t>Rabat</t>
        </is>
      </c>
      <c r="G61" t="inlineStr">
        <is>
          <t>Oui</t>
        </is>
      </c>
      <c r="H61" s="2" t="n">
        <v>650000</v>
      </c>
    </row>
    <row r="62">
      <c r="A62" t="inlineStr">
        <is>
          <t>Direction du Patrimoine et Moyens Généraux</t>
        </is>
      </c>
      <c r="B62" t="inlineStr">
        <is>
          <t>Aménagement des locaux Techniques (salles machines) des stations régionales radio de la SNRT.</t>
        </is>
      </c>
      <c r="C62" t="inlineStr">
        <is>
          <t>Travaux</t>
        </is>
      </c>
      <c r="D62" t="inlineStr">
        <is>
          <t>Appel d'offres ouvert</t>
        </is>
      </c>
      <c r="E62" t="inlineStr">
        <is>
          <t>T2</t>
        </is>
      </c>
      <c r="F62" t="inlineStr">
        <is>
          <t>Stations régionales Radio</t>
        </is>
      </c>
      <c r="G62" t="inlineStr">
        <is>
          <t>Non</t>
        </is>
      </c>
      <c r="H62" s="2" t="n">
        <v>1000000</v>
      </c>
    </row>
    <row r="63">
      <c r="A63" t="inlineStr">
        <is>
          <t>Direction du Patrimoine et Moyens Généraux</t>
        </is>
      </c>
      <c r="B63" t="inlineStr">
        <is>
          <t>Acquisition et installation de climatiseurs au niveau des locaux techniques des stations regionales radio.</t>
        </is>
      </c>
      <c r="C63" t="inlineStr">
        <is>
          <t>Travaux</t>
        </is>
      </c>
      <c r="D63" t="inlineStr">
        <is>
          <t>Appel d'offres ouvert</t>
        </is>
      </c>
      <c r="E63" t="inlineStr">
        <is>
          <t>T2</t>
        </is>
      </c>
      <c r="F63" t="inlineStr">
        <is>
          <t>Stations régionales Radio</t>
        </is>
      </c>
      <c r="G63" t="inlineStr">
        <is>
          <t>Non</t>
        </is>
      </c>
      <c r="H63" s="2" t="n">
        <v>2420000</v>
      </c>
    </row>
    <row r="64">
      <c r="A64" t="inlineStr">
        <is>
          <t>Direction du Patrimoine et Moyens Généraux</t>
        </is>
      </c>
      <c r="B64" t="inlineStr">
        <is>
          <t>Etanchéité des terrasses des locaux de la SNRT à Rabat et Casablanca.</t>
        </is>
      </c>
      <c r="C64" t="inlineStr">
        <is>
          <t>Travaux</t>
        </is>
      </c>
      <c r="D64" t="inlineStr">
        <is>
          <t>Appel d'offres ouvert</t>
        </is>
      </c>
      <c r="E64" t="inlineStr">
        <is>
          <t>T2</t>
        </is>
      </c>
      <c r="F64" t="inlineStr">
        <is>
          <t>Rabat et Casablanca</t>
        </is>
      </c>
      <c r="G64" t="inlineStr">
        <is>
          <t>Oui</t>
        </is>
      </c>
      <c r="H64" s="2" t="n">
        <v>400000</v>
      </c>
    </row>
    <row r="65">
      <c r="A65" t="inlineStr">
        <is>
          <t>Direction du Patrimoine et Moyens Généraux</t>
        </is>
      </c>
      <c r="B65" t="inlineStr">
        <is>
          <t>Aménagement du studio virtuel de la station TV Laayoune.</t>
        </is>
      </c>
      <c r="C65" t="inlineStr">
        <is>
          <t>Travaux</t>
        </is>
      </c>
      <c r="D65" t="inlineStr">
        <is>
          <t>Appel d'offres ouvert</t>
        </is>
      </c>
      <c r="E65" t="inlineStr">
        <is>
          <t>T3</t>
        </is>
      </c>
      <c r="F65" t="inlineStr">
        <is>
          <t>Laayoune</t>
        </is>
      </c>
      <c r="G65" t="inlineStr">
        <is>
          <t>Non</t>
        </is>
      </c>
      <c r="H65" s="2" t="n">
        <v>1000000</v>
      </c>
    </row>
    <row r="66">
      <c r="A66" t="inlineStr">
        <is>
          <t>Direction du Patrimoine et Moyens Généraux</t>
        </is>
      </c>
      <c r="B66" t="inlineStr">
        <is>
          <t>Prestations de désherbage.</t>
        </is>
      </c>
      <c r="C66" t="inlineStr">
        <is>
          <t>Services</t>
        </is>
      </c>
      <c r="D66" t="inlineStr">
        <is>
          <t>Appel d'offres ouvert</t>
        </is>
      </c>
      <c r="E66" t="inlineStr">
        <is>
          <t>T1</t>
        </is>
      </c>
      <c r="F66" t="inlineStr">
        <is>
          <t>Rabat Temara casablanca</t>
        </is>
      </c>
      <c r="G66" t="inlineStr">
        <is>
          <t>Oui</t>
        </is>
      </c>
      <c r="H66" s="2" t="n">
        <v>400000</v>
      </c>
    </row>
    <row r="67">
      <c r="A67" t="inlineStr">
        <is>
          <t>Direction du Patrimoine et Moyens Généraux</t>
        </is>
      </c>
      <c r="B67" t="inlineStr">
        <is>
          <t>Maintenance des ascenseurs.</t>
        </is>
      </c>
      <c r="C67" t="inlineStr">
        <is>
          <t>Services</t>
        </is>
      </c>
      <c r="D67" t="inlineStr">
        <is>
          <t>Appel d'offres ouvert</t>
        </is>
      </c>
      <c r="E67" t="inlineStr">
        <is>
          <t>T4</t>
        </is>
      </c>
      <c r="F67" t="inlineStr">
        <is>
          <t>Rabat- Casablanca</t>
        </is>
      </c>
      <c r="G67" t="inlineStr">
        <is>
          <t>Non</t>
        </is>
      </c>
      <c r="H67" s="2" t="n">
        <v>200000</v>
      </c>
    </row>
    <row r="68">
      <c r="A68" t="inlineStr">
        <is>
          <t>Direction du Patrimoine et Moyens Généraux</t>
        </is>
      </c>
      <c r="B68" t="inlineStr">
        <is>
          <t>Maintenance des extincteurs.</t>
        </is>
      </c>
      <c r="C68" t="inlineStr">
        <is>
          <t>Services</t>
        </is>
      </c>
      <c r="D68" t="inlineStr">
        <is>
          <t>Appel d'offres ouvert</t>
        </is>
      </c>
      <c r="E68" t="inlineStr">
        <is>
          <t>T4</t>
        </is>
      </c>
      <c r="F68" t="inlineStr">
        <is>
          <t>Anexes SNRT</t>
        </is>
      </c>
      <c r="G68" t="inlineStr">
        <is>
          <t>Oui</t>
        </is>
      </c>
      <c r="H68" s="2" t="n">
        <v>150000</v>
      </c>
    </row>
    <row r="69">
      <c r="A69" t="inlineStr">
        <is>
          <t>Direction du Patrimoine et Moyens Généraux</t>
        </is>
      </c>
      <c r="B69" t="inlineStr">
        <is>
          <t>Maintenance des onduleurs.</t>
        </is>
      </c>
      <c r="C69" t="inlineStr">
        <is>
          <t>Services</t>
        </is>
      </c>
      <c r="D69" t="inlineStr">
        <is>
          <t>Appel d'offres ouvert</t>
        </is>
      </c>
      <c r="E69" t="inlineStr">
        <is>
          <t>T2</t>
        </is>
      </c>
      <c r="F69" t="inlineStr">
        <is>
          <t>Rabat et Casablanca</t>
        </is>
      </c>
      <c r="G69" t="inlineStr">
        <is>
          <t>Non</t>
        </is>
      </c>
      <c r="H69" s="2" t="n">
        <v>600000</v>
      </c>
    </row>
    <row r="70">
      <c r="A70" t="inlineStr">
        <is>
          <t>Direction du Patrimoine et Moyens Généraux</t>
        </is>
      </c>
      <c r="B70" t="inlineStr">
        <is>
          <t>Maintenance des installations de détection et d'extinction automatique d'incendie .</t>
        </is>
      </c>
      <c r="C70" t="inlineStr">
        <is>
          <t>Services</t>
        </is>
      </c>
      <c r="D70" t="inlineStr">
        <is>
          <t>Appel d'offres ouvert</t>
        </is>
      </c>
      <c r="E70" t="inlineStr">
        <is>
          <t>T2</t>
        </is>
      </c>
      <c r="F70" t="inlineStr">
        <is>
          <t>Rabat et Casablanca</t>
        </is>
      </c>
      <c r="G70" t="inlineStr">
        <is>
          <t>Oui</t>
        </is>
      </c>
      <c r="H70" s="2" t="n">
        <v>650000</v>
      </c>
    </row>
    <row r="71">
      <c r="A71" t="inlineStr">
        <is>
          <t>Direction du Patrimoine et Moyens Généraux</t>
        </is>
      </c>
      <c r="B71" t="inlineStr">
        <is>
          <t>Maintenance des installations de climatisation: Rabat Casablanca</t>
        </is>
      </c>
      <c r="C71" t="inlineStr">
        <is>
          <t>Services</t>
        </is>
      </c>
      <c r="D71" t="inlineStr">
        <is>
          <t>Appel d'offres ouvert</t>
        </is>
      </c>
      <c r="E71" t="inlineStr">
        <is>
          <t>T2</t>
        </is>
      </c>
      <c r="F71" t="inlineStr">
        <is>
          <t>Anexes SNRT</t>
        </is>
      </c>
      <c r="G71" t="inlineStr">
        <is>
          <t>Non</t>
        </is>
      </c>
      <c r="H71" s="2" t="n">
        <v>590000</v>
      </c>
    </row>
    <row r="72">
      <c r="A72" t="inlineStr">
        <is>
          <t>Direction du Patrimoine et Moyens Généraux</t>
        </is>
      </c>
      <c r="B72" t="inlineStr">
        <is>
          <t>Mise à jour de la solution de pointage et de contrôle d'accès</t>
        </is>
      </c>
      <c r="C72" t="inlineStr">
        <is>
          <t>Services</t>
        </is>
      </c>
      <c r="D72" t="inlineStr">
        <is>
          <t>Appel d'offres ouvert</t>
        </is>
      </c>
      <c r="E72" t="inlineStr">
        <is>
          <t>T3</t>
        </is>
      </c>
      <c r="F72" t="inlineStr">
        <is>
          <t>Rabat, Casablanca et Laayoune</t>
        </is>
      </c>
      <c r="G72" t="inlineStr">
        <is>
          <t>Non</t>
        </is>
      </c>
      <c r="H72" s="2" t="n">
        <v>500000</v>
      </c>
    </row>
    <row r="73">
      <c r="A73" t="inlineStr">
        <is>
          <t>Direction du Patrimoine et Moyens Généraux</t>
        </is>
      </c>
      <c r="B73" t="inlineStr">
        <is>
          <t>Fourniture Matériel Electrique Siége et Annexes</t>
        </is>
      </c>
      <c r="C73" t="inlineStr">
        <is>
          <t>Fournitures</t>
        </is>
      </c>
      <c r="D73" t="inlineStr">
        <is>
          <t>Appel d'offres ouvert</t>
        </is>
      </c>
      <c r="E73" t="inlineStr">
        <is>
          <t>T3</t>
        </is>
      </c>
      <c r="F73" t="inlineStr">
        <is>
          <t>Anexes SNRT</t>
        </is>
      </c>
      <c r="G73" t="inlineStr">
        <is>
          <t>Oui</t>
        </is>
      </c>
      <c r="H73" s="2" t="n">
        <v>200000</v>
      </c>
    </row>
    <row r="74">
      <c r="A74" t="inlineStr">
        <is>
          <t>Direction du Patrimoine et Moyens Généraux</t>
        </is>
      </c>
      <c r="B74" t="inlineStr">
        <is>
          <t>Installation extracteurs et détection incendie locaux Archives Finances et Achats</t>
        </is>
      </c>
      <c r="C74" t="inlineStr">
        <is>
          <t>Fournitures</t>
        </is>
      </c>
      <c r="D74" t="inlineStr">
        <is>
          <t>Appel d'offres ouvert</t>
        </is>
      </c>
      <c r="E74" t="inlineStr">
        <is>
          <t>T2</t>
        </is>
      </c>
      <c r="F74" t="inlineStr">
        <is>
          <t>Rabat</t>
        </is>
      </c>
      <c r="G74" t="inlineStr">
        <is>
          <t>Oui</t>
        </is>
      </c>
      <c r="H74" s="2" t="n">
        <v>800000</v>
      </c>
    </row>
    <row r="75">
      <c r="A75" t="inlineStr">
        <is>
          <t>Direction du Patrimoine et Moyens Généraux</t>
        </is>
      </c>
      <c r="B75" t="inlineStr">
        <is>
          <t>Acquisition de climatiseurs</t>
        </is>
      </c>
      <c r="C75" t="inlineStr">
        <is>
          <t>Fournitures</t>
        </is>
      </c>
      <c r="D75" t="inlineStr">
        <is>
          <t>Appel d'offres ouvert</t>
        </is>
      </c>
      <c r="E75" t="inlineStr">
        <is>
          <t>T3</t>
        </is>
      </c>
      <c r="F75" t="inlineStr">
        <is>
          <t>Anexes SNRT</t>
        </is>
      </c>
      <c r="G75" t="inlineStr">
        <is>
          <t>Oui</t>
        </is>
      </c>
      <c r="H75" s="2" t="n">
        <v>1500000</v>
      </c>
    </row>
    <row r="76">
      <c r="A76" t="inlineStr">
        <is>
          <t>Direction du Patrimoine et Moyens Généraux</t>
        </is>
      </c>
      <c r="B76" t="inlineStr">
        <is>
          <t>Travaux d'aménagement de la régie et du Studio N°5 de la Radio</t>
        </is>
      </c>
      <c r="C76" t="inlineStr">
        <is>
          <t>Travaux</t>
        </is>
      </c>
      <c r="D76" t="inlineStr">
        <is>
          <t>Appel d'offres ouvert</t>
        </is>
      </c>
      <c r="E76" t="inlineStr">
        <is>
          <t>T3</t>
        </is>
      </c>
      <c r="F76" t="inlineStr">
        <is>
          <t>Rabat</t>
        </is>
      </c>
      <c r="G76" t="inlineStr">
        <is>
          <t>Non</t>
        </is>
      </c>
      <c r="H76" s="2" t="n">
        <v>800000</v>
      </c>
    </row>
    <row r="77">
      <c r="A77" t="inlineStr">
        <is>
          <t>Direction du Patrimoine et Moyens Généraux</t>
        </is>
      </c>
      <c r="B77" t="inlineStr">
        <is>
          <t>Acquisition et travaux d'installation de deux ascenseurs aux bâtiments de la Radio SNRT-Rabat et de Radio-TV coranique Assadissa</t>
        </is>
      </c>
      <c r="C77" t="inlineStr">
        <is>
          <t>Travaux</t>
        </is>
      </c>
      <c r="D77" t="inlineStr">
        <is>
          <t>Appel d'offres ouvert</t>
        </is>
      </c>
      <c r="E77" t="inlineStr">
        <is>
          <t>T2</t>
        </is>
      </c>
      <c r="F77" t="inlineStr">
        <is>
          <t>Rabat</t>
        </is>
      </c>
      <c r="G77" t="inlineStr">
        <is>
          <t>Oui</t>
        </is>
      </c>
      <c r="H77" s="2" t="n">
        <v>1076000</v>
      </c>
    </row>
    <row r="78">
      <c r="A78" t="inlineStr">
        <is>
          <t>Direction du Patrimoine et Moyens Généraux</t>
        </is>
      </c>
      <c r="B78" t="inlineStr">
        <is>
          <t>la location de longue durée à la SNRT de véhicules neufs sans option d'achat ainsi que les prestations qui lui sont accessoires et complémentaire</t>
        </is>
      </c>
      <c r="C78" t="inlineStr">
        <is>
          <t>Services</t>
        </is>
      </c>
      <c r="D78" t="inlineStr">
        <is>
          <t>Appel d'offres ouvert</t>
        </is>
      </c>
      <c r="E78" t="inlineStr">
        <is>
          <t>T1</t>
        </is>
      </c>
      <c r="F78" t="inlineStr">
        <is>
          <t>Rabat</t>
        </is>
      </c>
      <c r="G78" t="inlineStr">
        <is>
          <t>Non</t>
        </is>
      </c>
      <c r="H78" s="2" t="n">
        <v>8234049.6</v>
      </c>
    </row>
    <row r="79">
      <c r="A79" t="inlineStr">
        <is>
          <t>Direction du Patrimoine et Moyens Généraux</t>
        </is>
      </c>
      <c r="B79" t="inlineStr">
        <is>
          <t>Acquisition de mobilier de bureau</t>
        </is>
      </c>
      <c r="C79" t="inlineStr">
        <is>
          <t>Fournitures</t>
        </is>
      </c>
      <c r="D79" t="inlineStr">
        <is>
          <t>Appel d'offres ouvert</t>
        </is>
      </c>
      <c r="E79" t="inlineStr">
        <is>
          <t>T2</t>
        </is>
      </c>
      <c r="F79" t="inlineStr">
        <is>
          <t>Rabat</t>
        </is>
      </c>
      <c r="G79" t="inlineStr">
        <is>
          <t>Non</t>
        </is>
      </c>
      <c r="H79" s="2" t="n">
        <v>2000000</v>
      </c>
    </row>
    <row r="80">
      <c r="A80" t="inlineStr">
        <is>
          <t>Direction du Patrimoine et Moyens Généraux</t>
        </is>
      </c>
      <c r="B80" t="inlineStr">
        <is>
          <t>Acquisition de Matériel de Bureau (photocopieurs, Fax, Destructeur Tonners et drums )</t>
        </is>
      </c>
      <c r="C80" t="inlineStr">
        <is>
          <t>Fournitures</t>
        </is>
      </c>
      <c r="D80" t="inlineStr">
        <is>
          <t>Appel d'offres ouvert</t>
        </is>
      </c>
      <c r="E80" t="inlineStr">
        <is>
          <t>T1-T4</t>
        </is>
      </c>
      <c r="F80" t="inlineStr">
        <is>
          <t>Rabat</t>
        </is>
      </c>
      <c r="G80" t="inlineStr">
        <is>
          <t>Oui</t>
        </is>
      </c>
      <c r="H80" s="2" t="n">
        <v>2028592</v>
      </c>
    </row>
    <row r="81">
      <c r="A81" t="inlineStr">
        <is>
          <t>Direction du Patrimoine et Moyens Généraux</t>
        </is>
      </c>
      <c r="B81" t="inlineStr">
        <is>
          <t>Achat Fournitures de Bureau</t>
        </is>
      </c>
      <c r="C81" t="inlineStr">
        <is>
          <t>Fournitures</t>
        </is>
      </c>
      <c r="D81" t="inlineStr">
        <is>
          <t>Appel d'offres ouvert</t>
        </is>
      </c>
      <c r="E81" t="inlineStr">
        <is>
          <t>T1</t>
        </is>
      </c>
      <c r="F81" t="inlineStr">
        <is>
          <t>Rabat</t>
        </is>
      </c>
      <c r="G81" t="inlineStr">
        <is>
          <t>Oui</t>
        </is>
      </c>
      <c r="H81" s="2" t="n">
        <v>300000</v>
      </c>
    </row>
    <row r="82">
      <c r="A82" t="inlineStr">
        <is>
          <t>Direction du Patrimoine et Moyens Généraux</t>
        </is>
      </c>
      <c r="B82" t="inlineStr">
        <is>
          <t>Achat Papier Fort A4</t>
        </is>
      </c>
      <c r="C82" t="inlineStr">
        <is>
          <t>Fournitures</t>
        </is>
      </c>
      <c r="D82" t="inlineStr">
        <is>
          <t>Appel d'offres ouvert</t>
        </is>
      </c>
      <c r="E82" t="inlineStr">
        <is>
          <t>T1</t>
        </is>
      </c>
      <c r="F82" t="inlineStr">
        <is>
          <t>Rabat</t>
        </is>
      </c>
      <c r="G82" t="inlineStr">
        <is>
          <t>Oui</t>
        </is>
      </c>
      <c r="H82" s="2" t="n">
        <v>3000000</v>
      </c>
    </row>
    <row r="83">
      <c r="A83" t="inlineStr">
        <is>
          <t>Direction du Patrimoine et Moyens Généraux</t>
        </is>
      </c>
      <c r="B83" t="inlineStr">
        <is>
          <t>Inventaire physique et fiabilisation du fichier comptable des immobilisations de la SNRT,</t>
        </is>
      </c>
      <c r="C83" t="inlineStr">
        <is>
          <t>Services</t>
        </is>
      </c>
      <c r="D83" t="inlineStr">
        <is>
          <t>Appel d'offres ouvert</t>
        </is>
      </c>
      <c r="E83" t="inlineStr">
        <is>
          <t>T2</t>
        </is>
      </c>
      <c r="F83" t="inlineStr">
        <is>
          <t>Sites de la SNRT</t>
        </is>
      </c>
      <c r="G83" t="inlineStr">
        <is>
          <t>Non</t>
        </is>
      </c>
      <c r="H83" s="2" t="n">
        <v>3000000</v>
      </c>
    </row>
    <row r="84">
      <c r="A84" t="inlineStr">
        <is>
          <t>Direction du Patrimoine et Moyens Généraux</t>
        </is>
      </c>
      <c r="B84" t="inlineStr">
        <is>
          <t>Extension de l'abri des cars régies à Témara</t>
        </is>
      </c>
      <c r="C84" t="inlineStr">
        <is>
          <t>Travaux</t>
        </is>
      </c>
      <c r="D84" t="inlineStr">
        <is>
          <t>Appel d'offres ouvert</t>
        </is>
      </c>
      <c r="E84" t="inlineStr">
        <is>
          <t>T2</t>
        </is>
      </c>
      <c r="F84" t="inlineStr">
        <is>
          <t>Témara</t>
        </is>
      </c>
      <c r="G84" t="inlineStr">
        <is>
          <t>Oui</t>
        </is>
      </c>
      <c r="H84" s="2" t="n">
        <v>7792000</v>
      </c>
    </row>
    <row r="85">
      <c r="A85" t="inlineStr">
        <is>
          <t>Direction du Patrimoine et Moyens Généraux</t>
        </is>
      </c>
      <c r="B85" t="inlineStr">
        <is>
          <t>Travaux de démolition et de reconstruction d'un mur de cloture de la station Régionale Radio à Oujda</t>
        </is>
      </c>
      <c r="C85" t="inlineStr">
        <is>
          <t>Travaux</t>
        </is>
      </c>
      <c r="D85" t="inlineStr">
        <is>
          <t>Appel d'offres ouvert</t>
        </is>
      </c>
      <c r="E85" t="inlineStr">
        <is>
          <t>T1</t>
        </is>
      </c>
      <c r="F85" t="inlineStr">
        <is>
          <t>Oujda</t>
        </is>
      </c>
      <c r="G85" t="inlineStr">
        <is>
          <t>Oui</t>
        </is>
      </c>
      <c r="H85" s="2" t="n">
        <v>1050000</v>
      </c>
    </row>
    <row r="86">
      <c r="A86" t="inlineStr">
        <is>
          <t>Direction du Patrimoine et Moyens Généraux</t>
        </is>
      </c>
      <c r="B86" t="inlineStr">
        <is>
          <t>Travaux d'aménagement et d'agencement de la régie publicitaire et des solutions digitales</t>
        </is>
      </c>
      <c r="C86" t="inlineStr">
        <is>
          <t>Travaux</t>
        </is>
      </c>
      <c r="D86" t="inlineStr">
        <is>
          <t>Appel d'offres ouvert</t>
        </is>
      </c>
      <c r="E86" t="inlineStr">
        <is>
          <t>T2</t>
        </is>
      </c>
      <c r="F86" t="inlineStr">
        <is>
          <t>Casablanca</t>
        </is>
      </c>
      <c r="G86" t="inlineStr">
        <is>
          <t>Oui</t>
        </is>
      </c>
      <c r="H86" s="2" t="n">
        <v>2551240.8</v>
      </c>
    </row>
    <row r="87">
      <c r="A87" t="inlineStr">
        <is>
          <t>Direction du Patrimoine et Moyens Généraux</t>
        </is>
      </c>
      <c r="B87" t="inlineStr">
        <is>
          <t>Travaux d'aménagement des locaux techniques à Rabat Aménagement et Agencement</t>
        </is>
      </c>
      <c r="C87" t="inlineStr">
        <is>
          <t>Travaux</t>
        </is>
      </c>
      <c r="D87" t="inlineStr">
        <is>
          <t>Appel d'offres ouvert</t>
        </is>
      </c>
      <c r="E87" t="inlineStr">
        <is>
          <t>T2</t>
        </is>
      </c>
      <c r="F87" t="inlineStr">
        <is>
          <t>Rabat</t>
        </is>
      </c>
      <c r="G87" t="inlineStr">
        <is>
          <t>Oui</t>
        </is>
      </c>
      <c r="H87" s="2" t="n">
        <v>3248928</v>
      </c>
    </row>
    <row r="88">
      <c r="A88" t="inlineStr">
        <is>
          <t>Direction du Patrimoine et Moyens Généraux</t>
        </is>
      </c>
      <c r="B88" t="inlineStr">
        <is>
          <t>Travaux d'aménagement des locaux techniques à Rabat Electricité-Lustreries-Climatisation</t>
        </is>
      </c>
      <c r="C88" t="inlineStr">
        <is>
          <t>Travaux</t>
        </is>
      </c>
      <c r="D88" t="inlineStr">
        <is>
          <t>Appel d'offres ouvert</t>
        </is>
      </c>
      <c r="E88" t="inlineStr">
        <is>
          <t>T2</t>
        </is>
      </c>
      <c r="F88" t="inlineStr">
        <is>
          <t>Rabat</t>
        </is>
      </c>
      <c r="G88" t="inlineStr">
        <is>
          <t>Oui</t>
        </is>
      </c>
      <c r="H88" s="2" t="n">
        <v>587419.2</v>
      </c>
    </row>
    <row r="89">
      <c r="A89" t="inlineStr">
        <is>
          <t>Direction du Patrimoine et Moyens Généraux</t>
        </is>
      </c>
      <c r="B89" t="inlineStr">
        <is>
          <t>Fourniture et installation des Panneaux de signatlisation Bâtiments SNRT</t>
        </is>
      </c>
      <c r="C89" t="inlineStr">
        <is>
          <t>Fournitures</t>
        </is>
      </c>
      <c r="D89" t="inlineStr">
        <is>
          <t>Appel d'offres ouvert</t>
        </is>
      </c>
      <c r="E89" t="inlineStr">
        <is>
          <t>T3</t>
        </is>
      </c>
      <c r="F89" t="inlineStr">
        <is>
          <t>Sites SNRT</t>
        </is>
      </c>
      <c r="G89" t="inlineStr">
        <is>
          <t>Non</t>
        </is>
      </c>
      <c r="H89" s="2" t="n">
        <v>300000</v>
      </c>
    </row>
    <row r="90">
      <c r="A90" t="inlineStr">
        <is>
          <t>Direction Centrale de la Production et de l'Antenne</t>
        </is>
      </c>
      <c r="B90" t="inlineStr">
        <is>
          <t>Décors Emissions Internes Al Aoula</t>
        </is>
      </c>
      <c r="C90" t="inlineStr">
        <is>
          <t>Services</t>
        </is>
      </c>
      <c r="D90" t="inlineStr">
        <is>
          <t>Appel d'offres ouvert</t>
        </is>
      </c>
      <c r="E90" t="inlineStr">
        <is>
          <t>T2</t>
        </is>
      </c>
      <c r="F90" t="inlineStr">
        <is>
          <t>Casablanca / Rabat</t>
        </is>
      </c>
      <c r="G90" t="inlineStr">
        <is>
          <t>Oui</t>
        </is>
      </c>
      <c r="H90" s="2" t="n">
        <v>1620000</v>
      </c>
    </row>
    <row r="91">
      <c r="A91" t="inlineStr">
        <is>
          <t>Direction Centrale de la Production et de l'Antenne</t>
        </is>
      </c>
      <c r="B91" t="inlineStr">
        <is>
          <t>Location Ecrans &amp; Barres à Led</t>
        </is>
      </c>
      <c r="C91" t="inlineStr">
        <is>
          <t>Services</t>
        </is>
      </c>
      <c r="D91" t="inlineStr">
        <is>
          <t>Appel d'offres ouvert</t>
        </is>
      </c>
      <c r="E91" t="inlineStr">
        <is>
          <t>T2</t>
        </is>
      </c>
      <c r="F91" t="inlineStr">
        <is>
          <t>Casablanca / Rabat</t>
        </is>
      </c>
      <c r="G91" t="inlineStr">
        <is>
          <t>Oui</t>
        </is>
      </c>
      <c r="H91" s="2" t="n">
        <v>360000</v>
      </c>
    </row>
    <row r="92">
      <c r="A92" t="inlineStr">
        <is>
          <t>Direction Centrale de la Production et de l'Antenne</t>
        </is>
      </c>
      <c r="B92" t="inlineStr">
        <is>
          <t>Location Matériel pour les productions internes Al Aoula</t>
        </is>
      </c>
      <c r="C92" t="inlineStr">
        <is>
          <t>Services</t>
        </is>
      </c>
      <c r="D92" t="inlineStr">
        <is>
          <t>Appel d'offres ouvert</t>
        </is>
      </c>
      <c r="E92" t="inlineStr">
        <is>
          <t>T2</t>
        </is>
      </c>
      <c r="F92" t="inlineStr">
        <is>
          <t>Casablanca / Rabat</t>
        </is>
      </c>
      <c r="G92" t="inlineStr">
        <is>
          <t>Oui</t>
        </is>
      </c>
      <c r="H92" s="2" t="n">
        <v>1232000</v>
      </c>
    </row>
    <row r="93">
      <c r="A93" t="inlineStr">
        <is>
          <t>Direction Al Maghribia</t>
        </is>
      </c>
      <c r="B93" t="inlineStr">
        <is>
          <t>Prestation de blanchisserie du linge et services associés au profit des journalistes présentateurs du journal Télévisés (JT)</t>
        </is>
      </c>
      <c r="C93" t="inlineStr">
        <is>
          <t>Services</t>
        </is>
      </c>
      <c r="D93" t="inlineStr">
        <is>
          <t>Appel d'offres ouvert</t>
        </is>
      </c>
      <c r="E93" t="inlineStr">
        <is>
          <t>T2</t>
        </is>
      </c>
      <c r="F93" t="inlineStr">
        <is>
          <t>Rabat</t>
        </is>
      </c>
      <c r="G93" t="inlineStr">
        <is>
          <t>Oui</t>
        </is>
      </c>
      <c r="H93" s="2" t="n">
        <v>60000</v>
      </c>
    </row>
    <row r="94">
      <c r="A94" t="inlineStr">
        <is>
          <t>Direction Al Maghribia</t>
        </is>
      </c>
      <c r="B94" t="inlineStr">
        <is>
          <t>Décor Virtuel Live News</t>
        </is>
      </c>
      <c r="C94" t="inlineStr">
        <is>
          <t>Services</t>
        </is>
      </c>
      <c r="D94" t="inlineStr">
        <is>
          <t>Appel d'offres ouvert</t>
        </is>
      </c>
      <c r="E94" t="inlineStr">
        <is>
          <t>T2</t>
        </is>
      </c>
      <c r="F94" t="inlineStr">
        <is>
          <t>Rabat</t>
        </is>
      </c>
      <c r="G94" t="inlineStr">
        <is>
          <t>Oui</t>
        </is>
      </c>
      <c r="H94" s="2" t="n">
        <v>150000</v>
      </c>
    </row>
    <row r="95">
      <c r="A95" t="inlineStr">
        <is>
          <t>Direction Audit et Contrôle et de Gestion</t>
        </is>
      </c>
      <c r="B95" t="inlineStr">
        <is>
          <t>Elaboration d'une cartographie des risques couvrant les processus de la SNRT</t>
        </is>
      </c>
      <c r="C95" t="inlineStr">
        <is>
          <t>Services</t>
        </is>
      </c>
      <c r="D95" t="inlineStr">
        <is>
          <t>Appel d'offres ouvert</t>
        </is>
      </c>
      <c r="E95" t="inlineStr">
        <is>
          <t>T2</t>
        </is>
      </c>
      <c r="F95" t="inlineStr">
        <is>
          <t>Rabat</t>
        </is>
      </c>
      <c r="G95" t="inlineStr">
        <is>
          <t>Non</t>
        </is>
      </c>
      <c r="H95" s="2" t="n">
        <v>840000</v>
      </c>
    </row>
    <row r="96">
      <c r="A96" t="inlineStr">
        <is>
          <t>Direction chargée des programmes Amazigh Radio et TV</t>
        </is>
      </c>
      <c r="B96" t="inlineStr">
        <is>
          <t>Habillage général de la chaîne Amazighia</t>
        </is>
      </c>
      <c r="C96" t="inlineStr">
        <is>
          <t>Services</t>
        </is>
      </c>
      <c r="D96" t="inlineStr">
        <is>
          <t>Appel d'offres ouvert</t>
        </is>
      </c>
      <c r="E96" t="inlineStr">
        <is>
          <t>T2</t>
        </is>
      </c>
      <c r="F96" t="inlineStr">
        <is>
          <t>Rabat</t>
        </is>
      </c>
      <c r="G96" t="inlineStr">
        <is>
          <t>Non</t>
        </is>
      </c>
      <c r="H96" s="2" t="n">
        <v>1500000</v>
      </c>
    </row>
    <row r="97">
      <c r="A97" t="inlineStr">
        <is>
          <t>Direction chargée des programmes Amazigh Radio et TV</t>
        </is>
      </c>
      <c r="B97" t="inlineStr">
        <is>
          <t>Conception et fabrication d'un ensemble de décors comprenant une table et cinq chaises dédiées aux émissions de débat télévisé diffusées sur la chaîne TV8.</t>
        </is>
      </c>
      <c r="C97" t="inlineStr">
        <is>
          <t>Services</t>
        </is>
      </c>
      <c r="D97" t="inlineStr">
        <is>
          <t>Appel d'offres ouvert</t>
        </is>
      </c>
      <c r="E97" t="inlineStr">
        <is>
          <t>T2</t>
        </is>
      </c>
      <c r="F97" t="inlineStr">
        <is>
          <t>Rabat</t>
        </is>
      </c>
      <c r="G97" t="inlineStr">
        <is>
          <t>Oui</t>
        </is>
      </c>
      <c r="H97" s="2" t="n">
        <v>600000</v>
      </c>
    </row>
    <row r="98">
      <c r="A98" t="inlineStr">
        <is>
          <t>Direction chargée des programmes Amazigh Radio et TV</t>
        </is>
      </c>
      <c r="B98" t="inlineStr">
        <is>
          <t>Habillage général de Radio Amazigh</t>
        </is>
      </c>
      <c r="C98" t="inlineStr">
        <is>
          <t>Services</t>
        </is>
      </c>
      <c r="D98" t="inlineStr">
        <is>
          <t>Appel d'offres ouvert</t>
        </is>
      </c>
      <c r="E98" t="inlineStr">
        <is>
          <t>T3</t>
        </is>
      </c>
      <c r="F98" t="inlineStr">
        <is>
          <t>Rabat</t>
        </is>
      </c>
      <c r="G98" t="inlineStr">
        <is>
          <t>Non</t>
        </is>
      </c>
      <c r="H98" s="2" t="n">
        <v>500000</v>
      </c>
    </row>
    <row r="99">
      <c r="A99" t="inlineStr">
        <is>
          <t>Direction des Ressources Humaines</t>
        </is>
      </c>
      <c r="B99" t="inlineStr">
        <is>
          <t>Programmes de formation au profit du personnel de la SNRT</t>
        </is>
      </c>
      <c r="C99" t="inlineStr">
        <is>
          <t>Services</t>
        </is>
      </c>
      <c r="D99" t="inlineStr">
        <is>
          <t>Appel d'offres ouvert</t>
        </is>
      </c>
      <c r="E99" t="inlineStr">
        <is>
          <t>T2</t>
        </is>
      </c>
      <c r="F99" t="inlineStr">
        <is>
          <t>Rabat</t>
        </is>
      </c>
      <c r="G99" t="inlineStr">
        <is>
          <t>Non</t>
        </is>
      </c>
      <c r="H99" s="2" t="n">
        <v>1208041.4</v>
      </c>
    </row>
    <row r="100">
      <c r="A100" t="inlineStr">
        <is>
          <t>Direction de l'Information TV</t>
        </is>
      </c>
      <c r="B100" t="inlineStr">
        <is>
          <t>Prestation de blanchisserie du linge et services assiciés au profit des journalistes présentateurs du journal Télévisés (JT) ,</t>
        </is>
      </c>
      <c r="C100" t="inlineStr">
        <is>
          <t>Services</t>
        </is>
      </c>
      <c r="D100" t="inlineStr">
        <is>
          <t>Appel d'offres ouvert</t>
        </is>
      </c>
      <c r="E100" t="inlineStr">
        <is>
          <t>T2</t>
        </is>
      </c>
      <c r="F100" t="inlineStr">
        <is>
          <t>Rabat</t>
        </is>
      </c>
      <c r="G100" t="inlineStr">
        <is>
          <t>Oui</t>
        </is>
      </c>
      <c r="H100" s="2" t="n">
        <v>100000</v>
      </c>
    </row>
    <row r="101">
      <c r="A101" t="inlineStr">
        <is>
          <t>Direction de l'Information TV</t>
        </is>
      </c>
      <c r="B101" t="inlineStr">
        <is>
          <t>Achat d'habillement au profit des journalistes présentateurs des évenements sportifs,</t>
        </is>
      </c>
      <c r="C101" t="inlineStr">
        <is>
          <t>Fournitures</t>
        </is>
      </c>
      <c r="D101" t="inlineStr">
        <is>
          <t>Appel d'offres ouvert</t>
        </is>
      </c>
      <c r="E101" t="inlineStr">
        <is>
          <t>T2</t>
        </is>
      </c>
      <c r="F101" t="inlineStr">
        <is>
          <t>Rabat</t>
        </is>
      </c>
      <c r="G101" t="inlineStr">
        <is>
          <t>Non</t>
        </is>
      </c>
      <c r="H101" s="2" t="n">
        <v>300000</v>
      </c>
    </row>
    <row r="102">
      <c r="A102" t="inlineStr">
        <is>
          <t>Direction de l'Information TV</t>
        </is>
      </c>
      <c r="B102" t="inlineStr">
        <is>
          <t>Achat d'habillement au profit des journalistes présentateurs des JTV ,</t>
        </is>
      </c>
      <c r="C102" t="inlineStr">
        <is>
          <t>Fournitures</t>
        </is>
      </c>
      <c r="D102" t="inlineStr">
        <is>
          <t>Appel d'offres ouvert</t>
        </is>
      </c>
      <c r="E102" t="inlineStr">
        <is>
          <t>T2</t>
        </is>
      </c>
      <c r="F102" t="inlineStr">
        <is>
          <t>Rabat</t>
        </is>
      </c>
      <c r="G102" t="inlineStr">
        <is>
          <t>Non</t>
        </is>
      </c>
      <c r="H102" s="2" t="n">
        <v>700000</v>
      </c>
    </row>
    <row r="103">
      <c r="A103" t="inlineStr">
        <is>
          <t>Direction de l'Information TV</t>
        </is>
      </c>
      <c r="B103" t="inlineStr">
        <is>
          <t>Conception et réalisation d'un décor du plateau de télévision professionnel aux standards internationaux pour la couverture de la CAN 2026 (femmes)</t>
        </is>
      </c>
      <c r="C103" t="inlineStr">
        <is>
          <t>Fournitures</t>
        </is>
      </c>
      <c r="D103" t="inlineStr">
        <is>
          <t>Appel d'offres ouvert</t>
        </is>
      </c>
      <c r="E103" t="inlineStr">
        <is>
          <t>T2</t>
        </is>
      </c>
      <c r="F103" t="inlineStr">
        <is>
          <t>Rabat</t>
        </is>
      </c>
      <c r="G103" t="inlineStr">
        <is>
          <t>Non</t>
        </is>
      </c>
      <c r="H103" s="2" t="n">
        <v>400000</v>
      </c>
    </row>
    <row r="104">
      <c r="A104" t="inlineStr">
        <is>
          <t>Direction de l'Information TV</t>
        </is>
      </c>
      <c r="B104" t="inlineStr">
        <is>
          <t>Réalisation d'un décor plateau de télévision professionnel aux standards internationaux pour l'émission" نقطة الى السطر"</t>
        </is>
      </c>
      <c r="C104" t="inlineStr">
        <is>
          <t>Services</t>
        </is>
      </c>
      <c r="D104" t="inlineStr">
        <is>
          <t>Appel d'offres ouvert</t>
        </is>
      </c>
      <c r="E104" t="inlineStr">
        <is>
          <t>T2</t>
        </is>
      </c>
      <c r="F104" t="inlineStr">
        <is>
          <t>Rabat</t>
        </is>
      </c>
      <c r="G104" t="inlineStr">
        <is>
          <t>Non</t>
        </is>
      </c>
      <c r="H104" s="2" t="n">
        <v>500000</v>
      </c>
    </row>
    <row r="105">
      <c r="A105" t="inlineStr">
        <is>
          <t>Direction de l'Information TV</t>
        </is>
      </c>
      <c r="B105" t="inlineStr">
        <is>
          <t>Conception et fabrication de décor pour une émission grand débat politique 2026</t>
        </is>
      </c>
      <c r="C105" t="inlineStr">
        <is>
          <t>Fournitures</t>
        </is>
      </c>
      <c r="D105" t="inlineStr">
        <is>
          <t>Appel d'offres ouvert</t>
        </is>
      </c>
      <c r="E105" t="inlineStr">
        <is>
          <t>T2</t>
        </is>
      </c>
      <c r="F105" t="inlineStr">
        <is>
          <t>Rabat</t>
        </is>
      </c>
      <c r="G105" t="inlineStr">
        <is>
          <t>Non</t>
        </is>
      </c>
      <c r="H105" s="2" t="n">
        <v>400000</v>
      </c>
    </row>
    <row r="106">
      <c r="A106" t="inlineStr">
        <is>
          <t>Direction de l'Information TV</t>
        </is>
      </c>
      <c r="B106" t="inlineStr">
        <is>
          <t>Acquisition des produits de maquillage pour les présentateurs des JT e t des émissions TV,</t>
        </is>
      </c>
      <c r="C106" t="inlineStr">
        <is>
          <t>Fournitures</t>
        </is>
      </c>
      <c r="D106" t="inlineStr">
        <is>
          <t>Appel d'offres ouvert</t>
        </is>
      </c>
      <c r="E106" t="inlineStr">
        <is>
          <t>T2</t>
        </is>
      </c>
      <c r="F106" t="inlineStr">
        <is>
          <t>Rabat</t>
        </is>
      </c>
      <c r="G106" t="inlineStr">
        <is>
          <t>Non</t>
        </is>
      </c>
      <c r="H106" s="2" t="n">
        <v>300000</v>
      </c>
    </row>
    <row r="107">
      <c r="A107" t="inlineStr">
        <is>
          <t>Direction Centrale Technique</t>
        </is>
      </c>
      <c r="B107" t="inlineStr">
        <is>
          <t>Acquisition de systèmes de caméras aériennes sur câbles pour répondre aux besoins de production de la SNRT.</t>
        </is>
      </c>
      <c r="C107" t="inlineStr">
        <is>
          <t>Fournitures</t>
        </is>
      </c>
      <c r="D107" t="inlineStr">
        <is>
          <t>Appel d'offres ouvert</t>
        </is>
      </c>
      <c r="E107" t="inlineStr">
        <is>
          <t>T2</t>
        </is>
      </c>
      <c r="F107" t="inlineStr">
        <is>
          <t>Rabat - Tanger</t>
        </is>
      </c>
      <c r="G107" t="inlineStr">
        <is>
          <t>Non</t>
        </is>
      </c>
      <c r="H107" s="2" t="n">
        <v>13200000</v>
      </c>
    </row>
    <row r="108">
      <c r="A108" t="inlineStr">
        <is>
          <t>Direction Centrale Technique</t>
        </is>
      </c>
      <c r="B108" t="inlineStr">
        <is>
          <t>Acquisition de matériel audio/vidéo pour le renouvellement des dispositifs des unités mobiles de la SNRT.</t>
        </is>
      </c>
      <c r="C108" t="inlineStr">
        <is>
          <t>Fournitures</t>
        </is>
      </c>
      <c r="D108" t="inlineStr">
        <is>
          <t>Appel d'offres ouvert</t>
        </is>
      </c>
      <c r="E108" t="inlineStr">
        <is>
          <t>T2</t>
        </is>
      </c>
      <c r="F108" t="inlineStr">
        <is>
          <t>Témara</t>
        </is>
      </c>
      <c r="G108" t="inlineStr">
        <is>
          <t>Non</t>
        </is>
      </c>
      <c r="H108" s="2" t="n">
        <v>6000000</v>
      </c>
    </row>
    <row r="109">
      <c r="A109" t="inlineStr">
        <is>
          <t>Direction Centrale Technique</t>
        </is>
      </c>
      <c r="B109" t="inlineStr">
        <is>
          <t>Acquisition de véhicules « Support Trucks » pour répondre aux besoins des unités mobiles de la SNRT.</t>
        </is>
      </c>
      <c r="C109" t="inlineStr">
        <is>
          <t>Fournitures</t>
        </is>
      </c>
      <c r="D109" t="inlineStr">
        <is>
          <t>Appel d'offres ouvert</t>
        </is>
      </c>
      <c r="E109" t="inlineStr">
        <is>
          <t>T2</t>
        </is>
      </c>
      <c r="F109" t="inlineStr">
        <is>
          <t>Témara</t>
        </is>
      </c>
      <c r="G109" t="inlineStr">
        <is>
          <t>Non</t>
        </is>
      </c>
      <c r="H109" s="2" t="n">
        <v>7200000</v>
      </c>
    </row>
    <row r="110">
      <c r="A110" t="inlineStr">
        <is>
          <t>Direction Centrale Technique</t>
        </is>
      </c>
      <c r="B110" t="inlineStr">
        <is>
          <t>Acquisition des équipements de machinerie et d'éclairage pour répondre aux besoins de production de la SNRT</t>
        </is>
      </c>
      <c r="C110" t="inlineStr">
        <is>
          <t>Fournitures</t>
        </is>
      </c>
      <c r="D110" t="inlineStr">
        <is>
          <t>Appel d'offres ouvert</t>
        </is>
      </c>
      <c r="E110" t="inlineStr">
        <is>
          <t>T2</t>
        </is>
      </c>
      <c r="F110" t="inlineStr">
        <is>
          <t>Témara</t>
        </is>
      </c>
      <c r="G110" t="inlineStr">
        <is>
          <t>Non</t>
        </is>
      </c>
      <c r="H110" s="2" t="n">
        <v>2400000</v>
      </c>
    </row>
    <row r="111">
      <c r="A111" t="inlineStr">
        <is>
          <t>Direction Centrale Technique</t>
        </is>
      </c>
      <c r="B111" t="inlineStr">
        <is>
          <t>Acquisition de véhicules utilitaires aménagés pour abriter les équipements d'éclairage et de machinerie pour répondre aux besoins de production de la SNRT.</t>
        </is>
      </c>
      <c r="C111" t="inlineStr">
        <is>
          <t>Fournitures</t>
        </is>
      </c>
      <c r="D111" t="inlineStr">
        <is>
          <t>Appel d'offres ouvert</t>
        </is>
      </c>
      <c r="E111" t="inlineStr">
        <is>
          <t>T2</t>
        </is>
      </c>
      <c r="F111" t="inlineStr">
        <is>
          <t>Témara</t>
        </is>
      </c>
      <c r="G111" t="inlineStr">
        <is>
          <t>Non</t>
        </is>
      </c>
      <c r="H111" s="2" t="n">
        <v>4800000</v>
      </c>
    </row>
    <row r="112">
      <c r="A112" t="inlineStr">
        <is>
          <t>Direction Centrale Technique</t>
        </is>
      </c>
      <c r="B112" t="inlineStr">
        <is>
          <t>Renouvellement et mise à niveau des équipements d'enregistrement, de lecture et de traitement pour les besoins du système News Room de la SNRT.</t>
        </is>
      </c>
      <c r="C112" t="inlineStr">
        <is>
          <t>Fournitures</t>
        </is>
      </c>
      <c r="D112" t="inlineStr">
        <is>
          <t>Appel d'offres ouvert</t>
        </is>
      </c>
      <c r="E112" t="inlineStr">
        <is>
          <t>T2</t>
        </is>
      </c>
      <c r="F112" t="inlineStr">
        <is>
          <t>Rabat</t>
        </is>
      </c>
      <c r="G112" t="inlineStr">
        <is>
          <t>Non</t>
        </is>
      </c>
      <c r="H112" s="2" t="n">
        <v>7200000</v>
      </c>
    </row>
    <row r="113">
      <c r="A113" t="inlineStr">
        <is>
          <t>Direction Centrale Technique</t>
        </is>
      </c>
      <c r="B113" t="inlineStr">
        <is>
          <t>Contrat de support logiciel du système News Room (PAM et NRCS) pour les besoins des chaines TV de la SNRT.</t>
        </is>
      </c>
      <c r="C113" t="inlineStr">
        <is>
          <t>Services</t>
        </is>
      </c>
      <c r="D113" t="inlineStr">
        <is>
          <t>Appel d'offres ouvert</t>
        </is>
      </c>
      <c r="E113" t="inlineStr">
        <is>
          <t>T2</t>
        </is>
      </c>
      <c r="F113" t="inlineStr">
        <is>
          <t>Rabat</t>
        </is>
      </c>
      <c r="G113" t="inlineStr">
        <is>
          <t>Non</t>
        </is>
      </c>
      <c r="H113" s="2" t="n">
        <v>600000</v>
      </c>
    </row>
    <row r="114">
      <c r="A114" t="inlineStr">
        <is>
          <t>Direction Centrale Technique</t>
        </is>
      </c>
      <c r="B114" t="inlineStr">
        <is>
          <t>Renouvellement des licences logicielles pour les stations d’habillage et de graphisme pour les besoins des chaînes TV de la SNRT.</t>
        </is>
      </c>
      <c r="C114" t="inlineStr">
        <is>
          <t>Services</t>
        </is>
      </c>
      <c r="D114" t="inlineStr">
        <is>
          <t>Appel d'offres ouvert</t>
        </is>
      </c>
      <c r="E114" t="inlineStr">
        <is>
          <t>T2</t>
        </is>
      </c>
      <c r="F114" t="inlineStr">
        <is>
          <t>Rabat</t>
        </is>
      </c>
      <c r="G114" t="inlineStr">
        <is>
          <t>Oui</t>
        </is>
      </c>
      <c r="H114" s="2" t="n">
        <v>480000</v>
      </c>
    </row>
    <row r="115">
      <c r="A115" t="inlineStr">
        <is>
          <t>Direction Centrale Technique</t>
        </is>
      </c>
      <c r="B115" t="inlineStr">
        <is>
          <t>Renouvellement des équipements audio/vidéo et des châssis de traitement de signaux pour répondre aux besoins des installations techniques de la SNRT.</t>
        </is>
      </c>
      <c r="C115" t="inlineStr">
        <is>
          <t>Fournitures</t>
        </is>
      </c>
      <c r="D115" t="inlineStr">
        <is>
          <t>Appel d'offres ouvert</t>
        </is>
      </c>
      <c r="E115" t="inlineStr">
        <is>
          <t>T2</t>
        </is>
      </c>
      <c r="F115" t="inlineStr">
        <is>
          <t>Rabat</t>
        </is>
      </c>
      <c r="G115" t="inlineStr">
        <is>
          <t>Non</t>
        </is>
      </c>
      <c r="H115" s="2" t="n">
        <v>2400000</v>
      </c>
    </row>
    <row r="116">
      <c r="A116" t="inlineStr">
        <is>
          <t>Direction Centrale Technique</t>
        </is>
      </c>
      <c r="B116" t="inlineStr">
        <is>
          <t>Mise en place d'un système d'automation TV pour répondre aux besoins de la diffusion des chaines TV de la SNRT.</t>
        </is>
      </c>
      <c r="C116" t="inlineStr">
        <is>
          <t>Fournitures</t>
        </is>
      </c>
      <c r="D116" t="inlineStr">
        <is>
          <t>Appel d'offres ouvert</t>
        </is>
      </c>
      <c r="E116" t="inlineStr">
        <is>
          <t>T3</t>
        </is>
      </c>
      <c r="F116" t="inlineStr">
        <is>
          <t>Rabat</t>
        </is>
      </c>
      <c r="G116" t="inlineStr">
        <is>
          <t>Non</t>
        </is>
      </c>
      <c r="H116" s="2" t="n">
        <v>6000000</v>
      </c>
    </row>
    <row r="117">
      <c r="A117" t="inlineStr">
        <is>
          <t>Direction Centrale Technique</t>
        </is>
      </c>
      <c r="B117" t="inlineStr">
        <is>
          <t>Renouvellement des équipements Audio/Vidéo pour répondre aux besoins des chaines TV de la SNRT.</t>
        </is>
      </c>
      <c r="C117" t="inlineStr">
        <is>
          <t>Fournitures</t>
        </is>
      </c>
      <c r="D117" t="inlineStr">
        <is>
          <t>Appel d'offres ouvert</t>
        </is>
      </c>
      <c r="E117" t="inlineStr">
        <is>
          <t>T3</t>
        </is>
      </c>
      <c r="F117" t="inlineStr">
        <is>
          <t>Rabat</t>
        </is>
      </c>
      <c r="G117" t="inlineStr">
        <is>
          <t>Non</t>
        </is>
      </c>
      <c r="H117" s="2" t="n">
        <v>2400000</v>
      </c>
    </row>
    <row r="118">
      <c r="A118" t="inlineStr">
        <is>
          <t>Direction Centrale Technique</t>
        </is>
      </c>
      <c r="B118" t="inlineStr">
        <is>
          <t>Acquisition et mise à niveau des équipements Audio/vidéo de la régie multidiffusion pour répondre aux besoins de la chaine Arryadia de la SNRT.</t>
        </is>
      </c>
      <c r="C118" t="inlineStr">
        <is>
          <t>Fournitures</t>
        </is>
      </c>
      <c r="D118" t="inlineStr">
        <is>
          <t>Appel d'offres ouvert</t>
        </is>
      </c>
      <c r="E118" t="inlineStr">
        <is>
          <t>T2</t>
        </is>
      </c>
      <c r="F118" t="inlineStr">
        <is>
          <t>Rabat</t>
        </is>
      </c>
      <c r="G118" t="inlineStr">
        <is>
          <t>Non</t>
        </is>
      </c>
      <c r="H118" s="2" t="n">
        <v>6000000</v>
      </c>
    </row>
    <row r="119">
      <c r="A119" t="inlineStr">
        <is>
          <t>Direction Centrale Technique</t>
        </is>
      </c>
      <c r="B119" t="inlineStr">
        <is>
          <t>Renouvellement des équipements Audio/Vidéo du plateau JT pour répondre aux besoins de la chaine Al Aoula de la SNRT.</t>
        </is>
      </c>
      <c r="C119" t="inlineStr">
        <is>
          <t>Fournitures</t>
        </is>
      </c>
      <c r="D119" t="inlineStr">
        <is>
          <t>Appel d'offres ouvert</t>
        </is>
      </c>
      <c r="E119" t="inlineStr">
        <is>
          <t>T2</t>
        </is>
      </c>
      <c r="F119" t="inlineStr">
        <is>
          <t>Rabat</t>
        </is>
      </c>
      <c r="G119" t="inlineStr">
        <is>
          <t>Non</t>
        </is>
      </c>
      <c r="H119" s="2" t="n">
        <v>9600000</v>
      </c>
    </row>
    <row r="120">
      <c r="A120" t="inlineStr">
        <is>
          <t>Direction Centrale Technique</t>
        </is>
      </c>
      <c r="B120" t="inlineStr">
        <is>
          <t>Renouvellement des équipements de captation Audio/Vidéo pour répondre aux besoins de la chaine Al Aoula de la SNRT.</t>
        </is>
      </c>
      <c r="C120" t="inlineStr">
        <is>
          <t>Fournitures</t>
        </is>
      </c>
      <c r="D120" t="inlineStr">
        <is>
          <t>Appel d'offres ouvert</t>
        </is>
      </c>
      <c r="E120" t="inlineStr">
        <is>
          <t>T2</t>
        </is>
      </c>
      <c r="F120" t="inlineStr">
        <is>
          <t>Rabat</t>
        </is>
      </c>
      <c r="G120" t="inlineStr">
        <is>
          <t>Non</t>
        </is>
      </c>
      <c r="H120" s="2" t="n">
        <v>2400000</v>
      </c>
    </row>
    <row r="121">
      <c r="A121" t="inlineStr">
        <is>
          <t>Direction Centrale Technique</t>
        </is>
      </c>
      <c r="B121" t="inlineStr">
        <is>
          <t>Renouvellement et mise à niveau des équipements Audio/Vidéo de la régie JT pour répondre aux besoins de la chaine TV Laayoune de la SNRT.</t>
        </is>
      </c>
      <c r="C121" t="inlineStr">
        <is>
          <t>Fournitures</t>
        </is>
      </c>
      <c r="D121" t="inlineStr">
        <is>
          <t>Appel d'offres ouvert</t>
        </is>
      </c>
      <c r="E121" t="inlineStr">
        <is>
          <t>T2</t>
        </is>
      </c>
      <c r="F121" t="inlineStr">
        <is>
          <t>Rabat</t>
        </is>
      </c>
      <c r="G121" t="inlineStr">
        <is>
          <t>Non</t>
        </is>
      </c>
      <c r="H121" s="2" t="n">
        <v>2400000</v>
      </c>
    </row>
    <row r="122">
      <c r="A122" t="inlineStr">
        <is>
          <t>Direction Centrale Technique</t>
        </is>
      </c>
      <c r="B122" t="inlineStr">
        <is>
          <t>Acquisition et mise à niveau des équipements Audio/Vidéo du studio virtuel pour répondre aux besoins de production de la chaine TV Laayoune de la SNRT.</t>
        </is>
      </c>
      <c r="C122" t="inlineStr">
        <is>
          <t>Fournitures</t>
        </is>
      </c>
      <c r="D122" t="inlineStr">
        <is>
          <t>Appel d'offres ouvert</t>
        </is>
      </c>
      <c r="E122" t="inlineStr">
        <is>
          <t>T2</t>
        </is>
      </c>
      <c r="F122" t="inlineStr">
        <is>
          <t>Laayoune</t>
        </is>
      </c>
      <c r="G122" t="inlineStr">
        <is>
          <t>Non</t>
        </is>
      </c>
      <c r="H122" s="2" t="n">
        <v>4200000</v>
      </c>
    </row>
    <row r="123">
      <c r="A123" t="inlineStr">
        <is>
          <t>Direction Centrale Technique</t>
        </is>
      </c>
      <c r="B123" t="inlineStr">
        <is>
          <t>Acquisition des équipements audio pour les besoins des chaines radios de la SNRT.</t>
        </is>
      </c>
      <c r="C123" t="inlineStr">
        <is>
          <t>Fournitures</t>
        </is>
      </c>
      <c r="D123" t="inlineStr">
        <is>
          <t>Appel d'offres ouvert</t>
        </is>
      </c>
      <c r="E123" t="inlineStr">
        <is>
          <t>T2</t>
        </is>
      </c>
      <c r="F123" t="inlineStr">
        <is>
          <t>Rabat</t>
        </is>
      </c>
      <c r="G123" t="inlineStr">
        <is>
          <t>Non</t>
        </is>
      </c>
      <c r="H123" s="2" t="n">
        <v>2400000</v>
      </c>
    </row>
    <row r="124">
      <c r="A124" t="inlineStr">
        <is>
          <t>Direction Centrale Technique</t>
        </is>
      </c>
      <c r="B124" t="inlineStr">
        <is>
          <t>Renouvellement et mise à niveau du Centre de Diffusion et de Monitoring (CDM) pour les besoins des chaines Radio de la SNRT. afin d’assurer la supervision centralisée, la redondance et la continuité de service des diffusions.</t>
        </is>
      </c>
      <c r="C124" t="inlineStr">
        <is>
          <t>Fournitures</t>
        </is>
      </c>
      <c r="D124" t="inlineStr">
        <is>
          <t>Appel d'offres ouvert</t>
        </is>
      </c>
      <c r="E124" t="inlineStr">
        <is>
          <t>T2</t>
        </is>
      </c>
      <c r="F124" t="inlineStr">
        <is>
          <t>Rabat</t>
        </is>
      </c>
      <c r="G124" t="inlineStr">
        <is>
          <t>Non</t>
        </is>
      </c>
      <c r="H124" s="2" t="n">
        <v>3600000</v>
      </c>
    </row>
    <row r="125">
      <c r="A125" t="inlineStr">
        <is>
          <t>Direction Centrale Technique</t>
        </is>
      </c>
      <c r="B125" t="inlineStr">
        <is>
          <t>Renouvellement des systèmes d’automation radio des chaînes radios régionales de la SNRT.</t>
        </is>
      </c>
      <c r="C125" t="inlineStr">
        <is>
          <t>Fournitures</t>
        </is>
      </c>
      <c r="D125" t="inlineStr">
        <is>
          <t>Appel d'offres ouvert</t>
        </is>
      </c>
      <c r="E125" t="inlineStr">
        <is>
          <t>T2</t>
        </is>
      </c>
      <c r="F125" t="inlineStr">
        <is>
          <t>Radios régionales</t>
        </is>
      </c>
      <c r="G125" t="inlineStr">
        <is>
          <t>Non</t>
        </is>
      </c>
      <c r="H125" s="2" t="n">
        <v>4800000</v>
      </c>
    </row>
    <row r="126">
      <c r="A126" t="inlineStr">
        <is>
          <t>Direction Centrale Technique</t>
        </is>
      </c>
      <c r="B126" t="inlineStr">
        <is>
          <t>Acquisition des équipements informatiques Broadcast pour les besoins des chaines radios régionales de la SNRT.</t>
        </is>
      </c>
      <c r="C126" t="inlineStr">
        <is>
          <t>Fournitures</t>
        </is>
      </c>
      <c r="D126" t="inlineStr">
        <is>
          <t>Appel d'offres ouvert</t>
        </is>
      </c>
      <c r="E126" t="inlineStr">
        <is>
          <t>T3</t>
        </is>
      </c>
      <c r="F126" t="inlineStr">
        <is>
          <t>Rabat</t>
        </is>
      </c>
      <c r="G126" t="inlineStr">
        <is>
          <t>Non</t>
        </is>
      </c>
      <c r="H126" s="2" t="n">
        <v>3000000</v>
      </c>
    </row>
    <row r="127">
      <c r="A127" t="inlineStr">
        <is>
          <t>Direction Centrale Technique</t>
        </is>
      </c>
      <c r="B127" t="inlineStr">
        <is>
          <t>Acquisition des supports d’enregistrement et de lecture pour les besoins des chaines TV de la SNRT</t>
        </is>
      </c>
      <c r="C127" t="inlineStr">
        <is>
          <t>Fournitures</t>
        </is>
      </c>
      <c r="D127" t="inlineStr">
        <is>
          <t>Appel d'offres ouvert</t>
        </is>
      </c>
      <c r="E127" t="inlineStr">
        <is>
          <t>T2</t>
        </is>
      </c>
      <c r="F127" t="inlineStr">
        <is>
          <t>Rabat</t>
        </is>
      </c>
      <c r="G127" t="inlineStr">
        <is>
          <t>Non</t>
        </is>
      </c>
      <c r="H127" s="2" t="n">
        <v>480000</v>
      </c>
    </row>
    <row r="128">
      <c r="A128" t="inlineStr">
        <is>
          <t>Direction Centrale Technique</t>
        </is>
      </c>
      <c r="B128" t="inlineStr">
        <is>
          <t>Acquisition de lecteurs LTO destinés aux besoins d’archivage de la SNRT</t>
        </is>
      </c>
      <c r="C128" t="inlineStr">
        <is>
          <t>Fournitures</t>
        </is>
      </c>
      <c r="D128" t="inlineStr">
        <is>
          <t>Appel d'offres ouvert</t>
        </is>
      </c>
      <c r="E128" t="inlineStr">
        <is>
          <t>T2</t>
        </is>
      </c>
      <c r="F128" t="inlineStr">
        <is>
          <t>Rabat</t>
        </is>
      </c>
      <c r="G128" t="inlineStr">
        <is>
          <t>Non</t>
        </is>
      </c>
      <c r="H128" s="2" t="n">
        <v>1200000</v>
      </c>
    </row>
    <row r="129">
      <c r="A129" t="inlineStr">
        <is>
          <t>Direction Centrale Technique</t>
        </is>
      </c>
      <c r="B129" t="inlineStr">
        <is>
          <t>Numérisation des anciennes archives télévisuelles stockées sur des supports analogiques de type U-MATIC, pour les besoins des archives TV de la SNRT</t>
        </is>
      </c>
      <c r="C129" t="inlineStr">
        <is>
          <t>Services</t>
        </is>
      </c>
      <c r="D129" t="inlineStr">
        <is>
          <t>Appel d'offres ouvert</t>
        </is>
      </c>
      <c r="E129" t="inlineStr">
        <is>
          <t>T2</t>
        </is>
      </c>
      <c r="F129" t="inlineStr">
        <is>
          <t>Rabat</t>
        </is>
      </c>
      <c r="G129" t="inlineStr">
        <is>
          <t>Non</t>
        </is>
      </c>
      <c r="H129" s="2" t="n">
        <v>1200000</v>
      </c>
    </row>
    <row r="130">
      <c r="A130" t="inlineStr">
        <is>
          <t>Direction Centrale Technique</t>
        </is>
      </c>
      <c r="B130" t="inlineStr">
        <is>
          <t>Renouvellement et mise à niveau des systèmes et solutions logicielles de l'infrastructure IT de la SNRT</t>
        </is>
      </c>
      <c r="C130" t="inlineStr">
        <is>
          <t>Fournitures</t>
        </is>
      </c>
      <c r="D130" t="inlineStr">
        <is>
          <t>Appel d'offres ouvert</t>
        </is>
      </c>
      <c r="E130" t="inlineStr">
        <is>
          <t>T1-T2</t>
        </is>
      </c>
      <c r="F130" t="inlineStr">
        <is>
          <t>Rabat</t>
        </is>
      </c>
      <c r="G130" t="inlineStr">
        <is>
          <t>Non</t>
        </is>
      </c>
      <c r="H130" s="2" t="n">
        <v>10200000</v>
      </c>
    </row>
    <row r="131">
      <c r="A131" t="inlineStr">
        <is>
          <t>Direction Centrale Technique</t>
        </is>
      </c>
      <c r="B131" t="inlineStr">
        <is>
          <t>Souscription à un abonnement annuel de licences logiciels pour les besoins de la SNRT</t>
        </is>
      </c>
      <c r="C131" t="inlineStr">
        <is>
          <t>Services</t>
        </is>
      </c>
      <c r="D131" t="inlineStr">
        <is>
          <t>Appel d'offres ouvert</t>
        </is>
      </c>
      <c r="E131" t="inlineStr">
        <is>
          <t>T2</t>
        </is>
      </c>
      <c r="F131" t="inlineStr">
        <is>
          <t>Rabat</t>
        </is>
      </c>
      <c r="G131" t="inlineStr">
        <is>
          <t>Oui</t>
        </is>
      </c>
      <c r="H131" s="2" t="n">
        <v>1800000</v>
      </c>
    </row>
    <row r="132">
      <c r="A132" t="inlineStr">
        <is>
          <t>Direction Centrale Technique</t>
        </is>
      </c>
      <c r="B132" t="inlineStr">
        <is>
          <t>Acquisition des consommables, accessoires, pièces de rechange et outillage informatiques pour les besoins de la SNRT</t>
        </is>
      </c>
      <c r="C132" t="inlineStr">
        <is>
          <t>Fournitures</t>
        </is>
      </c>
      <c r="D132" t="inlineStr">
        <is>
          <t>Appel d'offres ouvert</t>
        </is>
      </c>
      <c r="E132" t="inlineStr">
        <is>
          <t>T2</t>
        </is>
      </c>
      <c r="F132" t="inlineStr">
        <is>
          <t>Rabat</t>
        </is>
      </c>
      <c r="G132" t="inlineStr">
        <is>
          <t>Oui</t>
        </is>
      </c>
      <c r="H132" s="2" t="n">
        <v>2400000</v>
      </c>
    </row>
    <row r="133">
      <c r="A133" t="inlineStr">
        <is>
          <t>Direction Centrale Technique</t>
        </is>
      </c>
      <c r="B133" t="inlineStr">
        <is>
          <t>Acquisition des serveurs et des équipements Informatiques pour les besoins de la SNRT</t>
        </is>
      </c>
      <c r="C133" t="inlineStr">
        <is>
          <t>Fournitures</t>
        </is>
      </c>
      <c r="D133" t="inlineStr">
        <is>
          <t>Appel d'offres ouvert</t>
        </is>
      </c>
      <c r="E133" t="inlineStr">
        <is>
          <t>T1-T2</t>
        </is>
      </c>
      <c r="F133" t="inlineStr">
        <is>
          <t>Rabat</t>
        </is>
      </c>
      <c r="G133" t="inlineStr">
        <is>
          <t>Non</t>
        </is>
      </c>
      <c r="H133" s="2" t="n">
        <v>4800000</v>
      </c>
    </row>
    <row r="134">
      <c r="A134" t="inlineStr">
        <is>
          <t>Direction Centrale Technique</t>
        </is>
      </c>
      <c r="B134" t="inlineStr">
        <is>
          <t>Acquisition des équipements pour la mise à niveau de l'infrastructure réseau de la SNRT</t>
        </is>
      </c>
      <c r="C134" t="inlineStr">
        <is>
          <t>Fournitures</t>
        </is>
      </c>
      <c r="D134" t="inlineStr">
        <is>
          <t>Appel d'offres ouvert</t>
        </is>
      </c>
      <c r="E134" t="inlineStr">
        <is>
          <t>T2</t>
        </is>
      </c>
      <c r="F134" t="inlineStr">
        <is>
          <t>Rabat</t>
        </is>
      </c>
      <c r="G134" t="inlineStr">
        <is>
          <t>Non</t>
        </is>
      </c>
      <c r="H134" s="2" t="n">
        <v>5400000</v>
      </c>
    </row>
    <row r="135">
      <c r="A135" t="inlineStr">
        <is>
          <t>Direction Centrale Technique</t>
        </is>
      </c>
      <c r="B135" t="inlineStr">
        <is>
          <t>Acquisition d’équipements informatiques pour les besoins de SNRT NEWS</t>
        </is>
      </c>
      <c r="C135" t="inlineStr">
        <is>
          <t>Fournitures</t>
        </is>
      </c>
      <c r="D135" t="inlineStr">
        <is>
          <t>Appel d'offres ouvert</t>
        </is>
      </c>
      <c r="E135" t="inlineStr">
        <is>
          <t>T2</t>
        </is>
      </c>
      <c r="F135" t="inlineStr">
        <is>
          <t>Rabat</t>
        </is>
      </c>
      <c r="G135" t="inlineStr">
        <is>
          <t>Oui</t>
        </is>
      </c>
      <c r="H135" s="2" t="n">
        <v>3600000</v>
      </c>
    </row>
    <row r="136">
      <c r="A136" t="inlineStr">
        <is>
          <t>Direction Centrale Technique</t>
        </is>
      </c>
      <c r="B136" t="inlineStr">
        <is>
          <t>Acquisition d’équipements informatiques et audiovisuels pour la mise à niveau du matériel de SNRT NEWS</t>
        </is>
      </c>
      <c r="C136" t="inlineStr">
        <is>
          <t>Fournitures</t>
        </is>
      </c>
      <c r="D136" t="inlineStr">
        <is>
          <t>Appel d'offres ouvert</t>
        </is>
      </c>
      <c r="E136" t="inlineStr">
        <is>
          <t>T2</t>
        </is>
      </c>
      <c r="F136" t="inlineStr">
        <is>
          <t>Rabat</t>
        </is>
      </c>
      <c r="G136" t="inlineStr">
        <is>
          <t>Oui</t>
        </is>
      </c>
      <c r="H136" s="2" t="n">
        <v>1400000</v>
      </c>
    </row>
    <row r="137">
      <c r="A137" t="inlineStr">
        <is>
          <t>Direction Centrale Technique</t>
        </is>
      </c>
      <c r="B137" t="inlineStr">
        <is>
          <t>Acquisition de licences et de logiciels pour les besoins de SNRT NEWS</t>
        </is>
      </c>
      <c r="C137" t="inlineStr">
        <is>
          <t>Fournitures</t>
        </is>
      </c>
      <c r="D137" t="inlineStr">
        <is>
          <t>Appel d'offres ouvert</t>
        </is>
      </c>
      <c r="E137" t="inlineStr">
        <is>
          <t>T2</t>
        </is>
      </c>
      <c r="F137" t="inlineStr">
        <is>
          <t>Rabat</t>
        </is>
      </c>
      <c r="G137" t="inlineStr">
        <is>
          <t>Oui</t>
        </is>
      </c>
      <c r="H137" s="2" t="n">
        <v>210000</v>
      </c>
    </row>
    <row r="138">
      <c r="A138" t="inlineStr">
        <is>
          <t>Direction Centrale de la Régie publicitaire et des Solutions Digitales</t>
        </is>
      </c>
      <c r="B138" t="inlineStr">
        <is>
          <t>Assistance et maintenance de lasolution BI etlocation de licences</t>
        </is>
      </c>
      <c r="C138" t="inlineStr">
        <is>
          <t>Services</t>
        </is>
      </c>
      <c r="D138" t="inlineStr">
        <is>
          <t>Appel d'offres ouvert</t>
        </is>
      </c>
      <c r="E138" t="inlineStr">
        <is>
          <t>T2</t>
        </is>
      </c>
      <c r="F138" t="inlineStr">
        <is>
          <t>Casablanca</t>
        </is>
      </c>
      <c r="G138" t="inlineStr">
        <is>
          <t>Oui</t>
        </is>
      </c>
      <c r="H138" s="2" t="n">
        <v>250000</v>
      </c>
    </row>
    <row r="139">
      <c r="A139" t="inlineStr">
        <is>
          <t>Direction Centrale de la Régie publicitaire et des Solutions Digitales</t>
        </is>
      </c>
      <c r="B139" t="inlineStr">
        <is>
          <t>Prestation de maintenance corrective, maintenance évolutive, d'assistance utilisateur, d'assistance technique et des mises à jour de Media Pilot, Logiciel de gestion de la commercialisation de l'espace publicitaire des supports TV Radio de la SNRT</t>
        </is>
      </c>
      <c r="C139" t="inlineStr">
        <is>
          <t>Services</t>
        </is>
      </c>
      <c r="D139" t="inlineStr">
        <is>
          <t>Appel d'offres ouvert</t>
        </is>
      </c>
      <c r="E139" t="inlineStr">
        <is>
          <t>T2</t>
        </is>
      </c>
      <c r="F139" t="inlineStr">
        <is>
          <t>Casablanca</t>
        </is>
      </c>
      <c r="G139" t="inlineStr">
        <is>
          <t>Non</t>
        </is>
      </c>
      <c r="H139" s="2" t="n">
        <v>753940</v>
      </c>
    </row>
    <row r="140">
      <c r="A140" t="inlineStr">
        <is>
          <t>Direction Centrale de la Régie publicitaire et des Solutions Digitales</t>
        </is>
      </c>
      <c r="B140" t="inlineStr">
        <is>
          <t>"Acquisition d'une Solution Multifonction visant la gestion de projets, la mise en place de la chaine Devops et l’acquisition des Outils de développement : éditeur de code".</t>
        </is>
      </c>
      <c r="C140" t="inlineStr">
        <is>
          <t>Services</t>
        </is>
      </c>
      <c r="D140" t="inlineStr">
        <is>
          <t>Appel d'offres ouvert</t>
        </is>
      </c>
      <c r="E140" t="inlineStr">
        <is>
          <t>T2</t>
        </is>
      </c>
      <c r="F140" t="inlineStr">
        <is>
          <t>Casablanca</t>
        </is>
      </c>
      <c r="G140" t="inlineStr">
        <is>
          <t>Oui</t>
        </is>
      </c>
      <c r="H140" s="2" t="n">
        <v>250000</v>
      </c>
    </row>
    <row r="141">
      <c r="A141" t="inlineStr">
        <is>
          <t>Direction Centrale de la Régie publicitaire et des Solutions Digitales</t>
        </is>
      </c>
      <c r="B141" t="inlineStr">
        <is>
          <t>Mise en place d’une plateforme de gestion de données : Data management platorm: (DMP) pour la collecte et l’analyse de données sociodémographiques et comportementales, afin d'optimiser les campagnes publicitaires sur les plateformes digitales de la régie.</t>
        </is>
      </c>
      <c r="C141" t="inlineStr">
        <is>
          <t>Services</t>
        </is>
      </c>
      <c r="D141" t="inlineStr">
        <is>
          <t>Appel d'offres ouvert</t>
        </is>
      </c>
      <c r="E141" t="inlineStr">
        <is>
          <t>T2</t>
        </is>
      </c>
      <c r="F141" t="inlineStr">
        <is>
          <t>Casablanca</t>
        </is>
      </c>
      <c r="G141" t="inlineStr">
        <is>
          <t>Oui</t>
        </is>
      </c>
      <c r="H141" s="2" t="n">
        <v>600000</v>
      </c>
    </row>
    <row r="142">
      <c r="A142" t="inlineStr">
        <is>
          <t>Direction Centrale de la Régie publicitaire et des Solutions Digitales</t>
        </is>
      </c>
      <c r="B142" t="inlineStr">
        <is>
          <t>Lancement d'une Analyse de l'impact de l'engagement et de l'attention des téléspectateurs sur les programmes TV : De la mémorisation à l’attractivité pour les marques ( Efficacité publicitaire TV (linéaire + Broadcaster Video On Demand).</t>
        </is>
      </c>
      <c r="C142" t="inlineStr">
        <is>
          <t>Services</t>
        </is>
      </c>
      <c r="D142" t="inlineStr">
        <is>
          <t>Appel d'offres ouvert</t>
        </is>
      </c>
      <c r="E142" t="inlineStr">
        <is>
          <t>T2</t>
        </is>
      </c>
      <c r="F142" t="inlineStr">
        <is>
          <t>Casablanca</t>
        </is>
      </c>
      <c r="G142" t="inlineStr">
        <is>
          <t>Oui</t>
        </is>
      </c>
      <c r="H142" s="2" t="n">
        <v>600000</v>
      </c>
    </row>
    <row r="143">
      <c r="A143" t="inlineStr">
        <is>
          <t>Direction Centrale de la Régie publicitaire et des Solutions Digitales</t>
        </is>
      </c>
      <c r="B143" t="inlineStr">
        <is>
          <t>Lancement d'une étude "Return on investment": ( ROI) permettant l'évaluation de l'effiicacité des camapgnes publicitaires</t>
        </is>
      </c>
      <c r="C143" t="inlineStr">
        <is>
          <t>Services</t>
        </is>
      </c>
      <c r="D143" t="inlineStr">
        <is>
          <t>Appel d'offres ouvert</t>
        </is>
      </c>
      <c r="E143" t="inlineStr">
        <is>
          <t>T2</t>
        </is>
      </c>
      <c r="F143" t="inlineStr">
        <is>
          <t>Casablanca</t>
        </is>
      </c>
      <c r="G143" t="inlineStr">
        <is>
          <t>Oui</t>
        </is>
      </c>
      <c r="H143" s="2" t="n">
        <v>600000</v>
      </c>
    </row>
    <row r="144">
      <c r="A144" t="inlineStr">
        <is>
          <t>Direction Centrale de la Régie publicitaire et des Solutions Digitales</t>
        </is>
      </c>
      <c r="B144" t="inlineStr">
        <is>
          <t>Maintenance de la messagerie de la DRPSD</t>
        </is>
      </c>
      <c r="C144" t="inlineStr">
        <is>
          <t>Services</t>
        </is>
      </c>
      <c r="D144" t="inlineStr">
        <is>
          <t>Appel d'offres ouvert</t>
        </is>
      </c>
      <c r="E144" t="inlineStr">
        <is>
          <t>T4</t>
        </is>
      </c>
      <c r="F144" t="inlineStr">
        <is>
          <t>Casablanca</t>
        </is>
      </c>
      <c r="G144" t="inlineStr">
        <is>
          <t>Oui</t>
        </is>
      </c>
      <c r="H144" s="2" t="n">
        <v>51000</v>
      </c>
    </row>
    <row r="145">
      <c r="A145" t="inlineStr">
        <is>
          <t>Direction Centrale de la Régie publicitaire et des Solutions Digitales</t>
        </is>
      </c>
      <c r="B145" t="inlineStr">
        <is>
          <t>Acquisition d'une Solution visant l'Automatisation et la Digitalisation de la Gestion des Campagnes Publicitaires ( Annonceurs - Agences- Régie Publicitaire )</t>
        </is>
      </c>
      <c r="C145" t="inlineStr">
        <is>
          <t>Services</t>
        </is>
      </c>
      <c r="D145" t="inlineStr">
        <is>
          <t>Appel d'offres ouvert</t>
        </is>
      </c>
      <c r="E145" t="inlineStr">
        <is>
          <t>T2</t>
        </is>
      </c>
      <c r="F145" t="inlineStr">
        <is>
          <t>Casablanca</t>
        </is>
      </c>
      <c r="G145" t="inlineStr">
        <is>
          <t>Non</t>
        </is>
      </c>
      <c r="H145" s="2" t="n">
        <v>350000</v>
      </c>
    </row>
    <row r="146">
      <c r="A146" t="inlineStr">
        <is>
          <t>Direction Centrale de la Régie publicitaire et des Solutions Digitales</t>
        </is>
      </c>
      <c r="B146" t="inlineStr">
        <is>
          <t>Refonte de la Solution de publicité digitale pour l'ensemble des plateformes digitales de la SNRT</t>
        </is>
      </c>
      <c r="C146" t="inlineStr">
        <is>
          <t>Services</t>
        </is>
      </c>
      <c r="D146" t="inlineStr">
        <is>
          <t>Appel d'offres ouvert</t>
        </is>
      </c>
      <c r="E146" t="inlineStr">
        <is>
          <t>T2</t>
        </is>
      </c>
      <c r="F146" t="inlineStr">
        <is>
          <t>Casablanca</t>
        </is>
      </c>
      <c r="G146" t="inlineStr">
        <is>
          <t>Oui</t>
        </is>
      </c>
      <c r="H146" s="2" t="n">
        <v>400000</v>
      </c>
    </row>
    <row r="147">
      <c r="A147" t="inlineStr">
        <is>
          <t>Direction Centrale de la Régie publicitaire et des Solutions Digitales</t>
        </is>
      </c>
      <c r="B147" t="inlineStr">
        <is>
          <t>Réferencement de la plate forme SNRTNEWS et Mise en place de la stratégie digitale</t>
        </is>
      </c>
      <c r="C147" t="inlineStr">
        <is>
          <t>Services</t>
        </is>
      </c>
      <c r="D147" t="inlineStr">
        <is>
          <t>Appel d'offres ouvert</t>
        </is>
      </c>
      <c r="E147" t="inlineStr">
        <is>
          <t>T2</t>
        </is>
      </c>
      <c r="F147" t="inlineStr">
        <is>
          <t>Casablanca</t>
        </is>
      </c>
      <c r="G147" t="inlineStr">
        <is>
          <t>Oui</t>
        </is>
      </c>
      <c r="H147" s="2" t="n">
        <v>350000</v>
      </c>
    </row>
    <row r="148">
      <c r="A148" t="inlineStr">
        <is>
          <t>Direction Centrale de la Régie publicitaire et des Solutions Digitales</t>
        </is>
      </c>
      <c r="B148" t="inlineStr">
        <is>
          <t>Accompagnement et Sponsoring des plateformes digitales</t>
        </is>
      </c>
      <c r="C148" t="inlineStr">
        <is>
          <t>Services</t>
        </is>
      </c>
      <c r="D148" t="inlineStr">
        <is>
          <t>Appel d'offres ouvert</t>
        </is>
      </c>
      <c r="E148" t="inlineStr">
        <is>
          <t>T2</t>
        </is>
      </c>
      <c r="F148" t="inlineStr">
        <is>
          <t>Casablanca</t>
        </is>
      </c>
      <c r="G148" t="inlineStr">
        <is>
          <t>Non</t>
        </is>
      </c>
      <c r="H148" s="2" t="n">
        <v>500000</v>
      </c>
    </row>
    <row r="149">
      <c r="A149" t="inlineStr">
        <is>
          <t>Direction Centrale de la Régie publicitaire et des Solutions Digitales</t>
        </is>
      </c>
      <c r="B149" t="inlineStr">
        <is>
          <t>Solutions relatives au projet d'homologation RSSI</t>
        </is>
      </c>
      <c r="C149" t="inlineStr">
        <is>
          <t>Services</t>
        </is>
      </c>
      <c r="D149" t="inlineStr">
        <is>
          <t>Appel d'offres ouvert</t>
        </is>
      </c>
      <c r="E149" t="inlineStr">
        <is>
          <t>T2</t>
        </is>
      </c>
      <c r="F149" t="inlineStr">
        <is>
          <t>Casablanca</t>
        </is>
      </c>
      <c r="G149" t="inlineStr">
        <is>
          <t>Oui</t>
        </is>
      </c>
      <c r="H149" s="2" t="n">
        <v>300000</v>
      </c>
    </row>
    <row r="150">
      <c r="A150" t="inlineStr">
        <is>
          <t>Direction Centrale de la Régie publicitaire et des Solutions Digitales</t>
        </is>
      </c>
      <c r="B150" t="inlineStr">
        <is>
          <t>Développement de projets digitaux</t>
        </is>
      </c>
      <c r="C150" t="inlineStr">
        <is>
          <t>Services</t>
        </is>
      </c>
      <c r="D150" t="inlineStr">
        <is>
          <t>Appel d'offres ouvert</t>
        </is>
      </c>
      <c r="E150" t="inlineStr">
        <is>
          <t>T2</t>
        </is>
      </c>
      <c r="F150" t="inlineStr">
        <is>
          <t>Casablanca</t>
        </is>
      </c>
      <c r="G150" t="inlineStr">
        <is>
          <t>Oui</t>
        </is>
      </c>
      <c r="H150" s="2" t="n">
        <v>450000</v>
      </c>
    </row>
    <row r="151">
      <c r="A151" t="inlineStr">
        <is>
          <t>Responsable de la Sécurité des Systèmes d’Information (RSSI)</t>
        </is>
      </c>
      <c r="B151"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C151" t="inlineStr">
        <is>
          <t>Services</t>
        </is>
      </c>
      <c r="D151" t="inlineStr">
        <is>
          <t>Appel d'offres ouvert</t>
        </is>
      </c>
      <c r="E151" t="inlineStr">
        <is>
          <t>T2</t>
        </is>
      </c>
      <c r="F151" t="inlineStr">
        <is>
          <t>Rabat</t>
        </is>
      </c>
      <c r="G151" t="inlineStr">
        <is>
          <t>Non</t>
        </is>
      </c>
      <c r="H151" s="2" t="n">
        <v>1800000</v>
      </c>
    </row>
    <row r="152">
      <c r="A152" t="inlineStr">
        <is>
          <t>Responsable de la Sécurité des Systèmes d’Information (RSSI)</t>
        </is>
      </c>
      <c r="B152" t="inlineStr">
        <is>
          <t>Souscription au service de "Cyber Threat Intelligence (CTI)" pour les besoins des équipes CyberSOC et CyberCERT, dans le cadre de la mise en place du centre opérationnel de cybersécurité interne (CyberSOC &amp; CyberCERT) de la SNRT.</t>
        </is>
      </c>
      <c r="C152" t="inlineStr">
        <is>
          <t>Services</t>
        </is>
      </c>
      <c r="D152" t="inlineStr">
        <is>
          <t>Appel d'offres ouvert</t>
        </is>
      </c>
      <c r="E152" t="inlineStr">
        <is>
          <t>T2</t>
        </is>
      </c>
      <c r="F152" t="inlineStr">
        <is>
          <t>Rabat</t>
        </is>
      </c>
      <c r="G152" t="inlineStr">
        <is>
          <t>Non</t>
        </is>
      </c>
      <c r="H152" s="2" t="n">
        <v>750000</v>
      </c>
    </row>
    <row r="153">
      <c r="A153" t="inlineStr">
        <is>
          <t>Responsable de la Sécurité des Systèmes d’Information (RSSI)</t>
        </is>
      </c>
      <c r="B153"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C153" t="inlineStr">
        <is>
          <t>Services</t>
        </is>
      </c>
      <c r="D153" t="inlineStr">
        <is>
          <t>Appel d'offres ouvert</t>
        </is>
      </c>
      <c r="E153" t="inlineStr">
        <is>
          <t>T2</t>
        </is>
      </c>
      <c r="F153" t="inlineStr">
        <is>
          <t>Rabat</t>
        </is>
      </c>
      <c r="G153" t="inlineStr">
        <is>
          <t>Non</t>
        </is>
      </c>
      <c r="H153" s="2" t="n">
        <v>850000</v>
      </c>
    </row>
    <row r="154">
      <c r="A154" t="inlineStr">
        <is>
          <t>Responsable de la Sécurité des Systèmes d’Information (RSSI)</t>
        </is>
      </c>
      <c r="B154"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C154" t="inlineStr">
        <is>
          <t>Services</t>
        </is>
      </c>
      <c r="D154" t="inlineStr">
        <is>
          <t>Appel d'offres ouvert</t>
        </is>
      </c>
      <c r="E154" t="inlineStr">
        <is>
          <t>T4</t>
        </is>
      </c>
      <c r="F154" t="inlineStr">
        <is>
          <t>Rabat</t>
        </is>
      </c>
      <c r="G154" t="inlineStr">
        <is>
          <t>Non</t>
        </is>
      </c>
      <c r="H154" s="2" t="n">
        <v>800000</v>
      </c>
    </row>
    <row r="155">
      <c r="A155" t="inlineStr">
        <is>
          <t>Responsable de la Sécurité des Systèmes d’Information (RSSI)</t>
        </is>
      </c>
      <c r="B155" t="inlineStr">
        <is>
          <t>Accompagnement à la transition vers la nouvelle version ISO/IEC 27001:2022 et extension du domaine d'application du SMSI pour couvrir l'ensemble des systèmes d'information de la SNRT.</t>
        </is>
      </c>
      <c r="C155" t="inlineStr">
        <is>
          <t>Services</t>
        </is>
      </c>
      <c r="D155" t="inlineStr">
        <is>
          <t>Appel d'offres ouvert</t>
        </is>
      </c>
      <c r="E155" t="inlineStr">
        <is>
          <t>T4</t>
        </is>
      </c>
      <c r="F155" t="inlineStr">
        <is>
          <t>Rabat</t>
        </is>
      </c>
      <c r="G155" t="inlineStr">
        <is>
          <t>Non</t>
        </is>
      </c>
      <c r="H155" s="2" t="n">
        <v>450000</v>
      </c>
    </row>
    <row r="156">
      <c r="A156" t="inlineStr">
        <is>
          <t>Responsable de la Sécurité des Systèmes d’Information (RSSI)</t>
        </is>
      </c>
      <c r="B156" t="inlineStr">
        <is>
          <t>Réalisation de prestations d'audits de certification et de surveillance annuels du Système de Management de la Sécurité de l'Information (SMSI) selon la norme ISO/IEC 27001:2022</t>
        </is>
      </c>
      <c r="C156" t="inlineStr">
        <is>
          <t>Services</t>
        </is>
      </c>
      <c r="D156" t="inlineStr">
        <is>
          <t>Appel d'offres ouvert</t>
        </is>
      </c>
      <c r="E156" t="inlineStr">
        <is>
          <t>T4</t>
        </is>
      </c>
      <c r="F156" t="inlineStr">
        <is>
          <t>Rabat</t>
        </is>
      </c>
      <c r="G156" t="inlineStr">
        <is>
          <t>Non</t>
        </is>
      </c>
      <c r="H156" s="2" t="n">
        <v>200000</v>
      </c>
    </row>
    <row r="157">
      <c r="A157" t="inlineStr">
        <is>
          <t>Direction Attakafia</t>
        </is>
      </c>
      <c r="B157" t="inlineStr">
        <is>
          <t>Prestation de blanchisserie du linge et services associés au profit des journalistes présentateurs</t>
        </is>
      </c>
      <c r="C157" t="inlineStr">
        <is>
          <t>Services</t>
        </is>
      </c>
      <c r="D157" t="inlineStr">
        <is>
          <t>Appel d'offres ouvert</t>
        </is>
      </c>
      <c r="E157" t="inlineStr">
        <is>
          <t>T2</t>
        </is>
      </c>
      <c r="F157" t="inlineStr">
        <is>
          <t>Rabat</t>
        </is>
      </c>
      <c r="G157" t="inlineStr">
        <is>
          <t>Oui</t>
        </is>
      </c>
      <c r="H157" s="2" t="n">
        <v>60000</v>
      </c>
    </row>
    <row r="158">
      <c r="A158" t="inlineStr">
        <is>
          <t>Direction de la Chaîne TV Laayoune</t>
        </is>
      </c>
      <c r="B158" t="inlineStr">
        <is>
          <t>Fabrication de décor et conception d'habillage de l'émission "AL FADAA ARIYADI".</t>
        </is>
      </c>
      <c r="C158" t="inlineStr">
        <is>
          <t>Fournitures</t>
        </is>
      </c>
      <c r="D158" t="inlineStr">
        <is>
          <t>Appel d'offres ouvert</t>
        </is>
      </c>
      <c r="E158" t="inlineStr">
        <is>
          <t>T2</t>
        </is>
      </c>
      <c r="F158" t="inlineStr">
        <is>
          <t>Laayoune</t>
        </is>
      </c>
      <c r="G158" t="inlineStr">
        <is>
          <t>Non</t>
        </is>
      </c>
      <c r="H158" s="2" t="n">
        <v>300000</v>
      </c>
    </row>
    <row r="159">
      <c r="A159" t="inlineStr">
        <is>
          <t>Direction de la Chaîne TV Laayoune</t>
        </is>
      </c>
      <c r="B159" t="inlineStr">
        <is>
          <t>Fabrication de décor et conception d'habillage de l'émission "AAOYON ALMAGHRIB ".</t>
        </is>
      </c>
      <c r="C159" t="inlineStr">
        <is>
          <t>Fournitures</t>
        </is>
      </c>
      <c r="D159" t="inlineStr">
        <is>
          <t>Appel d'offres ouvert</t>
        </is>
      </c>
      <c r="E159" t="inlineStr">
        <is>
          <t>T2</t>
        </is>
      </c>
      <c r="F159" t="inlineStr">
        <is>
          <t>Laayoune</t>
        </is>
      </c>
      <c r="G159" t="inlineStr">
        <is>
          <t>Non</t>
        </is>
      </c>
      <c r="H159" s="2" t="n">
        <v>300000</v>
      </c>
    </row>
    <row r="160">
      <c r="A160" t="inlineStr">
        <is>
          <t>Direction Centrale Technique</t>
        </is>
      </c>
      <c r="B160" t="inlineStr">
        <is>
          <t>La fourniture et la mise en service de serveurs pour renouvellement de serveurs d’enregistrement et de replay pour les besoins de la production TV des manifestations sportives.</t>
        </is>
      </c>
      <c r="C160" t="inlineStr">
        <is>
          <t>Fournitures</t>
        </is>
      </c>
      <c r="D160" t="inlineStr">
        <is>
          <t>Appel d'offres ouvert</t>
        </is>
      </c>
      <c r="E160" t="inlineStr">
        <is>
          <t>T2</t>
        </is>
      </c>
      <c r="F160" t="inlineStr">
        <is>
          <t>Rabat</t>
        </is>
      </c>
      <c r="G160" t="inlineStr">
        <is>
          <t>Non</t>
        </is>
      </c>
      <c r="H160" s="2" t="n">
        <v>8948880</v>
      </c>
    </row>
    <row r="161">
      <c r="A161" t="inlineStr">
        <is>
          <t>Direction Centrale Technique</t>
        </is>
      </c>
      <c r="B161" t="inlineStr">
        <is>
          <t>Fourniture et mise en service d'un systéme d'intercom boradcast pour les besoins de la SNRT</t>
        </is>
      </c>
      <c r="C161" t="inlineStr">
        <is>
          <t>Fournitures</t>
        </is>
      </c>
      <c r="D161" t="inlineStr">
        <is>
          <t>Appel d'offres ouvert</t>
        </is>
      </c>
      <c r="E161" t="inlineStr">
        <is>
          <t>T2</t>
        </is>
      </c>
      <c r="F161" t="inlineStr">
        <is>
          <t>Rabat</t>
        </is>
      </c>
      <c r="G161" t="inlineStr">
        <is>
          <t>Non</t>
        </is>
      </c>
      <c r="H161" s="2" t="n">
        <v>291156</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H44"/>
  <sheetViews>
    <sheetView showGridLines="0" workbookViewId="0">
      <selection activeCell="A1" sqref="A1"/>
    </sheetView>
  </sheetViews>
  <sheetFormatPr baseColWidth="8" defaultRowHeight="15"/>
  <cols>
    <col width="42" customWidth="1" min="1" max="1"/>
    <col width="12" customWidth="1" min="2" max="2"/>
    <col width="20" customWidth="1" min="3" max="3"/>
    <col width="3" customWidth="1" min="4" max="4"/>
  </cols>
  <sheetData>
    <row r="1" ht="30" customHeight="1">
      <c r="A1" s="3" t="inlineStr">
        <is>
          <t>TABLEAU DE BORD - PROGRAMME PREVISIONNEL DES MARCHES (PPM) 2026</t>
        </is>
      </c>
    </row>
    <row r="3" ht="28" customHeight="1">
      <c r="A3" s="4" t="inlineStr">
        <is>
          <t>Nombre de marchés prévus</t>
        </is>
      </c>
      <c r="B3" s="5" t="n"/>
      <c r="C3" s="4" t="inlineStr">
        <is>
          <t>Montant total estimé (MAD)</t>
        </is>
      </c>
      <c r="D3" s="5" t="n"/>
      <c r="E3" s="4" t="inlineStr">
        <is>
          <t>Nombre de directions</t>
        </is>
      </c>
      <c r="F3" s="5" t="n"/>
      <c r="G3" s="4" t="inlineStr">
        <is>
          <t>% marchés réservés PME</t>
        </is>
      </c>
      <c r="H3" s="5" t="n"/>
    </row>
    <row r="4" ht="30" customHeight="1">
      <c r="A4" s="6">
        <f>COUNTA(Données!A2:A161)</f>
        <v/>
      </c>
      <c r="B4" s="5" t="n"/>
      <c r="C4" s="7">
        <f>SUM(Données!H2:H161)</f>
        <v/>
      </c>
      <c r="D4" s="5" t="n"/>
      <c r="E4" s="6">
        <f>SUMPRODUCT((Données!A2:A161&lt;&gt;"")/COUNTIF(Données!A2:A161,Données!A2:A161&amp;""))</f>
        <v/>
      </c>
      <c r="F4" s="5" t="n"/>
      <c r="G4" s="8">
        <f>COUNTIF(Données!G2:G161,"Oui")/COUNTA(Données!A2:A161)</f>
        <v/>
      </c>
      <c r="H4" s="5" t="n"/>
    </row>
    <row r="5">
      <c r="A5" s="5" t="n"/>
      <c r="B5" s="5" t="n"/>
      <c r="C5" s="5" t="n"/>
      <c r="D5" s="5" t="n"/>
      <c r="E5" s="5" t="n"/>
      <c r="F5" s="5" t="n"/>
      <c r="G5" s="5" t="n"/>
      <c r="H5" s="5" t="n"/>
    </row>
    <row r="7" ht="20" customHeight="1">
      <c r="A7" s="9" t="inlineStr">
        <is>
          <t>Répartition par Direction</t>
        </is>
      </c>
    </row>
    <row r="8">
      <c r="A8" s="10" t="inlineStr">
        <is>
          <t>Direction</t>
        </is>
      </c>
      <c r="B8" s="10" t="inlineStr">
        <is>
          <t>Nb marchés</t>
        </is>
      </c>
      <c r="C8" s="10" t="inlineStr">
        <is>
          <t>Montant estimé (MAD)</t>
        </is>
      </c>
    </row>
    <row r="9">
      <c r="A9" s="11" t="inlineStr">
        <is>
          <t>Direction Al Maghribia</t>
        </is>
      </c>
      <c r="B9" s="12">
        <f>COUNTIF(Données!$A$2:$A$161,A9)</f>
        <v/>
      </c>
      <c r="C9" s="13">
        <f>SUMIF(Données!$A$2:$A$161,A9,Données!$H$2:$H$161)</f>
        <v/>
      </c>
    </row>
    <row r="10">
      <c r="A10" s="11" t="inlineStr">
        <is>
          <t>Direction Attakafia</t>
        </is>
      </c>
      <c r="B10" s="12">
        <f>COUNTIF(Données!$A$2:$A$161,A10)</f>
        <v/>
      </c>
      <c r="C10" s="13">
        <f>SUMIF(Données!$A$2:$A$161,A10,Données!$H$2:$H$161)</f>
        <v/>
      </c>
    </row>
    <row r="11">
      <c r="A11" s="11" t="inlineStr">
        <is>
          <t>Direction Audit et Contrôle et de Gestion</t>
        </is>
      </c>
      <c r="B11" s="12">
        <f>COUNTIF(Données!$A$2:$A$161,A11)</f>
        <v/>
      </c>
      <c r="C11" s="13">
        <f>SUMIF(Données!$A$2:$A$161,A11,Données!$H$2:$H$161)</f>
        <v/>
      </c>
    </row>
    <row r="12">
      <c r="A12" s="11" t="inlineStr">
        <is>
          <t>Direction Centrale Marketing et Programmation TV</t>
        </is>
      </c>
      <c r="B12" s="12">
        <f>COUNTIF(Données!$A$2:$A$161,A12)</f>
        <v/>
      </c>
      <c r="C12" s="13">
        <f>SUMIF(Données!$A$2:$A$161,A12,Données!$H$2:$H$161)</f>
        <v/>
      </c>
    </row>
    <row r="13">
      <c r="A13" s="11" t="inlineStr">
        <is>
          <t>Direction Centrale Technique</t>
        </is>
      </c>
      <c r="B13" s="12">
        <f>COUNTIF(Données!$A$2:$A$161,A13)</f>
        <v/>
      </c>
      <c r="C13" s="13">
        <f>SUMIF(Données!$A$2:$A$161,A13,Données!$H$2:$H$161)</f>
        <v/>
      </c>
    </row>
    <row r="14">
      <c r="A14" s="11" t="inlineStr">
        <is>
          <t>Direction Centrale de la Production et de l'Antenne</t>
        </is>
      </c>
      <c r="B14" s="12">
        <f>COUNTIF(Données!$A$2:$A$161,A14)</f>
        <v/>
      </c>
      <c r="C14" s="13">
        <f>SUMIF(Données!$A$2:$A$161,A14,Données!$H$2:$H$161)</f>
        <v/>
      </c>
    </row>
    <row r="15">
      <c r="A15" s="11" t="inlineStr">
        <is>
          <t>Direction Centrale de la Régie publicitaire et des Solutions Digitales</t>
        </is>
      </c>
      <c r="B15" s="12">
        <f>COUNTIF(Données!$A$2:$A$161,A15)</f>
        <v/>
      </c>
      <c r="C15" s="13">
        <f>SUMIF(Données!$A$2:$A$161,A15,Données!$H$2:$H$161)</f>
        <v/>
      </c>
    </row>
    <row r="16">
      <c r="A16" s="11" t="inlineStr">
        <is>
          <t>Direction Financière</t>
        </is>
      </c>
      <c r="B16" s="12">
        <f>COUNTIF(Données!$A$2:$A$161,A16)</f>
        <v/>
      </c>
      <c r="C16" s="13">
        <f>SUMIF(Données!$A$2:$A$161,A16,Données!$H$2:$H$161)</f>
        <v/>
      </c>
    </row>
    <row r="17">
      <c r="A17" s="11" t="inlineStr">
        <is>
          <t>Direction chargée des programmes Amazigh Radio et TV</t>
        </is>
      </c>
      <c r="B17" s="12">
        <f>COUNTIF(Données!$A$2:$A$161,A17)</f>
        <v/>
      </c>
      <c r="C17" s="13">
        <f>SUMIF(Données!$A$2:$A$161,A17,Données!$H$2:$H$161)</f>
        <v/>
      </c>
    </row>
    <row r="18">
      <c r="A18" s="11" t="inlineStr">
        <is>
          <t>Direction de l'Information TV</t>
        </is>
      </c>
      <c r="B18" s="12">
        <f>COUNTIF(Données!$A$2:$A$161,A18)</f>
        <v/>
      </c>
      <c r="C18" s="13">
        <f>SUMIF(Données!$A$2:$A$161,A18,Données!$H$2:$H$161)</f>
        <v/>
      </c>
    </row>
    <row r="19">
      <c r="A19" s="11" t="inlineStr">
        <is>
          <t>Direction de la Chaîne TV Laayoune</t>
        </is>
      </c>
      <c r="B19" s="12">
        <f>COUNTIF(Données!$A$2:$A$161,A19)</f>
        <v/>
      </c>
      <c r="C19" s="13">
        <f>SUMIF(Données!$A$2:$A$161,A19,Données!$H$2:$H$161)</f>
        <v/>
      </c>
    </row>
    <row r="20">
      <c r="A20" s="11" t="inlineStr">
        <is>
          <t>Direction de la Télédiffusion</t>
        </is>
      </c>
      <c r="B20" s="12">
        <f>COUNTIF(Données!$A$2:$A$161,A20)</f>
        <v/>
      </c>
      <c r="C20" s="13">
        <f>SUMIF(Données!$A$2:$A$161,A20,Données!$H$2:$H$161)</f>
        <v/>
      </c>
    </row>
    <row r="21">
      <c r="A21" s="11" t="inlineStr">
        <is>
          <t>Direction des Ressources Humaines</t>
        </is>
      </c>
      <c r="B21" s="12">
        <f>COUNTIF(Données!$A$2:$A$161,A21)</f>
        <v/>
      </c>
      <c r="C21" s="13">
        <f>SUMIF(Données!$A$2:$A$161,A21,Données!$H$2:$H$161)</f>
        <v/>
      </c>
    </row>
    <row r="22">
      <c r="A22" s="11" t="inlineStr">
        <is>
          <t>Direction du Patrimoine et Moyens Généraux</t>
        </is>
      </c>
      <c r="B22" s="12">
        <f>COUNTIF(Données!$A$2:$A$161,A22)</f>
        <v/>
      </c>
      <c r="C22" s="13">
        <f>SUMIF(Données!$A$2:$A$161,A22,Données!$H$2:$H$161)</f>
        <v/>
      </c>
    </row>
    <row r="23">
      <c r="A23" s="11" t="inlineStr">
        <is>
          <t>Responsable de la Sécurité des Systèmes d’Information (RSSI)</t>
        </is>
      </c>
      <c r="B23" s="12">
        <f>COUNTIF(Données!$A$2:$A$161,A23)</f>
        <v/>
      </c>
      <c r="C23" s="13">
        <f>SUMIF(Données!$A$2:$A$161,A23,Données!$H$2:$H$161)</f>
        <v/>
      </c>
    </row>
    <row r="25" ht="20" customHeight="1">
      <c r="A25" s="9" t="inlineStr">
        <is>
          <t>Répartition par Nature de prestation</t>
        </is>
      </c>
    </row>
    <row r="26">
      <c r="A26" s="10" t="inlineStr">
        <is>
          <t>Nature</t>
        </is>
      </c>
      <c r="B26" s="10" t="inlineStr">
        <is>
          <t>Nb marchés</t>
        </is>
      </c>
      <c r="C26" s="10" t="inlineStr">
        <is>
          <t>Montant estimé (MAD)</t>
        </is>
      </c>
    </row>
    <row r="27">
      <c r="A27" s="11" t="inlineStr">
        <is>
          <t>Fournitures</t>
        </is>
      </c>
      <c r="B27" s="12">
        <f>COUNTIF(Données!$C$2:$C$161,A27)</f>
        <v/>
      </c>
      <c r="C27" s="13">
        <f>SUMIF(Données!$C$2:$C$161,A27,Données!$H$2:$H$161)</f>
        <v/>
      </c>
    </row>
    <row r="28">
      <c r="A28" s="11" t="inlineStr">
        <is>
          <t>Services</t>
        </is>
      </c>
      <c r="B28" s="12">
        <f>COUNTIF(Données!$C$2:$C$161,A28)</f>
        <v/>
      </c>
      <c r="C28" s="13">
        <f>SUMIF(Données!$C$2:$C$161,A28,Données!$H$2:$H$161)</f>
        <v/>
      </c>
    </row>
    <row r="29">
      <c r="A29" s="11" t="inlineStr">
        <is>
          <t>Travaux</t>
        </is>
      </c>
      <c r="B29" s="12">
        <f>COUNTIF(Données!$C$2:$C$161,A29)</f>
        <v/>
      </c>
      <c r="C29" s="13">
        <f>SUMIF(Données!$C$2:$C$161,A29,Données!$H$2:$H$161)</f>
        <v/>
      </c>
    </row>
    <row r="31" ht="20" customHeight="1">
      <c r="A31" s="9" t="inlineStr">
        <is>
          <t>Répartition par Période d'exécution</t>
        </is>
      </c>
    </row>
    <row r="32">
      <c r="A32" s="10" t="inlineStr">
        <is>
          <t>Période</t>
        </is>
      </c>
      <c r="B32" s="10" t="inlineStr">
        <is>
          <t>Nb marchés</t>
        </is>
      </c>
      <c r="C32" s="10" t="inlineStr">
        <is>
          <t>Montant estimé (MAD)</t>
        </is>
      </c>
    </row>
    <row r="33">
      <c r="A33" s="11" t="inlineStr">
        <is>
          <t>T1</t>
        </is>
      </c>
      <c r="B33" s="12">
        <f>COUNTIF(Données!$E$2:$E$161,A33)</f>
        <v/>
      </c>
      <c r="C33" s="13">
        <f>SUMIF(Données!$E$2:$E$161,A33,Données!$H$2:$H$161)</f>
        <v/>
      </c>
    </row>
    <row r="34">
      <c r="A34" s="11" t="inlineStr">
        <is>
          <t>T2</t>
        </is>
      </c>
      <c r="B34" s="12">
        <f>COUNTIF(Données!$E$2:$E$161,A34)</f>
        <v/>
      </c>
      <c r="C34" s="13">
        <f>SUMIF(Données!$E$2:$E$161,A34,Données!$H$2:$H$161)</f>
        <v/>
      </c>
    </row>
    <row r="35">
      <c r="A35" s="11" t="inlineStr">
        <is>
          <t>T3</t>
        </is>
      </c>
      <c r="B35" s="12">
        <f>COUNTIF(Données!$E$2:$E$161,A35)</f>
        <v/>
      </c>
      <c r="C35" s="13">
        <f>SUMIF(Données!$E$2:$E$161,A35,Données!$H$2:$H$161)</f>
        <v/>
      </c>
    </row>
    <row r="36">
      <c r="A36" s="11" t="inlineStr">
        <is>
          <t>T4</t>
        </is>
      </c>
      <c r="B36" s="12">
        <f>COUNTIF(Données!$E$2:$E$161,A36)</f>
        <v/>
      </c>
      <c r="C36" s="13">
        <f>SUMIF(Données!$E$2:$E$161,A36,Données!$H$2:$H$161)</f>
        <v/>
      </c>
    </row>
    <row r="37">
      <c r="A37" s="11" t="inlineStr">
        <is>
          <t>T1-T2</t>
        </is>
      </c>
      <c r="B37" s="12">
        <f>COUNTIF(Données!$E$2:$E$161,A37)</f>
        <v/>
      </c>
      <c r="C37" s="13">
        <f>SUMIF(Données!$E$2:$E$161,A37,Données!$H$2:$H$161)</f>
        <v/>
      </c>
    </row>
    <row r="38">
      <c r="A38" s="11" t="inlineStr">
        <is>
          <t>T1-T4</t>
        </is>
      </c>
      <c r="B38" s="12">
        <f>COUNTIF(Données!$E$2:$E$161,A38)</f>
        <v/>
      </c>
      <c r="C38" s="13">
        <f>SUMIF(Données!$E$2:$E$161,A38,Données!$H$2:$H$161)</f>
        <v/>
      </c>
    </row>
    <row r="39">
      <c r="A39" s="11" t="inlineStr">
        <is>
          <t>T2 - T3 - T4</t>
        </is>
      </c>
      <c r="B39" s="12">
        <f>COUNTIF(Données!$E$2:$E$161,A39)</f>
        <v/>
      </c>
      <c r="C39" s="13">
        <f>SUMIF(Données!$E$2:$E$161,A39,Données!$H$2:$H$161)</f>
        <v/>
      </c>
    </row>
    <row r="41" ht="20" customHeight="1">
      <c r="A41" s="9" t="inlineStr">
        <is>
          <t>Marchés réservés aux PME</t>
        </is>
      </c>
    </row>
    <row r="42">
      <c r="A42" s="10" t="inlineStr">
        <is>
          <t>Réservé PME</t>
        </is>
      </c>
      <c r="B42" s="10" t="inlineStr">
        <is>
          <t>Nb marchés</t>
        </is>
      </c>
      <c r="C42" s="10" t="inlineStr">
        <is>
          <t>Montant estimé (MAD)</t>
        </is>
      </c>
    </row>
    <row r="43">
      <c r="A43" s="11" t="inlineStr">
        <is>
          <t>Oui</t>
        </is>
      </c>
      <c r="B43" s="12">
        <f>COUNTIF(Données!$G$2:$G$161,A43)</f>
        <v/>
      </c>
      <c r="C43" s="13">
        <f>SUMIF(Données!$G$2:$G$161,A43,Données!$H$2:$H$161)</f>
        <v/>
      </c>
    </row>
    <row r="44">
      <c r="A44" s="11" t="inlineStr">
        <is>
          <t>Non</t>
        </is>
      </c>
      <c r="B44" s="12">
        <f>COUNTIF(Données!$G$2:$G$161,A44)</f>
        <v/>
      </c>
      <c r="C44" s="13">
        <f>SUMIF(Données!$G$2:$G$161,A44,Données!$H$2:$H$161)</f>
        <v/>
      </c>
    </row>
  </sheetData>
  <mergeCells count="13">
    <mergeCell ref="A25:C25"/>
    <mergeCell ref="C4:D5"/>
    <mergeCell ref="A4:B5"/>
    <mergeCell ref="G4:H5"/>
    <mergeCell ref="E4:F5"/>
    <mergeCell ref="A41:C41"/>
    <mergeCell ref="A31:C31"/>
    <mergeCell ref="A1:H1"/>
    <mergeCell ref="A7:C7"/>
    <mergeCell ref="C3:D3"/>
    <mergeCell ref="A3:B3"/>
    <mergeCell ref="G3:H3"/>
    <mergeCell ref="E3:F3"/>
  </mergeCells>
  <pageMargins left="0.75" right="0.75" top="1" bottom="1" header="0.5" footer="0.5"/>
  <drawing xmlns:r="http://schemas.openxmlformats.org/officeDocument/2006/relationships" r:id="rId1"/>
</worksheet>
</file>

<file path=xl/worksheets/sheet3.xml><?xml version="1.0" encoding="utf-8"?>
<worksheet xmlns="http://schemas.openxmlformats.org/spreadsheetml/2006/main">
  <sheetPr>
    <outlinePr summaryBelow="1" summaryRight="1"/>
    <pageSetUpPr/>
  </sheetPr>
  <dimension ref="A1:I344"/>
  <sheetViews>
    <sheetView showGridLines="0" workbookViewId="0">
      <pane ySplit="4" topLeftCell="A5" activePane="bottomLeft" state="frozen"/>
      <selection pane="bottomLeft" activeCell="A1" sqref="A1"/>
    </sheetView>
  </sheetViews>
  <sheetFormatPr baseColWidth="8" defaultRowHeight="15"/>
  <cols>
    <col width="46" customWidth="1" min="1" max="1"/>
    <col width="14" customWidth="1" min="2" max="2"/>
    <col width="16" customWidth="1" min="3" max="3"/>
    <col width="14" customWidth="1" min="4" max="4"/>
    <col width="22" customWidth="1" min="5" max="5"/>
    <col width="12" customWidth="1" min="6" max="6"/>
    <col width="16" customWidth="1" min="7" max="7"/>
    <col width="10" customWidth="1" min="8" max="8"/>
    <col width="16" customWidth="1" min="9" max="9"/>
  </cols>
  <sheetData>
    <row r="1" ht="30" customHeight="1">
      <c r="A1" s="3" t="inlineStr">
        <is>
          <t>DETAIL PAR DIRECTION ET NATURE DE PRESTATION</t>
        </is>
      </c>
    </row>
    <row r="3">
      <c r="A3" s="9" t="inlineStr">
        <is>
          <t>Matrice de synthèse — Direction x Nature de prestation</t>
        </is>
      </c>
    </row>
    <row r="4">
      <c r="A4" s="14" t="inlineStr">
        <is>
          <t>Direction</t>
        </is>
      </c>
      <c r="B4" s="14" t="inlineStr">
        <is>
          <t>Fournitures (Nb)</t>
        </is>
      </c>
      <c r="C4" s="14" t="inlineStr">
        <is>
          <t>Fournitures (MAD)</t>
        </is>
      </c>
      <c r="D4" s="14" t="inlineStr">
        <is>
          <t>Services (Nb)</t>
        </is>
      </c>
      <c r="E4" s="14" t="inlineStr">
        <is>
          <t>Services (MAD)</t>
        </is>
      </c>
      <c r="F4" s="14" t="inlineStr">
        <is>
          <t>Travaux (Nb)</t>
        </is>
      </c>
      <c r="G4" s="14" t="inlineStr">
        <is>
          <t>Travaux (MAD)</t>
        </is>
      </c>
      <c r="H4" s="14" t="inlineStr">
        <is>
          <t>Total (Nb)</t>
        </is>
      </c>
      <c r="I4" s="14" t="inlineStr">
        <is>
          <t>Total (MAD)</t>
        </is>
      </c>
    </row>
    <row r="5">
      <c r="A5" s="15" t="inlineStr">
        <is>
          <t>Direction Al Maghribia</t>
        </is>
      </c>
      <c r="B5" s="12">
        <f>COUNTIFS(Données!$A$2:$A$161,$A5,Données!$C$2:$C$161,"Fournitures")</f>
        <v/>
      </c>
      <c r="C5" s="16">
        <f>SUMIFS(Données!$H$2:$H$161,Données!$A$2:$A$161,$A5,Données!$C$2:$C$161,"Fournitures")</f>
        <v/>
      </c>
      <c r="D5" s="12">
        <f>COUNTIFS(Données!$A$2:$A$161,$A5,Données!$C$2:$C$161,"Services")</f>
        <v/>
      </c>
      <c r="E5" s="16">
        <f>SUMIFS(Données!$H$2:$H$161,Données!$A$2:$A$161,$A5,Données!$C$2:$C$161,"Services")</f>
        <v/>
      </c>
      <c r="F5" s="12">
        <f>COUNTIFS(Données!$A$2:$A$161,$A5,Données!$C$2:$C$161,"Travaux")</f>
        <v/>
      </c>
      <c r="G5" s="16">
        <f>SUMIFS(Données!$H$2:$H$161,Données!$A$2:$A$161,$A5,Données!$C$2:$C$161,"Travaux")</f>
        <v/>
      </c>
      <c r="H5" s="12">
        <f>COUNTIF(Données!$A$2:$A$161,$A5)</f>
        <v/>
      </c>
      <c r="I5" s="16">
        <f>SUMIF(Données!$A$2:$A$161,$A5,Données!$H$2:$H$161)</f>
        <v/>
      </c>
    </row>
    <row r="6">
      <c r="A6" s="15" t="inlineStr">
        <is>
          <t>Direction Attakafia</t>
        </is>
      </c>
      <c r="B6" s="12">
        <f>COUNTIFS(Données!$A$2:$A$161,$A6,Données!$C$2:$C$161,"Fournitures")</f>
        <v/>
      </c>
      <c r="C6" s="16">
        <f>SUMIFS(Données!$H$2:$H$161,Données!$A$2:$A$161,$A6,Données!$C$2:$C$161,"Fournitures")</f>
        <v/>
      </c>
      <c r="D6" s="12">
        <f>COUNTIFS(Données!$A$2:$A$161,$A6,Données!$C$2:$C$161,"Services")</f>
        <v/>
      </c>
      <c r="E6" s="16">
        <f>SUMIFS(Données!$H$2:$H$161,Données!$A$2:$A$161,$A6,Données!$C$2:$C$161,"Services")</f>
        <v/>
      </c>
      <c r="F6" s="12">
        <f>COUNTIFS(Données!$A$2:$A$161,$A6,Données!$C$2:$C$161,"Travaux")</f>
        <v/>
      </c>
      <c r="G6" s="16">
        <f>SUMIFS(Données!$H$2:$H$161,Données!$A$2:$A$161,$A6,Données!$C$2:$C$161,"Travaux")</f>
        <v/>
      </c>
      <c r="H6" s="12">
        <f>COUNTIF(Données!$A$2:$A$161,$A6)</f>
        <v/>
      </c>
      <c r="I6" s="16">
        <f>SUMIF(Données!$A$2:$A$161,$A6,Données!$H$2:$H$161)</f>
        <v/>
      </c>
    </row>
    <row r="7">
      <c r="A7" s="15" t="inlineStr">
        <is>
          <t>Direction Audit et Contrôle et de Gestion</t>
        </is>
      </c>
      <c r="B7" s="12">
        <f>COUNTIFS(Données!$A$2:$A$161,$A7,Données!$C$2:$C$161,"Fournitures")</f>
        <v/>
      </c>
      <c r="C7" s="16">
        <f>SUMIFS(Données!$H$2:$H$161,Données!$A$2:$A$161,$A7,Données!$C$2:$C$161,"Fournitures")</f>
        <v/>
      </c>
      <c r="D7" s="12">
        <f>COUNTIFS(Données!$A$2:$A$161,$A7,Données!$C$2:$C$161,"Services")</f>
        <v/>
      </c>
      <c r="E7" s="16">
        <f>SUMIFS(Données!$H$2:$H$161,Données!$A$2:$A$161,$A7,Données!$C$2:$C$161,"Services")</f>
        <v/>
      </c>
      <c r="F7" s="12">
        <f>COUNTIFS(Données!$A$2:$A$161,$A7,Données!$C$2:$C$161,"Travaux")</f>
        <v/>
      </c>
      <c r="G7" s="16">
        <f>SUMIFS(Données!$H$2:$H$161,Données!$A$2:$A$161,$A7,Données!$C$2:$C$161,"Travaux")</f>
        <v/>
      </c>
      <c r="H7" s="12">
        <f>COUNTIF(Données!$A$2:$A$161,$A7)</f>
        <v/>
      </c>
      <c r="I7" s="16">
        <f>SUMIF(Données!$A$2:$A$161,$A7,Données!$H$2:$H$161)</f>
        <v/>
      </c>
    </row>
    <row r="8">
      <c r="A8" s="15" t="inlineStr">
        <is>
          <t>Direction Centrale Marketing et Programmation TV</t>
        </is>
      </c>
      <c r="B8" s="12">
        <f>COUNTIFS(Données!$A$2:$A$161,$A8,Données!$C$2:$C$161,"Fournitures")</f>
        <v/>
      </c>
      <c r="C8" s="16">
        <f>SUMIFS(Données!$H$2:$H$161,Données!$A$2:$A$161,$A8,Données!$C$2:$C$161,"Fournitures")</f>
        <v/>
      </c>
      <c r="D8" s="12">
        <f>COUNTIFS(Données!$A$2:$A$161,$A8,Données!$C$2:$C$161,"Services")</f>
        <v/>
      </c>
      <c r="E8" s="16">
        <f>SUMIFS(Données!$H$2:$H$161,Données!$A$2:$A$161,$A8,Données!$C$2:$C$161,"Services")</f>
        <v/>
      </c>
      <c r="F8" s="12">
        <f>COUNTIFS(Données!$A$2:$A$161,$A8,Données!$C$2:$C$161,"Travaux")</f>
        <v/>
      </c>
      <c r="G8" s="16">
        <f>SUMIFS(Données!$H$2:$H$161,Données!$A$2:$A$161,$A8,Données!$C$2:$C$161,"Travaux")</f>
        <v/>
      </c>
      <c r="H8" s="12">
        <f>COUNTIF(Données!$A$2:$A$161,$A8)</f>
        <v/>
      </c>
      <c r="I8" s="16">
        <f>SUMIF(Données!$A$2:$A$161,$A8,Données!$H$2:$H$161)</f>
        <v/>
      </c>
    </row>
    <row r="9">
      <c r="A9" s="15" t="inlineStr">
        <is>
          <t>Direction Centrale Technique</t>
        </is>
      </c>
      <c r="B9" s="12">
        <f>COUNTIFS(Données!$A$2:$A$161,$A9,Données!$C$2:$C$161,"Fournitures")</f>
        <v/>
      </c>
      <c r="C9" s="16">
        <f>SUMIFS(Données!$H$2:$H$161,Données!$A$2:$A$161,$A9,Données!$C$2:$C$161,"Fournitures")</f>
        <v/>
      </c>
      <c r="D9" s="12">
        <f>COUNTIFS(Données!$A$2:$A$161,$A9,Données!$C$2:$C$161,"Services")</f>
        <v/>
      </c>
      <c r="E9" s="16">
        <f>SUMIFS(Données!$H$2:$H$161,Données!$A$2:$A$161,$A9,Données!$C$2:$C$161,"Services")</f>
        <v/>
      </c>
      <c r="F9" s="12">
        <f>COUNTIFS(Données!$A$2:$A$161,$A9,Données!$C$2:$C$161,"Travaux")</f>
        <v/>
      </c>
      <c r="G9" s="16">
        <f>SUMIFS(Données!$H$2:$H$161,Données!$A$2:$A$161,$A9,Données!$C$2:$C$161,"Travaux")</f>
        <v/>
      </c>
      <c r="H9" s="12">
        <f>COUNTIF(Données!$A$2:$A$161,$A9)</f>
        <v/>
      </c>
      <c r="I9" s="16">
        <f>SUMIF(Données!$A$2:$A$161,$A9,Données!$H$2:$H$161)</f>
        <v/>
      </c>
    </row>
    <row r="10">
      <c r="A10" s="15" t="inlineStr">
        <is>
          <t>Direction Centrale de la Production et de l'Antenne</t>
        </is>
      </c>
      <c r="B10" s="12">
        <f>COUNTIFS(Données!$A$2:$A$161,$A10,Données!$C$2:$C$161,"Fournitures")</f>
        <v/>
      </c>
      <c r="C10" s="16">
        <f>SUMIFS(Données!$H$2:$H$161,Données!$A$2:$A$161,$A10,Données!$C$2:$C$161,"Fournitures")</f>
        <v/>
      </c>
      <c r="D10" s="12">
        <f>COUNTIFS(Données!$A$2:$A$161,$A10,Données!$C$2:$C$161,"Services")</f>
        <v/>
      </c>
      <c r="E10" s="16">
        <f>SUMIFS(Données!$H$2:$H$161,Données!$A$2:$A$161,$A10,Données!$C$2:$C$161,"Services")</f>
        <v/>
      </c>
      <c r="F10" s="12">
        <f>COUNTIFS(Données!$A$2:$A$161,$A10,Données!$C$2:$C$161,"Travaux")</f>
        <v/>
      </c>
      <c r="G10" s="16">
        <f>SUMIFS(Données!$H$2:$H$161,Données!$A$2:$A$161,$A10,Données!$C$2:$C$161,"Travaux")</f>
        <v/>
      </c>
      <c r="H10" s="12">
        <f>COUNTIF(Données!$A$2:$A$161,$A10)</f>
        <v/>
      </c>
      <c r="I10" s="16">
        <f>SUMIF(Données!$A$2:$A$161,$A10,Données!$H$2:$H$161)</f>
        <v/>
      </c>
    </row>
    <row r="11">
      <c r="A11" s="15" t="inlineStr">
        <is>
          <t>Direction Centrale de la Régie publicitaire et des Solutions Digitales</t>
        </is>
      </c>
      <c r="B11" s="12">
        <f>COUNTIFS(Données!$A$2:$A$161,$A11,Données!$C$2:$C$161,"Fournitures")</f>
        <v/>
      </c>
      <c r="C11" s="16">
        <f>SUMIFS(Données!$H$2:$H$161,Données!$A$2:$A$161,$A11,Données!$C$2:$C$161,"Fournitures")</f>
        <v/>
      </c>
      <c r="D11" s="12">
        <f>COUNTIFS(Données!$A$2:$A$161,$A11,Données!$C$2:$C$161,"Services")</f>
        <v/>
      </c>
      <c r="E11" s="16">
        <f>SUMIFS(Données!$H$2:$H$161,Données!$A$2:$A$161,$A11,Données!$C$2:$C$161,"Services")</f>
        <v/>
      </c>
      <c r="F11" s="12">
        <f>COUNTIFS(Données!$A$2:$A$161,$A11,Données!$C$2:$C$161,"Travaux")</f>
        <v/>
      </c>
      <c r="G11" s="16">
        <f>SUMIFS(Données!$H$2:$H$161,Données!$A$2:$A$161,$A11,Données!$C$2:$C$161,"Travaux")</f>
        <v/>
      </c>
      <c r="H11" s="12">
        <f>COUNTIF(Données!$A$2:$A$161,$A11)</f>
        <v/>
      </c>
      <c r="I11" s="16">
        <f>SUMIF(Données!$A$2:$A$161,$A11,Données!$H$2:$H$161)</f>
        <v/>
      </c>
    </row>
    <row r="12">
      <c r="A12" s="15" t="inlineStr">
        <is>
          <t>Direction Financière</t>
        </is>
      </c>
      <c r="B12" s="12">
        <f>COUNTIFS(Données!$A$2:$A$161,$A12,Données!$C$2:$C$161,"Fournitures")</f>
        <v/>
      </c>
      <c r="C12" s="16">
        <f>SUMIFS(Données!$H$2:$H$161,Données!$A$2:$A$161,$A12,Données!$C$2:$C$161,"Fournitures")</f>
        <v/>
      </c>
      <c r="D12" s="12">
        <f>COUNTIFS(Données!$A$2:$A$161,$A12,Données!$C$2:$C$161,"Services")</f>
        <v/>
      </c>
      <c r="E12" s="16">
        <f>SUMIFS(Données!$H$2:$H$161,Données!$A$2:$A$161,$A12,Données!$C$2:$C$161,"Services")</f>
        <v/>
      </c>
      <c r="F12" s="12">
        <f>COUNTIFS(Données!$A$2:$A$161,$A12,Données!$C$2:$C$161,"Travaux")</f>
        <v/>
      </c>
      <c r="G12" s="16">
        <f>SUMIFS(Données!$H$2:$H$161,Données!$A$2:$A$161,$A12,Données!$C$2:$C$161,"Travaux")</f>
        <v/>
      </c>
      <c r="H12" s="12">
        <f>COUNTIF(Données!$A$2:$A$161,$A12)</f>
        <v/>
      </c>
      <c r="I12" s="16">
        <f>SUMIF(Données!$A$2:$A$161,$A12,Données!$H$2:$H$161)</f>
        <v/>
      </c>
    </row>
    <row r="13">
      <c r="A13" s="15" t="inlineStr">
        <is>
          <t>Direction chargée des programmes Amazigh Radio et TV</t>
        </is>
      </c>
      <c r="B13" s="12">
        <f>COUNTIFS(Données!$A$2:$A$161,$A13,Données!$C$2:$C$161,"Fournitures")</f>
        <v/>
      </c>
      <c r="C13" s="16">
        <f>SUMIFS(Données!$H$2:$H$161,Données!$A$2:$A$161,$A13,Données!$C$2:$C$161,"Fournitures")</f>
        <v/>
      </c>
      <c r="D13" s="12">
        <f>COUNTIFS(Données!$A$2:$A$161,$A13,Données!$C$2:$C$161,"Services")</f>
        <v/>
      </c>
      <c r="E13" s="16">
        <f>SUMIFS(Données!$H$2:$H$161,Données!$A$2:$A$161,$A13,Données!$C$2:$C$161,"Services")</f>
        <v/>
      </c>
      <c r="F13" s="12">
        <f>COUNTIFS(Données!$A$2:$A$161,$A13,Données!$C$2:$C$161,"Travaux")</f>
        <v/>
      </c>
      <c r="G13" s="16">
        <f>SUMIFS(Données!$H$2:$H$161,Données!$A$2:$A$161,$A13,Données!$C$2:$C$161,"Travaux")</f>
        <v/>
      </c>
      <c r="H13" s="12">
        <f>COUNTIF(Données!$A$2:$A$161,$A13)</f>
        <v/>
      </c>
      <c r="I13" s="16">
        <f>SUMIF(Données!$A$2:$A$161,$A13,Données!$H$2:$H$161)</f>
        <v/>
      </c>
    </row>
    <row r="14">
      <c r="A14" s="15" t="inlineStr">
        <is>
          <t>Direction de l'Information TV</t>
        </is>
      </c>
      <c r="B14" s="12">
        <f>COUNTIFS(Données!$A$2:$A$161,$A14,Données!$C$2:$C$161,"Fournitures")</f>
        <v/>
      </c>
      <c r="C14" s="16">
        <f>SUMIFS(Données!$H$2:$H$161,Données!$A$2:$A$161,$A14,Données!$C$2:$C$161,"Fournitures")</f>
        <v/>
      </c>
      <c r="D14" s="12">
        <f>COUNTIFS(Données!$A$2:$A$161,$A14,Données!$C$2:$C$161,"Services")</f>
        <v/>
      </c>
      <c r="E14" s="16">
        <f>SUMIFS(Données!$H$2:$H$161,Données!$A$2:$A$161,$A14,Données!$C$2:$C$161,"Services")</f>
        <v/>
      </c>
      <c r="F14" s="12">
        <f>COUNTIFS(Données!$A$2:$A$161,$A14,Données!$C$2:$C$161,"Travaux")</f>
        <v/>
      </c>
      <c r="G14" s="16">
        <f>SUMIFS(Données!$H$2:$H$161,Données!$A$2:$A$161,$A14,Données!$C$2:$C$161,"Travaux")</f>
        <v/>
      </c>
      <c r="H14" s="12">
        <f>COUNTIF(Données!$A$2:$A$161,$A14)</f>
        <v/>
      </c>
      <c r="I14" s="16">
        <f>SUMIF(Données!$A$2:$A$161,$A14,Données!$H$2:$H$161)</f>
        <v/>
      </c>
    </row>
    <row r="15">
      <c r="A15" s="15" t="inlineStr">
        <is>
          <t>Direction de la Chaîne TV Laayoune</t>
        </is>
      </c>
      <c r="B15" s="12">
        <f>COUNTIFS(Données!$A$2:$A$161,$A15,Données!$C$2:$C$161,"Fournitures")</f>
        <v/>
      </c>
      <c r="C15" s="16">
        <f>SUMIFS(Données!$H$2:$H$161,Données!$A$2:$A$161,$A15,Données!$C$2:$C$161,"Fournitures")</f>
        <v/>
      </c>
      <c r="D15" s="12">
        <f>COUNTIFS(Données!$A$2:$A$161,$A15,Données!$C$2:$C$161,"Services")</f>
        <v/>
      </c>
      <c r="E15" s="16">
        <f>SUMIFS(Données!$H$2:$H$161,Données!$A$2:$A$161,$A15,Données!$C$2:$C$161,"Services")</f>
        <v/>
      </c>
      <c r="F15" s="12">
        <f>COUNTIFS(Données!$A$2:$A$161,$A15,Données!$C$2:$C$161,"Travaux")</f>
        <v/>
      </c>
      <c r="G15" s="16">
        <f>SUMIFS(Données!$H$2:$H$161,Données!$A$2:$A$161,$A15,Données!$C$2:$C$161,"Travaux")</f>
        <v/>
      </c>
      <c r="H15" s="12">
        <f>COUNTIF(Données!$A$2:$A$161,$A15)</f>
        <v/>
      </c>
      <c r="I15" s="16">
        <f>SUMIF(Données!$A$2:$A$161,$A15,Données!$H$2:$H$161)</f>
        <v/>
      </c>
    </row>
    <row r="16">
      <c r="A16" s="15" t="inlineStr">
        <is>
          <t>Direction de la Télédiffusion</t>
        </is>
      </c>
      <c r="B16" s="12">
        <f>COUNTIFS(Données!$A$2:$A$161,$A16,Données!$C$2:$C$161,"Fournitures")</f>
        <v/>
      </c>
      <c r="C16" s="16">
        <f>SUMIFS(Données!$H$2:$H$161,Données!$A$2:$A$161,$A16,Données!$C$2:$C$161,"Fournitures")</f>
        <v/>
      </c>
      <c r="D16" s="12">
        <f>COUNTIFS(Données!$A$2:$A$161,$A16,Données!$C$2:$C$161,"Services")</f>
        <v/>
      </c>
      <c r="E16" s="16">
        <f>SUMIFS(Données!$H$2:$H$161,Données!$A$2:$A$161,$A16,Données!$C$2:$C$161,"Services")</f>
        <v/>
      </c>
      <c r="F16" s="12">
        <f>COUNTIFS(Données!$A$2:$A$161,$A16,Données!$C$2:$C$161,"Travaux")</f>
        <v/>
      </c>
      <c r="G16" s="16">
        <f>SUMIFS(Données!$H$2:$H$161,Données!$A$2:$A$161,$A16,Données!$C$2:$C$161,"Travaux")</f>
        <v/>
      </c>
      <c r="H16" s="12">
        <f>COUNTIF(Données!$A$2:$A$161,$A16)</f>
        <v/>
      </c>
      <c r="I16" s="16">
        <f>SUMIF(Données!$A$2:$A$161,$A16,Données!$H$2:$H$161)</f>
        <v/>
      </c>
    </row>
    <row r="17">
      <c r="A17" s="15" t="inlineStr">
        <is>
          <t>Direction des Ressources Humaines</t>
        </is>
      </c>
      <c r="B17" s="12">
        <f>COUNTIFS(Données!$A$2:$A$161,$A17,Données!$C$2:$C$161,"Fournitures")</f>
        <v/>
      </c>
      <c r="C17" s="16">
        <f>SUMIFS(Données!$H$2:$H$161,Données!$A$2:$A$161,$A17,Données!$C$2:$C$161,"Fournitures")</f>
        <v/>
      </c>
      <c r="D17" s="12">
        <f>COUNTIFS(Données!$A$2:$A$161,$A17,Données!$C$2:$C$161,"Services")</f>
        <v/>
      </c>
      <c r="E17" s="16">
        <f>SUMIFS(Données!$H$2:$H$161,Données!$A$2:$A$161,$A17,Données!$C$2:$C$161,"Services")</f>
        <v/>
      </c>
      <c r="F17" s="12">
        <f>COUNTIFS(Données!$A$2:$A$161,$A17,Données!$C$2:$C$161,"Travaux")</f>
        <v/>
      </c>
      <c r="G17" s="16">
        <f>SUMIFS(Données!$H$2:$H$161,Données!$A$2:$A$161,$A17,Données!$C$2:$C$161,"Travaux")</f>
        <v/>
      </c>
      <c r="H17" s="12">
        <f>COUNTIF(Données!$A$2:$A$161,$A17)</f>
        <v/>
      </c>
      <c r="I17" s="16">
        <f>SUMIF(Données!$A$2:$A$161,$A17,Données!$H$2:$H$161)</f>
        <v/>
      </c>
    </row>
    <row r="18">
      <c r="A18" s="15" t="inlineStr">
        <is>
          <t>Direction du Patrimoine et Moyens Généraux</t>
        </is>
      </c>
      <c r="B18" s="12">
        <f>COUNTIFS(Données!$A$2:$A$161,$A18,Données!$C$2:$C$161,"Fournitures")</f>
        <v/>
      </c>
      <c r="C18" s="16">
        <f>SUMIFS(Données!$H$2:$H$161,Données!$A$2:$A$161,$A18,Données!$C$2:$C$161,"Fournitures")</f>
        <v/>
      </c>
      <c r="D18" s="12">
        <f>COUNTIFS(Données!$A$2:$A$161,$A18,Données!$C$2:$C$161,"Services")</f>
        <v/>
      </c>
      <c r="E18" s="16">
        <f>SUMIFS(Données!$H$2:$H$161,Données!$A$2:$A$161,$A18,Données!$C$2:$C$161,"Services")</f>
        <v/>
      </c>
      <c r="F18" s="12">
        <f>COUNTIFS(Données!$A$2:$A$161,$A18,Données!$C$2:$C$161,"Travaux")</f>
        <v/>
      </c>
      <c r="G18" s="16">
        <f>SUMIFS(Données!$H$2:$H$161,Données!$A$2:$A$161,$A18,Données!$C$2:$C$161,"Travaux")</f>
        <v/>
      </c>
      <c r="H18" s="12">
        <f>COUNTIF(Données!$A$2:$A$161,$A18)</f>
        <v/>
      </c>
      <c r="I18" s="16">
        <f>SUMIF(Données!$A$2:$A$161,$A18,Données!$H$2:$H$161)</f>
        <v/>
      </c>
    </row>
    <row r="19">
      <c r="A19" s="15" t="inlineStr">
        <is>
          <t>Responsable de la Sécurité des Systèmes d’Information (RSSI)</t>
        </is>
      </c>
      <c r="B19" s="12">
        <f>COUNTIFS(Données!$A$2:$A$161,$A19,Données!$C$2:$C$161,"Fournitures")</f>
        <v/>
      </c>
      <c r="C19" s="16">
        <f>SUMIFS(Données!$H$2:$H$161,Données!$A$2:$A$161,$A19,Données!$C$2:$C$161,"Fournitures")</f>
        <v/>
      </c>
      <c r="D19" s="12">
        <f>COUNTIFS(Données!$A$2:$A$161,$A19,Données!$C$2:$C$161,"Services")</f>
        <v/>
      </c>
      <c r="E19" s="16">
        <f>SUMIFS(Données!$H$2:$H$161,Données!$A$2:$A$161,$A19,Données!$C$2:$C$161,"Services")</f>
        <v/>
      </c>
      <c r="F19" s="12">
        <f>COUNTIFS(Données!$A$2:$A$161,$A19,Données!$C$2:$C$161,"Travaux")</f>
        <v/>
      </c>
      <c r="G19" s="16">
        <f>SUMIFS(Données!$H$2:$H$161,Données!$A$2:$A$161,$A19,Données!$C$2:$C$161,"Travaux")</f>
        <v/>
      </c>
      <c r="H19" s="12">
        <f>COUNTIF(Données!$A$2:$A$161,$A19)</f>
        <v/>
      </c>
      <c r="I19" s="16">
        <f>SUMIF(Données!$A$2:$A$161,$A19,Données!$H$2:$H$161)</f>
        <v/>
      </c>
    </row>
    <row r="20">
      <c r="A20" s="17" t="inlineStr">
        <is>
          <t>TOTAL</t>
        </is>
      </c>
      <c r="B20" s="18">
        <f>SUM(B5:B19)</f>
        <v/>
      </c>
      <c r="C20" s="19">
        <f>SUM(C5:C19)</f>
        <v/>
      </c>
      <c r="D20" s="18">
        <f>SUM(D5:D19)</f>
        <v/>
      </c>
      <c r="E20" s="19">
        <f>SUM(E5:E19)</f>
        <v/>
      </c>
      <c r="F20" s="18">
        <f>SUM(F5:F19)</f>
        <v/>
      </c>
      <c r="G20" s="19">
        <f>SUM(G5:G19)</f>
        <v/>
      </c>
      <c r="H20" s="18">
        <f>SUM(H5:H19)</f>
        <v/>
      </c>
      <c r="I20" s="19">
        <f>SUM(I5:I19)</f>
        <v/>
      </c>
    </row>
    <row r="22">
      <c r="A22" s="20" t="inlineStr">
        <is>
          <t>Direction Al Maghribia</t>
        </is>
      </c>
    </row>
    <row r="23">
      <c r="A23" s="21" t="inlineStr">
        <is>
          <t>&lt; Retour à la matrice</t>
        </is>
      </c>
    </row>
    <row r="24">
      <c r="A24" s="22" t="inlineStr">
        <is>
          <t>Nb marchés : 2    |    Montant total estimé : 210 000 MAD</t>
        </is>
      </c>
    </row>
    <row r="25">
      <c r="A25" s="10" t="inlineStr">
        <is>
          <t>Nature</t>
        </is>
      </c>
      <c r="B25" s="10" t="inlineStr">
        <is>
          <t>Nb marchés</t>
        </is>
      </c>
      <c r="C25" s="10" t="inlineStr">
        <is>
          <t>Montant estimé (MAD)</t>
        </is>
      </c>
    </row>
    <row r="26">
      <c r="A26" s="11" t="inlineStr">
        <is>
          <t>Fournitures</t>
        </is>
      </c>
      <c r="B26" s="12" t="n">
        <v>0</v>
      </c>
      <c r="C26" s="16" t="n">
        <v>0</v>
      </c>
    </row>
    <row r="27">
      <c r="A27" s="11" t="inlineStr">
        <is>
          <t>Services</t>
        </is>
      </c>
      <c r="B27" s="12" t="n">
        <v>2</v>
      </c>
      <c r="C27" s="16" t="n">
        <v>210000</v>
      </c>
    </row>
    <row r="28">
      <c r="A28" s="11" t="inlineStr">
        <is>
          <t>Travaux</t>
        </is>
      </c>
      <c r="B28" s="12" t="n">
        <v>0</v>
      </c>
      <c r="C28" s="16" t="n">
        <v>0</v>
      </c>
    </row>
    <row r="30">
      <c r="A30" s="14" t="inlineStr">
        <is>
          <t>Objet</t>
        </is>
      </c>
      <c r="B30" s="14" t="inlineStr">
        <is>
          <t>Nature</t>
        </is>
      </c>
      <c r="C30" s="14" t="inlineStr">
        <is>
          <t>Période</t>
        </is>
      </c>
      <c r="D30" s="14" t="inlineStr">
        <is>
          <t>Lieu d'exécution</t>
        </is>
      </c>
      <c r="E30" s="14" t="inlineStr">
        <is>
          <t>PME</t>
        </is>
      </c>
      <c r="F30" s="14" t="inlineStr">
        <is>
          <t>Estimation (MAD)</t>
        </is>
      </c>
    </row>
    <row r="31">
      <c r="A31" s="23" t="inlineStr">
        <is>
          <t>Prestation de blanchisserie du linge et services associés au profit des journalistes présentateurs du journal Télévisés (JT)</t>
        </is>
      </c>
      <c r="B31" s="24" t="inlineStr">
        <is>
          <t>Services</t>
        </is>
      </c>
      <c r="C31" s="24" t="inlineStr">
        <is>
          <t>T2</t>
        </is>
      </c>
      <c r="D31" s="24" t="inlineStr">
        <is>
          <t>Rabat</t>
        </is>
      </c>
      <c r="E31" s="24" t="inlineStr">
        <is>
          <t>Oui</t>
        </is>
      </c>
      <c r="F31" s="25" t="n">
        <v>60000</v>
      </c>
    </row>
    <row r="32">
      <c r="A32" s="23" t="inlineStr">
        <is>
          <t>Décor Virtuel Live News</t>
        </is>
      </c>
      <c r="B32" s="24" t="inlineStr">
        <is>
          <t>Services</t>
        </is>
      </c>
      <c r="C32" s="24" t="inlineStr">
        <is>
          <t>T2</t>
        </is>
      </c>
      <c r="D32" s="24" t="inlineStr">
        <is>
          <t>Rabat</t>
        </is>
      </c>
      <c r="E32" s="24" t="inlineStr">
        <is>
          <t>Oui</t>
        </is>
      </c>
      <c r="F32" s="25" t="n">
        <v>150000</v>
      </c>
    </row>
    <row r="35">
      <c r="A35" s="20" t="inlineStr">
        <is>
          <t>Direction Attakafia</t>
        </is>
      </c>
    </row>
    <row r="36">
      <c r="A36" s="21" t="inlineStr">
        <is>
          <t>&lt; Retour à la matrice</t>
        </is>
      </c>
    </row>
    <row r="37">
      <c r="A37" s="22" t="inlineStr">
        <is>
          <t>Nb marchés : 1    |    Montant total estimé : 60 000 MAD</t>
        </is>
      </c>
    </row>
    <row r="38">
      <c r="A38" s="10" t="inlineStr">
        <is>
          <t>Nature</t>
        </is>
      </c>
      <c r="B38" s="10" t="inlineStr">
        <is>
          <t>Nb marchés</t>
        </is>
      </c>
      <c r="C38" s="10" t="inlineStr">
        <is>
          <t>Montant estimé (MAD)</t>
        </is>
      </c>
    </row>
    <row r="39">
      <c r="A39" s="11" t="inlineStr">
        <is>
          <t>Fournitures</t>
        </is>
      </c>
      <c r="B39" s="12" t="n">
        <v>0</v>
      </c>
      <c r="C39" s="16" t="n">
        <v>0</v>
      </c>
    </row>
    <row r="40">
      <c r="A40" s="11" t="inlineStr">
        <is>
          <t>Services</t>
        </is>
      </c>
      <c r="B40" s="12" t="n">
        <v>1</v>
      </c>
      <c r="C40" s="16" t="n">
        <v>60000</v>
      </c>
    </row>
    <row r="41">
      <c r="A41" s="11" t="inlineStr">
        <is>
          <t>Travaux</t>
        </is>
      </c>
      <c r="B41" s="12" t="n">
        <v>0</v>
      </c>
      <c r="C41" s="16" t="n">
        <v>0</v>
      </c>
    </row>
    <row r="43">
      <c r="A43" s="14" t="inlineStr">
        <is>
          <t>Objet</t>
        </is>
      </c>
      <c r="B43" s="14" t="inlineStr">
        <is>
          <t>Nature</t>
        </is>
      </c>
      <c r="C43" s="14" t="inlineStr">
        <is>
          <t>Période</t>
        </is>
      </c>
      <c r="D43" s="14" t="inlineStr">
        <is>
          <t>Lieu d'exécution</t>
        </is>
      </c>
      <c r="E43" s="14" t="inlineStr">
        <is>
          <t>PME</t>
        </is>
      </c>
      <c r="F43" s="14" t="inlineStr">
        <is>
          <t>Estimation (MAD)</t>
        </is>
      </c>
    </row>
    <row r="44">
      <c r="A44" s="23" t="inlineStr">
        <is>
          <t>Prestation de blanchisserie du linge et services associés au profit des journalistes présentateurs</t>
        </is>
      </c>
      <c r="B44" s="24" t="inlineStr">
        <is>
          <t>Services</t>
        </is>
      </c>
      <c r="C44" s="24" t="inlineStr">
        <is>
          <t>T2</t>
        </is>
      </c>
      <c r="D44" s="24" t="inlineStr">
        <is>
          <t>Rabat</t>
        </is>
      </c>
      <c r="E44" s="24" t="inlineStr">
        <is>
          <t>Oui</t>
        </is>
      </c>
      <c r="F44" s="25" t="n">
        <v>60000</v>
      </c>
    </row>
    <row r="47">
      <c r="A47" s="20" t="inlineStr">
        <is>
          <t>Direction Audit et Contrôle et de Gestion</t>
        </is>
      </c>
    </row>
    <row r="48">
      <c r="A48" s="21" t="inlineStr">
        <is>
          <t>&lt; Retour à la matrice</t>
        </is>
      </c>
    </row>
    <row r="49">
      <c r="A49" s="22" t="inlineStr">
        <is>
          <t>Nb marchés : 1    |    Montant total estimé : 840 000 MAD</t>
        </is>
      </c>
    </row>
    <row r="50">
      <c r="A50" s="10" t="inlineStr">
        <is>
          <t>Nature</t>
        </is>
      </c>
      <c r="B50" s="10" t="inlineStr">
        <is>
          <t>Nb marchés</t>
        </is>
      </c>
      <c r="C50" s="10" t="inlineStr">
        <is>
          <t>Montant estimé (MAD)</t>
        </is>
      </c>
    </row>
    <row r="51">
      <c r="A51" s="11" t="inlineStr">
        <is>
          <t>Fournitures</t>
        </is>
      </c>
      <c r="B51" s="12" t="n">
        <v>0</v>
      </c>
      <c r="C51" s="16" t="n">
        <v>0</v>
      </c>
    </row>
    <row r="52">
      <c r="A52" s="11" t="inlineStr">
        <is>
          <t>Services</t>
        </is>
      </c>
      <c r="B52" s="12" t="n">
        <v>1</v>
      </c>
      <c r="C52" s="16" t="n">
        <v>840000</v>
      </c>
    </row>
    <row r="53">
      <c r="A53" s="11" t="inlineStr">
        <is>
          <t>Travaux</t>
        </is>
      </c>
      <c r="B53" s="12" t="n">
        <v>0</v>
      </c>
      <c r="C53" s="16" t="n">
        <v>0</v>
      </c>
    </row>
    <row r="55">
      <c r="A55" s="14" t="inlineStr">
        <is>
          <t>Objet</t>
        </is>
      </c>
      <c r="B55" s="14" t="inlineStr">
        <is>
          <t>Nature</t>
        </is>
      </c>
      <c r="C55" s="14" t="inlineStr">
        <is>
          <t>Période</t>
        </is>
      </c>
      <c r="D55" s="14" t="inlineStr">
        <is>
          <t>Lieu d'exécution</t>
        </is>
      </c>
      <c r="E55" s="14" t="inlineStr">
        <is>
          <t>PME</t>
        </is>
      </c>
      <c r="F55" s="14" t="inlineStr">
        <is>
          <t>Estimation (MAD)</t>
        </is>
      </c>
    </row>
    <row r="56">
      <c r="A56" s="23" t="inlineStr">
        <is>
          <t>Elaboration d'une cartographie des risques couvrant les processus de la SNRT</t>
        </is>
      </c>
      <c r="B56" s="24" t="inlineStr">
        <is>
          <t>Services</t>
        </is>
      </c>
      <c r="C56" s="24" t="inlineStr">
        <is>
          <t>T2</t>
        </is>
      </c>
      <c r="D56" s="24" t="inlineStr">
        <is>
          <t>Rabat</t>
        </is>
      </c>
      <c r="E56" s="24" t="inlineStr">
        <is>
          <t>Non</t>
        </is>
      </c>
      <c r="F56" s="25" t="n">
        <v>840000</v>
      </c>
    </row>
    <row r="59">
      <c r="A59" s="20" t="inlineStr">
        <is>
          <t>Direction Centrale Marketing et Programmation TV</t>
        </is>
      </c>
    </row>
    <row r="60">
      <c r="A60" s="21" t="inlineStr">
        <is>
          <t>&lt; Retour à la matrice</t>
        </is>
      </c>
    </row>
    <row r="61">
      <c r="A61" s="22" t="inlineStr">
        <is>
          <t>Nb marchés : 8    |    Montant total estimé : 27 980 000 MAD</t>
        </is>
      </c>
    </row>
    <row r="62">
      <c r="A62" s="10" t="inlineStr">
        <is>
          <t>Nature</t>
        </is>
      </c>
      <c r="B62" s="10" t="inlineStr">
        <is>
          <t>Nb marchés</t>
        </is>
      </c>
      <c r="C62" s="10" t="inlineStr">
        <is>
          <t>Montant estimé (MAD)</t>
        </is>
      </c>
    </row>
    <row r="63">
      <c r="A63" s="11" t="inlineStr">
        <is>
          <t>Fournitures</t>
        </is>
      </c>
      <c r="B63" s="12" t="n">
        <v>2</v>
      </c>
      <c r="C63" s="16" t="n">
        <v>6000000</v>
      </c>
    </row>
    <row r="64">
      <c r="A64" s="11" t="inlineStr">
        <is>
          <t>Services</t>
        </is>
      </c>
      <c r="B64" s="12" t="n">
        <v>6</v>
      </c>
      <c r="C64" s="16" t="n">
        <v>21980000</v>
      </c>
    </row>
    <row r="65">
      <c r="A65" s="11" t="inlineStr">
        <is>
          <t>Travaux</t>
        </is>
      </c>
      <c r="B65" s="12" t="n">
        <v>0</v>
      </c>
      <c r="C65" s="16" t="n">
        <v>0</v>
      </c>
    </row>
    <row r="67">
      <c r="A67" s="14" t="inlineStr">
        <is>
          <t>Objet</t>
        </is>
      </c>
      <c r="B67" s="14" t="inlineStr">
        <is>
          <t>Nature</t>
        </is>
      </c>
      <c r="C67" s="14" t="inlineStr">
        <is>
          <t>Période</t>
        </is>
      </c>
      <c r="D67" s="14" t="inlineStr">
        <is>
          <t>Lieu d'exécution</t>
        </is>
      </c>
      <c r="E67" s="14" t="inlineStr">
        <is>
          <t>PME</t>
        </is>
      </c>
      <c r="F67" s="14" t="inlineStr">
        <is>
          <t>Estimation (MAD)</t>
        </is>
      </c>
    </row>
    <row r="68">
      <c r="A68" s="23" t="inlineStr">
        <is>
          <t>Réalisation d'études qualitatives et quantitatives marketing pour la SNRT</t>
        </is>
      </c>
      <c r="B68" s="24" t="inlineStr">
        <is>
          <t>Services</t>
        </is>
      </c>
      <c r="C68" s="24" t="inlineStr">
        <is>
          <t>T4</t>
        </is>
      </c>
      <c r="D68" s="24" t="inlineStr">
        <is>
          <t>Royaume du Maroc</t>
        </is>
      </c>
      <c r="E68" s="24" t="inlineStr">
        <is>
          <t>Non</t>
        </is>
      </c>
      <c r="F68" s="25" t="n">
        <v>800000</v>
      </c>
    </row>
    <row r="69">
      <c r="A69" s="23" t="inlineStr">
        <is>
          <t>Maintenance du portail de la SNRT</t>
        </is>
      </c>
      <c r="B69" s="24" t="inlineStr">
        <is>
          <t>Services</t>
        </is>
      </c>
      <c r="C69" s="24" t="inlineStr">
        <is>
          <t>T2</t>
        </is>
      </c>
      <c r="D69" s="24" t="inlineStr">
        <is>
          <t>Rabat</t>
        </is>
      </c>
      <c r="E69" s="24" t="inlineStr">
        <is>
          <t>Non</t>
        </is>
      </c>
      <c r="F69" s="25" t="n">
        <v>730000</v>
      </c>
    </row>
    <row r="70">
      <c r="A70" s="23" t="inlineStr">
        <is>
          <t>Production de flags et bonnettes pour les micros des chaînes TV et radios de la SNRT</t>
        </is>
      </c>
      <c r="B70" s="24" t="inlineStr">
        <is>
          <t>Fournitures</t>
        </is>
      </c>
      <c r="C70" s="24" t="inlineStr">
        <is>
          <t>T2</t>
        </is>
      </c>
      <c r="D70" s="24" t="inlineStr">
        <is>
          <t>Rabat</t>
        </is>
      </c>
      <c r="E70" s="24" t="inlineStr">
        <is>
          <t>Non</t>
        </is>
      </c>
      <c r="F70" s="25" t="n">
        <v>500000</v>
      </c>
    </row>
    <row r="71">
      <c r="A71" s="23" t="inlineStr">
        <is>
          <t>Stratégie Marketing, conseil en communication, exécution et production des campagnes</t>
        </is>
      </c>
      <c r="B71" s="24" t="inlineStr">
        <is>
          <t>Services</t>
        </is>
      </c>
      <c r="C71" s="24" t="inlineStr">
        <is>
          <t>T4</t>
        </is>
      </c>
      <c r="D71" s="24" t="inlineStr">
        <is>
          <t>Rabat</t>
        </is>
      </c>
      <c r="E71" s="24" t="inlineStr">
        <is>
          <t>Non</t>
        </is>
      </c>
      <c r="F71" s="25" t="n">
        <v>4000000</v>
      </c>
    </row>
    <row r="72">
      <c r="A72" s="23" t="inlineStr">
        <is>
          <t>Location de supports d'affichage urbain 4x3 pour la promotion des produits et services de la SNRT</t>
        </is>
      </c>
      <c r="B72" s="24" t="inlineStr">
        <is>
          <t>Services</t>
        </is>
      </c>
      <c r="C72" s="24" t="inlineStr">
        <is>
          <t>T2</t>
        </is>
      </c>
      <c r="D72" s="24" t="inlineStr">
        <is>
          <t>Rabat</t>
        </is>
      </c>
      <c r="E72" s="24" t="inlineStr">
        <is>
          <t>Non</t>
        </is>
      </c>
      <c r="F72" s="25" t="n">
        <v>11700000</v>
      </c>
    </row>
    <row r="73">
      <c r="A73" s="23" t="inlineStr">
        <is>
          <t>Production de spots / films publicitaires pour la promotion des produits et services de la SNRT</t>
        </is>
      </c>
      <c r="B73" s="24" t="inlineStr">
        <is>
          <t>Services</t>
        </is>
      </c>
      <c r="C73" s="24" t="inlineStr">
        <is>
          <t>T2</t>
        </is>
      </c>
      <c r="D73" s="24" t="inlineStr">
        <is>
          <t>Royaume du Maroc</t>
        </is>
      </c>
      <c r="E73" s="24" t="inlineStr">
        <is>
          <t>Non</t>
        </is>
      </c>
      <c r="F73" s="25" t="n">
        <v>2750000</v>
      </c>
    </row>
    <row r="74">
      <c r="A74" s="23" t="inlineStr">
        <is>
          <t>Décor JT Al Aoula , Laayoune, Tamazight Habillage chaînes SNRT</t>
        </is>
      </c>
      <c r="B74" s="24" t="inlineStr">
        <is>
          <t>Fournitures</t>
        </is>
      </c>
      <c r="C74" s="24" t="inlineStr">
        <is>
          <t>T2</t>
        </is>
      </c>
      <c r="D74" s="24" t="inlineStr">
        <is>
          <t>Rabat et Laayoune</t>
        </is>
      </c>
      <c r="E74" s="24" t="inlineStr">
        <is>
          <t>Non</t>
        </is>
      </c>
      <c r="F74" s="25" t="n">
        <v>5500000</v>
      </c>
    </row>
    <row r="75">
      <c r="A75" s="23" t="inlineStr">
        <is>
          <t>Décors virtuels des chaînes de la SNRT</t>
        </is>
      </c>
      <c r="B75" s="24" t="inlineStr">
        <is>
          <t>Services</t>
        </is>
      </c>
      <c r="C75" s="24" t="inlineStr">
        <is>
          <t>T2</t>
        </is>
      </c>
      <c r="D75" s="24" t="inlineStr">
        <is>
          <t>Rabat/Casablanca</t>
        </is>
      </c>
      <c r="E75" s="24" t="inlineStr">
        <is>
          <t>Non</t>
        </is>
      </c>
      <c r="F75" s="25" t="n">
        <v>2000000</v>
      </c>
    </row>
    <row r="78">
      <c r="A78" s="20" t="inlineStr">
        <is>
          <t>Direction Centrale Technique</t>
        </is>
      </c>
    </row>
    <row r="79">
      <c r="A79" s="21" t="inlineStr">
        <is>
          <t>&lt; Retour à la matrice</t>
        </is>
      </c>
    </row>
    <row r="80">
      <c r="A80" s="22" t="inlineStr">
        <is>
          <t>Nb marchés : 33    |    Montant total estimé : 133 010 036 MAD</t>
        </is>
      </c>
    </row>
    <row r="81">
      <c r="A81" s="10" t="inlineStr">
        <is>
          <t>Nature</t>
        </is>
      </c>
      <c r="B81" s="10" t="inlineStr">
        <is>
          <t>Nb marchés</t>
        </is>
      </c>
      <c r="C81" s="10" t="inlineStr">
        <is>
          <t>Montant estimé (MAD)</t>
        </is>
      </c>
    </row>
    <row r="82">
      <c r="A82" s="11" t="inlineStr">
        <is>
          <t>Fournitures</t>
        </is>
      </c>
      <c r="B82" s="12" t="n">
        <v>29</v>
      </c>
      <c r="C82" s="16" t="n">
        <v>128930036</v>
      </c>
    </row>
    <row r="83">
      <c r="A83" s="11" t="inlineStr">
        <is>
          <t>Services</t>
        </is>
      </c>
      <c r="B83" s="12" t="n">
        <v>4</v>
      </c>
      <c r="C83" s="16" t="n">
        <v>4080000</v>
      </c>
    </row>
    <row r="84">
      <c r="A84" s="11" t="inlineStr">
        <is>
          <t>Travaux</t>
        </is>
      </c>
      <c r="B84" s="12" t="n">
        <v>0</v>
      </c>
      <c r="C84" s="16" t="n">
        <v>0</v>
      </c>
    </row>
    <row r="86">
      <c r="A86" s="14" t="inlineStr">
        <is>
          <t>Objet</t>
        </is>
      </c>
      <c r="B86" s="14" t="inlineStr">
        <is>
          <t>Nature</t>
        </is>
      </c>
      <c r="C86" s="14" t="inlineStr">
        <is>
          <t>Période</t>
        </is>
      </c>
      <c r="D86" s="14" t="inlineStr">
        <is>
          <t>Lieu d'exécution</t>
        </is>
      </c>
      <c r="E86" s="14" t="inlineStr">
        <is>
          <t>PME</t>
        </is>
      </c>
      <c r="F86" s="14" t="inlineStr">
        <is>
          <t>Estimation (MAD)</t>
        </is>
      </c>
    </row>
    <row r="87">
      <c r="A87" s="23" t="inlineStr">
        <is>
          <t>Acquisition de systèmes de caméras aériennes sur câbles pour répondre aux besoins de production de la SNRT.</t>
        </is>
      </c>
      <c r="B87" s="24" t="inlineStr">
        <is>
          <t>Fournitures</t>
        </is>
      </c>
      <c r="C87" s="24" t="inlineStr">
        <is>
          <t>T2</t>
        </is>
      </c>
      <c r="D87" s="24" t="inlineStr">
        <is>
          <t>Rabat - Tanger</t>
        </is>
      </c>
      <c r="E87" s="24" t="inlineStr">
        <is>
          <t>Non</t>
        </is>
      </c>
      <c r="F87" s="25" t="n">
        <v>13200000</v>
      </c>
    </row>
    <row r="88">
      <c r="A88" s="23" t="inlineStr">
        <is>
          <t>Acquisition de matériel audio/vidéo pour le renouvellement des dispositifs des unités mobiles de la SNRT.</t>
        </is>
      </c>
      <c r="B88" s="24" t="inlineStr">
        <is>
          <t>Fournitures</t>
        </is>
      </c>
      <c r="C88" s="24" t="inlineStr">
        <is>
          <t>T2</t>
        </is>
      </c>
      <c r="D88" s="24" t="inlineStr">
        <is>
          <t>Témara</t>
        </is>
      </c>
      <c r="E88" s="24" t="inlineStr">
        <is>
          <t>Non</t>
        </is>
      </c>
      <c r="F88" s="25" t="n">
        <v>6000000</v>
      </c>
    </row>
    <row r="89">
      <c r="A89" s="23" t="inlineStr">
        <is>
          <t>Acquisition de véhicules « Support Trucks » pour répondre aux besoins des unités mobiles de la SNRT.</t>
        </is>
      </c>
      <c r="B89" s="24" t="inlineStr">
        <is>
          <t>Fournitures</t>
        </is>
      </c>
      <c r="C89" s="24" t="inlineStr">
        <is>
          <t>T2</t>
        </is>
      </c>
      <c r="D89" s="24" t="inlineStr">
        <is>
          <t>Témara</t>
        </is>
      </c>
      <c r="E89" s="24" t="inlineStr">
        <is>
          <t>Non</t>
        </is>
      </c>
      <c r="F89" s="25" t="n">
        <v>7200000</v>
      </c>
    </row>
    <row r="90">
      <c r="A90" s="23" t="inlineStr">
        <is>
          <t>Acquisition des équipements de machinerie et d'éclairage pour répondre aux besoins de production de la SNRT</t>
        </is>
      </c>
      <c r="B90" s="24" t="inlineStr">
        <is>
          <t>Fournitures</t>
        </is>
      </c>
      <c r="C90" s="24" t="inlineStr">
        <is>
          <t>T2</t>
        </is>
      </c>
      <c r="D90" s="24" t="inlineStr">
        <is>
          <t>Témara</t>
        </is>
      </c>
      <c r="E90" s="24" t="inlineStr">
        <is>
          <t>Non</t>
        </is>
      </c>
      <c r="F90" s="25" t="n">
        <v>2400000</v>
      </c>
    </row>
    <row r="91">
      <c r="A91" s="23" t="inlineStr">
        <is>
          <t>Acquisition de véhicules utilitaires aménagés pour abriter les équipements d'éclairage et de machinerie pour répondre aux besoins de production de la SNRT.</t>
        </is>
      </c>
      <c r="B91" s="24" t="inlineStr">
        <is>
          <t>Fournitures</t>
        </is>
      </c>
      <c r="C91" s="24" t="inlineStr">
        <is>
          <t>T2</t>
        </is>
      </c>
      <c r="D91" s="24" t="inlineStr">
        <is>
          <t>Témara</t>
        </is>
      </c>
      <c r="E91" s="24" t="inlineStr">
        <is>
          <t>Non</t>
        </is>
      </c>
      <c r="F91" s="25" t="n">
        <v>4800000</v>
      </c>
    </row>
    <row r="92">
      <c r="A92" s="23" t="inlineStr">
        <is>
          <t>Renouvellement et mise à niveau des équipements d'enregistrement, de lecture et de traitement pour les besoins du système News Room de la SNRT.</t>
        </is>
      </c>
      <c r="B92" s="24" t="inlineStr">
        <is>
          <t>Fournitures</t>
        </is>
      </c>
      <c r="C92" s="24" t="inlineStr">
        <is>
          <t>T2</t>
        </is>
      </c>
      <c r="D92" s="24" t="inlineStr">
        <is>
          <t>Rabat</t>
        </is>
      </c>
      <c r="E92" s="24" t="inlineStr">
        <is>
          <t>Non</t>
        </is>
      </c>
      <c r="F92" s="25" t="n">
        <v>7200000</v>
      </c>
    </row>
    <row r="93">
      <c r="A93" s="23" t="inlineStr">
        <is>
          <t>Contrat de support logiciel du système News Room (PAM et NRCS) pour les besoins des chaines TV de la SNRT.</t>
        </is>
      </c>
      <c r="B93" s="24" t="inlineStr">
        <is>
          <t>Services</t>
        </is>
      </c>
      <c r="C93" s="24" t="inlineStr">
        <is>
          <t>T2</t>
        </is>
      </c>
      <c r="D93" s="24" t="inlineStr">
        <is>
          <t>Rabat</t>
        </is>
      </c>
      <c r="E93" s="24" t="inlineStr">
        <is>
          <t>Non</t>
        </is>
      </c>
      <c r="F93" s="25" t="n">
        <v>600000</v>
      </c>
    </row>
    <row r="94">
      <c r="A94" s="23" t="inlineStr">
        <is>
          <t>Renouvellement des licences logicielles pour les stations d’habillage et de graphisme pour les besoins des chaînes TV de la SNRT.</t>
        </is>
      </c>
      <c r="B94" s="24" t="inlineStr">
        <is>
          <t>Services</t>
        </is>
      </c>
      <c r="C94" s="24" t="inlineStr">
        <is>
          <t>T2</t>
        </is>
      </c>
      <c r="D94" s="24" t="inlineStr">
        <is>
          <t>Rabat</t>
        </is>
      </c>
      <c r="E94" s="24" t="inlineStr">
        <is>
          <t>Oui</t>
        </is>
      </c>
      <c r="F94" s="25" t="n">
        <v>480000</v>
      </c>
    </row>
    <row r="95">
      <c r="A95" s="23" t="inlineStr">
        <is>
          <t>Renouvellement des équipements audio/vidéo et des châssis de traitement de signaux pour répondre aux besoins des installations techniques de la SNRT.</t>
        </is>
      </c>
      <c r="B95" s="24" t="inlineStr">
        <is>
          <t>Fournitures</t>
        </is>
      </c>
      <c r="C95" s="24" t="inlineStr">
        <is>
          <t>T2</t>
        </is>
      </c>
      <c r="D95" s="24" t="inlineStr">
        <is>
          <t>Rabat</t>
        </is>
      </c>
      <c r="E95" s="24" t="inlineStr">
        <is>
          <t>Non</t>
        </is>
      </c>
      <c r="F95" s="25" t="n">
        <v>2400000</v>
      </c>
    </row>
    <row r="96">
      <c r="A96" s="23" t="inlineStr">
        <is>
          <t>Mise en place d'un système d'automation TV pour répondre aux besoins de la diffusion des chaines TV de la SNRT.</t>
        </is>
      </c>
      <c r="B96" s="24" t="inlineStr">
        <is>
          <t>Fournitures</t>
        </is>
      </c>
      <c r="C96" s="24" t="inlineStr">
        <is>
          <t>T3</t>
        </is>
      </c>
      <c r="D96" s="24" t="inlineStr">
        <is>
          <t>Rabat</t>
        </is>
      </c>
      <c r="E96" s="24" t="inlineStr">
        <is>
          <t>Non</t>
        </is>
      </c>
      <c r="F96" s="25" t="n">
        <v>6000000</v>
      </c>
    </row>
    <row r="97">
      <c r="A97" s="23" t="inlineStr">
        <is>
          <t>Renouvellement des équipements Audio/Vidéo pour répondre aux besoins des chaines TV de la SNRT.</t>
        </is>
      </c>
      <c r="B97" s="24" t="inlineStr">
        <is>
          <t>Fournitures</t>
        </is>
      </c>
      <c r="C97" s="24" t="inlineStr">
        <is>
          <t>T3</t>
        </is>
      </c>
      <c r="D97" s="24" t="inlineStr">
        <is>
          <t>Rabat</t>
        </is>
      </c>
      <c r="E97" s="24" t="inlineStr">
        <is>
          <t>Non</t>
        </is>
      </c>
      <c r="F97" s="25" t="n">
        <v>2400000</v>
      </c>
    </row>
    <row r="98">
      <c r="A98" s="23" t="inlineStr">
        <is>
          <t>Acquisition et mise à niveau des équipements Audio/vidéo de la régie multidiffusion pour répondre aux besoins de la chaine Arryadia de la SNRT.</t>
        </is>
      </c>
      <c r="B98" s="24" t="inlineStr">
        <is>
          <t>Fournitures</t>
        </is>
      </c>
      <c r="C98" s="24" t="inlineStr">
        <is>
          <t>T2</t>
        </is>
      </c>
      <c r="D98" s="24" t="inlineStr">
        <is>
          <t>Rabat</t>
        </is>
      </c>
      <c r="E98" s="24" t="inlineStr">
        <is>
          <t>Non</t>
        </is>
      </c>
      <c r="F98" s="25" t="n">
        <v>6000000</v>
      </c>
    </row>
    <row r="99">
      <c r="A99" s="23" t="inlineStr">
        <is>
          <t>Renouvellement des équipements Audio/Vidéo du plateau JT pour répondre aux besoins de la chaine Al Aoula de la SNRT.</t>
        </is>
      </c>
      <c r="B99" s="24" t="inlineStr">
        <is>
          <t>Fournitures</t>
        </is>
      </c>
      <c r="C99" s="24" t="inlineStr">
        <is>
          <t>T2</t>
        </is>
      </c>
      <c r="D99" s="24" t="inlineStr">
        <is>
          <t>Rabat</t>
        </is>
      </c>
      <c r="E99" s="24" t="inlineStr">
        <is>
          <t>Non</t>
        </is>
      </c>
      <c r="F99" s="25" t="n">
        <v>9600000</v>
      </c>
    </row>
    <row r="100">
      <c r="A100" s="23" t="inlineStr">
        <is>
          <t>Renouvellement des équipements de captation Audio/Vidéo pour répondre aux besoins de la chaine Al Aoula de la SNRT.</t>
        </is>
      </c>
      <c r="B100" s="24" t="inlineStr">
        <is>
          <t>Fournitures</t>
        </is>
      </c>
      <c r="C100" s="24" t="inlineStr">
        <is>
          <t>T2</t>
        </is>
      </c>
      <c r="D100" s="24" t="inlineStr">
        <is>
          <t>Rabat</t>
        </is>
      </c>
      <c r="E100" s="24" t="inlineStr">
        <is>
          <t>Non</t>
        </is>
      </c>
      <c r="F100" s="25" t="n">
        <v>2400000</v>
      </c>
    </row>
    <row r="101">
      <c r="A101" s="23" t="inlineStr">
        <is>
          <t>Renouvellement et mise à niveau des équipements Audio/Vidéo de la régie JT pour répondre aux besoins de la chaine TV Laayoune de la SNRT.</t>
        </is>
      </c>
      <c r="B101" s="24" t="inlineStr">
        <is>
          <t>Fournitures</t>
        </is>
      </c>
      <c r="C101" s="24" t="inlineStr">
        <is>
          <t>T2</t>
        </is>
      </c>
      <c r="D101" s="24" t="inlineStr">
        <is>
          <t>Rabat</t>
        </is>
      </c>
      <c r="E101" s="24" t="inlineStr">
        <is>
          <t>Non</t>
        </is>
      </c>
      <c r="F101" s="25" t="n">
        <v>2400000</v>
      </c>
    </row>
    <row r="102">
      <c r="A102" s="23" t="inlineStr">
        <is>
          <t>Acquisition et mise à niveau des équipements Audio/Vidéo du studio virtuel pour répondre aux besoins de production de la chaine TV Laayoune de la SNRT.</t>
        </is>
      </c>
      <c r="B102" s="24" t="inlineStr">
        <is>
          <t>Fournitures</t>
        </is>
      </c>
      <c r="C102" s="24" t="inlineStr">
        <is>
          <t>T2</t>
        </is>
      </c>
      <c r="D102" s="24" t="inlineStr">
        <is>
          <t>Laayoune</t>
        </is>
      </c>
      <c r="E102" s="24" t="inlineStr">
        <is>
          <t>Non</t>
        </is>
      </c>
      <c r="F102" s="25" t="n">
        <v>4200000</v>
      </c>
    </row>
    <row r="103">
      <c r="A103" s="23" t="inlineStr">
        <is>
          <t>Acquisition des équipements audio pour les besoins des chaines radios de la SNRT.</t>
        </is>
      </c>
      <c r="B103" s="24" t="inlineStr">
        <is>
          <t>Fournitures</t>
        </is>
      </c>
      <c r="C103" s="24" t="inlineStr">
        <is>
          <t>T2</t>
        </is>
      </c>
      <c r="D103" s="24" t="inlineStr">
        <is>
          <t>Rabat</t>
        </is>
      </c>
      <c r="E103" s="24" t="inlineStr">
        <is>
          <t>Non</t>
        </is>
      </c>
      <c r="F103" s="25" t="n">
        <v>2400000</v>
      </c>
    </row>
    <row r="104">
      <c r="A104" s="23" t="inlineStr">
        <is>
          <t>Renouvellement et mise à niveau du Centre de Diffusion et de Monitoring (CDM) pour les besoins des chaines Radio de la SNRT. afin d’assurer la supervision centralisée, la redondance et la continuité de service des diffusions.</t>
        </is>
      </c>
      <c r="B104" s="24" t="inlineStr">
        <is>
          <t>Fournitures</t>
        </is>
      </c>
      <c r="C104" s="24" t="inlineStr">
        <is>
          <t>T2</t>
        </is>
      </c>
      <c r="D104" s="24" t="inlineStr">
        <is>
          <t>Rabat</t>
        </is>
      </c>
      <c r="E104" s="24" t="inlineStr">
        <is>
          <t>Non</t>
        </is>
      </c>
      <c r="F104" s="25" t="n">
        <v>3600000</v>
      </c>
    </row>
    <row r="105">
      <c r="A105" s="23" t="inlineStr">
        <is>
          <t>Renouvellement des systèmes d’automation radio des chaînes radios régionales de la SNRT.</t>
        </is>
      </c>
      <c r="B105" s="24" t="inlineStr">
        <is>
          <t>Fournitures</t>
        </is>
      </c>
      <c r="C105" s="24" t="inlineStr">
        <is>
          <t>T2</t>
        </is>
      </c>
      <c r="D105" s="24" t="inlineStr">
        <is>
          <t>Radios régionales</t>
        </is>
      </c>
      <c r="E105" s="24" t="inlineStr">
        <is>
          <t>Non</t>
        </is>
      </c>
      <c r="F105" s="25" t="n">
        <v>4800000</v>
      </c>
    </row>
    <row r="106">
      <c r="A106" s="23" t="inlineStr">
        <is>
          <t>Acquisition des équipements informatiques Broadcast pour les besoins des chaines radios régionales de la SNRT.</t>
        </is>
      </c>
      <c r="B106" s="24" t="inlineStr">
        <is>
          <t>Fournitures</t>
        </is>
      </c>
      <c r="C106" s="24" t="inlineStr">
        <is>
          <t>T3</t>
        </is>
      </c>
      <c r="D106" s="24" t="inlineStr">
        <is>
          <t>Rabat</t>
        </is>
      </c>
      <c r="E106" s="24" t="inlineStr">
        <is>
          <t>Non</t>
        </is>
      </c>
      <c r="F106" s="25" t="n">
        <v>3000000</v>
      </c>
    </row>
    <row r="107">
      <c r="A107" s="23" t="inlineStr">
        <is>
          <t>Acquisition des supports d’enregistrement et de lecture pour les besoins des chaines TV de la SNRT</t>
        </is>
      </c>
      <c r="B107" s="24" t="inlineStr">
        <is>
          <t>Fournitures</t>
        </is>
      </c>
      <c r="C107" s="24" t="inlineStr">
        <is>
          <t>T2</t>
        </is>
      </c>
      <c r="D107" s="24" t="inlineStr">
        <is>
          <t>Rabat</t>
        </is>
      </c>
      <c r="E107" s="24" t="inlineStr">
        <is>
          <t>Non</t>
        </is>
      </c>
      <c r="F107" s="25" t="n">
        <v>480000</v>
      </c>
    </row>
    <row r="108">
      <c r="A108" s="23" t="inlineStr">
        <is>
          <t>Acquisition de lecteurs LTO destinés aux besoins d’archivage de la SNRT</t>
        </is>
      </c>
      <c r="B108" s="24" t="inlineStr">
        <is>
          <t>Fournitures</t>
        </is>
      </c>
      <c r="C108" s="24" t="inlineStr">
        <is>
          <t>T2</t>
        </is>
      </c>
      <c r="D108" s="24" t="inlineStr">
        <is>
          <t>Rabat</t>
        </is>
      </c>
      <c r="E108" s="24" t="inlineStr">
        <is>
          <t>Non</t>
        </is>
      </c>
      <c r="F108" s="25" t="n">
        <v>1200000</v>
      </c>
    </row>
    <row r="109">
      <c r="A109" s="23" t="inlineStr">
        <is>
          <t>Numérisation des anciennes archives télévisuelles stockées sur des supports analogiques de type U-MATIC, pour les besoins des archives TV de la SNRT</t>
        </is>
      </c>
      <c r="B109" s="24" t="inlineStr">
        <is>
          <t>Services</t>
        </is>
      </c>
      <c r="C109" s="24" t="inlineStr">
        <is>
          <t>T2</t>
        </is>
      </c>
      <c r="D109" s="24" t="inlineStr">
        <is>
          <t>Rabat</t>
        </is>
      </c>
      <c r="E109" s="24" t="inlineStr">
        <is>
          <t>Non</t>
        </is>
      </c>
      <c r="F109" s="25" t="n">
        <v>1200000</v>
      </c>
    </row>
    <row r="110">
      <c r="A110" s="23" t="inlineStr">
        <is>
          <t>Renouvellement et mise à niveau des systèmes et solutions logicielles de l'infrastructure IT de la SNRT</t>
        </is>
      </c>
      <c r="B110" s="24" t="inlineStr">
        <is>
          <t>Fournitures</t>
        </is>
      </c>
      <c r="C110" s="24" t="inlineStr">
        <is>
          <t>T1-T2</t>
        </is>
      </c>
      <c r="D110" s="24" t="inlineStr">
        <is>
          <t>Rabat</t>
        </is>
      </c>
      <c r="E110" s="24" t="inlineStr">
        <is>
          <t>Non</t>
        </is>
      </c>
      <c r="F110" s="25" t="n">
        <v>10200000</v>
      </c>
    </row>
    <row r="111">
      <c r="A111" s="23" t="inlineStr">
        <is>
          <t>Souscription à un abonnement annuel de licences logiciels pour les besoins de la SNRT</t>
        </is>
      </c>
      <c r="B111" s="24" t="inlineStr">
        <is>
          <t>Services</t>
        </is>
      </c>
      <c r="C111" s="24" t="inlineStr">
        <is>
          <t>T2</t>
        </is>
      </c>
      <c r="D111" s="24" t="inlineStr">
        <is>
          <t>Rabat</t>
        </is>
      </c>
      <c r="E111" s="24" t="inlineStr">
        <is>
          <t>Oui</t>
        </is>
      </c>
      <c r="F111" s="25" t="n">
        <v>1800000</v>
      </c>
    </row>
    <row r="112">
      <c r="A112" s="23" t="inlineStr">
        <is>
          <t>Acquisition des consommables, accessoires, pièces de rechange et outillage informatiques pour les besoins de la SNRT</t>
        </is>
      </c>
      <c r="B112" s="24" t="inlineStr">
        <is>
          <t>Fournitures</t>
        </is>
      </c>
      <c r="C112" s="24" t="inlineStr">
        <is>
          <t>T2</t>
        </is>
      </c>
      <c r="D112" s="24" t="inlineStr">
        <is>
          <t>Rabat</t>
        </is>
      </c>
      <c r="E112" s="24" t="inlineStr">
        <is>
          <t>Oui</t>
        </is>
      </c>
      <c r="F112" s="25" t="n">
        <v>2400000</v>
      </c>
    </row>
    <row r="113">
      <c r="A113" s="23" t="inlineStr">
        <is>
          <t>Acquisition des serveurs et des équipements Informatiques pour les besoins de la SNRT</t>
        </is>
      </c>
      <c r="B113" s="24" t="inlineStr">
        <is>
          <t>Fournitures</t>
        </is>
      </c>
      <c r="C113" s="24" t="inlineStr">
        <is>
          <t>T1-T2</t>
        </is>
      </c>
      <c r="D113" s="24" t="inlineStr">
        <is>
          <t>Rabat</t>
        </is>
      </c>
      <c r="E113" s="24" t="inlineStr">
        <is>
          <t>Non</t>
        </is>
      </c>
      <c r="F113" s="25" t="n">
        <v>4800000</v>
      </c>
    </row>
    <row r="114">
      <c r="A114" s="23" t="inlineStr">
        <is>
          <t>Acquisition des équipements pour la mise à niveau de l'infrastructure réseau de la SNRT</t>
        </is>
      </c>
      <c r="B114" s="24" t="inlineStr">
        <is>
          <t>Fournitures</t>
        </is>
      </c>
      <c r="C114" s="24" t="inlineStr">
        <is>
          <t>T2</t>
        </is>
      </c>
      <c r="D114" s="24" t="inlineStr">
        <is>
          <t>Rabat</t>
        </is>
      </c>
      <c r="E114" s="24" t="inlineStr">
        <is>
          <t>Non</t>
        </is>
      </c>
      <c r="F114" s="25" t="n">
        <v>5400000</v>
      </c>
    </row>
    <row r="115">
      <c r="A115" s="23" t="inlineStr">
        <is>
          <t>Acquisition d’équipements informatiques pour les besoins de SNRT NEWS</t>
        </is>
      </c>
      <c r="B115" s="24" t="inlineStr">
        <is>
          <t>Fournitures</t>
        </is>
      </c>
      <c r="C115" s="24" t="inlineStr">
        <is>
          <t>T2</t>
        </is>
      </c>
      <c r="D115" s="24" t="inlineStr">
        <is>
          <t>Rabat</t>
        </is>
      </c>
      <c r="E115" s="24" t="inlineStr">
        <is>
          <t>Oui</t>
        </is>
      </c>
      <c r="F115" s="25" t="n">
        <v>3600000</v>
      </c>
    </row>
    <row r="116">
      <c r="A116" s="23" t="inlineStr">
        <is>
          <t>Acquisition d’équipements informatiques et audiovisuels pour la mise à niveau du matériel de SNRT NEWS</t>
        </is>
      </c>
      <c r="B116" s="24" t="inlineStr">
        <is>
          <t>Fournitures</t>
        </is>
      </c>
      <c r="C116" s="24" t="inlineStr">
        <is>
          <t>T2</t>
        </is>
      </c>
      <c r="D116" s="24" t="inlineStr">
        <is>
          <t>Rabat</t>
        </is>
      </c>
      <c r="E116" s="24" t="inlineStr">
        <is>
          <t>Oui</t>
        </is>
      </c>
      <c r="F116" s="25" t="n">
        <v>1400000</v>
      </c>
    </row>
    <row r="117">
      <c r="A117" s="23" t="inlineStr">
        <is>
          <t>Acquisition de licences et de logiciels pour les besoins de SNRT NEWS</t>
        </is>
      </c>
      <c r="B117" s="24" t="inlineStr">
        <is>
          <t>Fournitures</t>
        </is>
      </c>
      <c r="C117" s="24" t="inlineStr">
        <is>
          <t>T2</t>
        </is>
      </c>
      <c r="D117" s="24" t="inlineStr">
        <is>
          <t>Rabat</t>
        </is>
      </c>
      <c r="E117" s="24" t="inlineStr">
        <is>
          <t>Oui</t>
        </is>
      </c>
      <c r="F117" s="25" t="n">
        <v>210000</v>
      </c>
    </row>
    <row r="118">
      <c r="A118" s="23" t="inlineStr">
        <is>
          <t>La fourniture et la mise en service de serveurs pour renouvellement de serveurs d’enregistrement et de replay pour les besoins de la production TV des manifestations sportives.</t>
        </is>
      </c>
      <c r="B118" s="24" t="inlineStr">
        <is>
          <t>Fournitures</t>
        </is>
      </c>
      <c r="C118" s="24" t="inlineStr">
        <is>
          <t>T2</t>
        </is>
      </c>
      <c r="D118" s="24" t="inlineStr">
        <is>
          <t>Rabat</t>
        </is>
      </c>
      <c r="E118" s="24" t="inlineStr">
        <is>
          <t>Non</t>
        </is>
      </c>
      <c r="F118" s="25" t="n">
        <v>8948880</v>
      </c>
    </row>
    <row r="119">
      <c r="A119" s="23" t="inlineStr">
        <is>
          <t>Fourniture et mise en service d'un systéme d'intercom boradcast pour les besoins de la SNRT</t>
        </is>
      </c>
      <c r="B119" s="24" t="inlineStr">
        <is>
          <t>Fournitures</t>
        </is>
      </c>
      <c r="C119" s="24" t="inlineStr">
        <is>
          <t>T2</t>
        </is>
      </c>
      <c r="D119" s="24" t="inlineStr">
        <is>
          <t>Rabat</t>
        </is>
      </c>
      <c r="E119" s="24" t="inlineStr">
        <is>
          <t>Non</t>
        </is>
      </c>
      <c r="F119" s="25" t="n">
        <v>291156</v>
      </c>
    </row>
    <row r="122">
      <c r="A122" s="20" t="inlineStr">
        <is>
          <t>Direction Centrale de la Production et de l'Antenne</t>
        </is>
      </c>
    </row>
    <row r="123">
      <c r="A123" s="21" t="inlineStr">
        <is>
          <t>&lt; Retour à la matrice</t>
        </is>
      </c>
    </row>
    <row r="124">
      <c r="A124" s="22" t="inlineStr">
        <is>
          <t>Nb marchés : 3    |    Montant total estimé : 3 212 000 MAD</t>
        </is>
      </c>
    </row>
    <row r="125">
      <c r="A125" s="10" t="inlineStr">
        <is>
          <t>Nature</t>
        </is>
      </c>
      <c r="B125" s="10" t="inlineStr">
        <is>
          <t>Nb marchés</t>
        </is>
      </c>
      <c r="C125" s="10" t="inlineStr">
        <is>
          <t>Montant estimé (MAD)</t>
        </is>
      </c>
    </row>
    <row r="126">
      <c r="A126" s="11" t="inlineStr">
        <is>
          <t>Fournitures</t>
        </is>
      </c>
      <c r="B126" s="12" t="n">
        <v>0</v>
      </c>
      <c r="C126" s="16" t="n">
        <v>0</v>
      </c>
    </row>
    <row r="127">
      <c r="A127" s="11" t="inlineStr">
        <is>
          <t>Services</t>
        </is>
      </c>
      <c r="B127" s="12" t="n">
        <v>3</v>
      </c>
      <c r="C127" s="16" t="n">
        <v>3212000</v>
      </c>
    </row>
    <row r="128">
      <c r="A128" s="11" t="inlineStr">
        <is>
          <t>Travaux</t>
        </is>
      </c>
      <c r="B128" s="12" t="n">
        <v>0</v>
      </c>
      <c r="C128" s="16" t="n">
        <v>0</v>
      </c>
    </row>
    <row r="130">
      <c r="A130" s="14" t="inlineStr">
        <is>
          <t>Objet</t>
        </is>
      </c>
      <c r="B130" s="14" t="inlineStr">
        <is>
          <t>Nature</t>
        </is>
      </c>
      <c r="C130" s="14" t="inlineStr">
        <is>
          <t>Période</t>
        </is>
      </c>
      <c r="D130" s="14" t="inlineStr">
        <is>
          <t>Lieu d'exécution</t>
        </is>
      </c>
      <c r="E130" s="14" t="inlineStr">
        <is>
          <t>PME</t>
        </is>
      </c>
      <c r="F130" s="14" t="inlineStr">
        <is>
          <t>Estimation (MAD)</t>
        </is>
      </c>
    </row>
    <row r="131">
      <c r="A131" s="23" t="inlineStr">
        <is>
          <t>Décors Emissions Internes Al Aoula</t>
        </is>
      </c>
      <c r="B131" s="24" t="inlineStr">
        <is>
          <t>Services</t>
        </is>
      </c>
      <c r="C131" s="24" t="inlineStr">
        <is>
          <t>T2</t>
        </is>
      </c>
      <c r="D131" s="24" t="inlineStr">
        <is>
          <t>Casablanca / Rabat</t>
        </is>
      </c>
      <c r="E131" s="24" t="inlineStr">
        <is>
          <t>Oui</t>
        </is>
      </c>
      <c r="F131" s="25" t="n">
        <v>1620000</v>
      </c>
    </row>
    <row r="132">
      <c r="A132" s="23" t="inlineStr">
        <is>
          <t>Location Ecrans &amp; Barres à Led</t>
        </is>
      </c>
      <c r="B132" s="24" t="inlineStr">
        <is>
          <t>Services</t>
        </is>
      </c>
      <c r="C132" s="24" t="inlineStr">
        <is>
          <t>T2</t>
        </is>
      </c>
      <c r="D132" s="24" t="inlineStr">
        <is>
          <t>Casablanca / Rabat</t>
        </is>
      </c>
      <c r="E132" s="24" t="inlineStr">
        <is>
          <t>Oui</t>
        </is>
      </c>
      <c r="F132" s="25" t="n">
        <v>360000</v>
      </c>
    </row>
    <row r="133">
      <c r="A133" s="23" t="inlineStr">
        <is>
          <t>Location Matériel pour les productions internes Al Aoula</t>
        </is>
      </c>
      <c r="B133" s="24" t="inlineStr">
        <is>
          <t>Services</t>
        </is>
      </c>
      <c r="C133" s="24" t="inlineStr">
        <is>
          <t>T2</t>
        </is>
      </c>
      <c r="D133" s="24" t="inlineStr">
        <is>
          <t>Casablanca / Rabat</t>
        </is>
      </c>
      <c r="E133" s="24" t="inlineStr">
        <is>
          <t>Oui</t>
        </is>
      </c>
      <c r="F133" s="25" t="n">
        <v>1232000</v>
      </c>
    </row>
    <row r="136">
      <c r="A136" s="20" t="inlineStr">
        <is>
          <t>Direction Centrale de la Régie publicitaire et des Solutions Digitales</t>
        </is>
      </c>
    </row>
    <row r="137">
      <c r="A137" s="21" t="inlineStr">
        <is>
          <t>&lt; Retour à la matrice</t>
        </is>
      </c>
    </row>
    <row r="138">
      <c r="A138" s="22" t="inlineStr">
        <is>
          <t>Nb marchés : 13    |    Montant total estimé : 5 454 940 MAD</t>
        </is>
      </c>
    </row>
    <row r="139">
      <c r="A139" s="10" t="inlineStr">
        <is>
          <t>Nature</t>
        </is>
      </c>
      <c r="B139" s="10" t="inlineStr">
        <is>
          <t>Nb marchés</t>
        </is>
      </c>
      <c r="C139" s="10" t="inlineStr">
        <is>
          <t>Montant estimé (MAD)</t>
        </is>
      </c>
    </row>
    <row r="140">
      <c r="A140" s="11" t="inlineStr">
        <is>
          <t>Fournitures</t>
        </is>
      </c>
      <c r="B140" s="12" t="n">
        <v>0</v>
      </c>
      <c r="C140" s="16" t="n">
        <v>0</v>
      </c>
    </row>
    <row r="141">
      <c r="A141" s="11" t="inlineStr">
        <is>
          <t>Services</t>
        </is>
      </c>
      <c r="B141" s="12" t="n">
        <v>13</v>
      </c>
      <c r="C141" s="16" t="n">
        <v>5454940</v>
      </c>
    </row>
    <row r="142">
      <c r="A142" s="11" t="inlineStr">
        <is>
          <t>Travaux</t>
        </is>
      </c>
      <c r="B142" s="12" t="n">
        <v>0</v>
      </c>
      <c r="C142" s="16" t="n">
        <v>0</v>
      </c>
    </row>
    <row r="144">
      <c r="A144" s="14" t="inlineStr">
        <is>
          <t>Objet</t>
        </is>
      </c>
      <c r="B144" s="14" t="inlineStr">
        <is>
          <t>Nature</t>
        </is>
      </c>
      <c r="C144" s="14" t="inlineStr">
        <is>
          <t>Période</t>
        </is>
      </c>
      <c r="D144" s="14" t="inlineStr">
        <is>
          <t>Lieu d'exécution</t>
        </is>
      </c>
      <c r="E144" s="14" t="inlineStr">
        <is>
          <t>PME</t>
        </is>
      </c>
      <c r="F144" s="14" t="inlineStr">
        <is>
          <t>Estimation (MAD)</t>
        </is>
      </c>
    </row>
    <row r="145">
      <c r="A145" s="23" t="inlineStr">
        <is>
          <t>Assistance et maintenance de lasolution BI etlocation de licences</t>
        </is>
      </c>
      <c r="B145" s="24" t="inlineStr">
        <is>
          <t>Services</t>
        </is>
      </c>
      <c r="C145" s="24" t="inlineStr">
        <is>
          <t>T2</t>
        </is>
      </c>
      <c r="D145" s="24" t="inlineStr">
        <is>
          <t>Casablanca</t>
        </is>
      </c>
      <c r="E145" s="24" t="inlineStr">
        <is>
          <t>Oui</t>
        </is>
      </c>
      <c r="F145" s="25" t="n">
        <v>250000</v>
      </c>
    </row>
    <row r="146">
      <c r="A146" s="23" t="inlineStr">
        <is>
          <t>Prestation de maintenance corrective, maintenance évolutive, d'assistance utilisateur, d'assistance technique et des mises à jour de Media Pilot, Logiciel de gestion de la commercialisation de l'espace publicitaire des supports TV Radio de la SNRT</t>
        </is>
      </c>
      <c r="B146" s="24" t="inlineStr">
        <is>
          <t>Services</t>
        </is>
      </c>
      <c r="C146" s="24" t="inlineStr">
        <is>
          <t>T2</t>
        </is>
      </c>
      <c r="D146" s="24" t="inlineStr">
        <is>
          <t>Casablanca</t>
        </is>
      </c>
      <c r="E146" s="24" t="inlineStr">
        <is>
          <t>Non</t>
        </is>
      </c>
      <c r="F146" s="25" t="n">
        <v>753940</v>
      </c>
    </row>
    <row r="147">
      <c r="A147" s="23" t="inlineStr">
        <is>
          <t>"Acquisition d'une Solution Multifonction visant la gestion de projets, la mise en place de la chaine Devops et l’acquisition des Outils de développement : éditeur de code".</t>
        </is>
      </c>
      <c r="B147" s="24" t="inlineStr">
        <is>
          <t>Services</t>
        </is>
      </c>
      <c r="C147" s="24" t="inlineStr">
        <is>
          <t>T2</t>
        </is>
      </c>
      <c r="D147" s="24" t="inlineStr">
        <is>
          <t>Casablanca</t>
        </is>
      </c>
      <c r="E147" s="24" t="inlineStr">
        <is>
          <t>Oui</t>
        </is>
      </c>
      <c r="F147" s="25" t="n">
        <v>250000</v>
      </c>
    </row>
    <row r="148">
      <c r="A148" s="23" t="inlineStr">
        <is>
          <t>Mise en place d’une plateforme de gestion de données : Data management platorm: (DMP) pour la collecte et l’analyse de données sociodémographiques et comportementales, afin d'optimiser les campagnes publicitaires sur les plateformes digitales de la régie.</t>
        </is>
      </c>
      <c r="B148" s="24" t="inlineStr">
        <is>
          <t>Services</t>
        </is>
      </c>
      <c r="C148" s="24" t="inlineStr">
        <is>
          <t>T2</t>
        </is>
      </c>
      <c r="D148" s="24" t="inlineStr">
        <is>
          <t>Casablanca</t>
        </is>
      </c>
      <c r="E148" s="24" t="inlineStr">
        <is>
          <t>Oui</t>
        </is>
      </c>
      <c r="F148" s="25" t="n">
        <v>600000</v>
      </c>
    </row>
    <row r="149">
      <c r="A149" s="23" t="inlineStr">
        <is>
          <t>Lancement d'une Analyse de l'impact de l'engagement et de l'attention des téléspectateurs sur les programmes TV : De la mémorisation à l’attractivité pour les marques ( Efficacité publicitaire TV (linéaire + Broadcaster Video On Demand).</t>
        </is>
      </c>
      <c r="B149" s="24" t="inlineStr">
        <is>
          <t>Services</t>
        </is>
      </c>
      <c r="C149" s="24" t="inlineStr">
        <is>
          <t>T2</t>
        </is>
      </c>
      <c r="D149" s="24" t="inlineStr">
        <is>
          <t>Casablanca</t>
        </is>
      </c>
      <c r="E149" s="24" t="inlineStr">
        <is>
          <t>Oui</t>
        </is>
      </c>
      <c r="F149" s="25" t="n">
        <v>600000</v>
      </c>
    </row>
    <row r="150">
      <c r="A150" s="23" t="inlineStr">
        <is>
          <t>Lancement d'une étude "Return on investment": ( ROI) permettant l'évaluation de l'effiicacité des camapgnes publicitaires</t>
        </is>
      </c>
      <c r="B150" s="24" t="inlineStr">
        <is>
          <t>Services</t>
        </is>
      </c>
      <c r="C150" s="24" t="inlineStr">
        <is>
          <t>T2</t>
        </is>
      </c>
      <c r="D150" s="24" t="inlineStr">
        <is>
          <t>Casablanca</t>
        </is>
      </c>
      <c r="E150" s="24" t="inlineStr">
        <is>
          <t>Oui</t>
        </is>
      </c>
      <c r="F150" s="25" t="n">
        <v>600000</v>
      </c>
    </row>
    <row r="151">
      <c r="A151" s="23" t="inlineStr">
        <is>
          <t>Maintenance de la messagerie de la DRPSD</t>
        </is>
      </c>
      <c r="B151" s="24" t="inlineStr">
        <is>
          <t>Services</t>
        </is>
      </c>
      <c r="C151" s="24" t="inlineStr">
        <is>
          <t>T4</t>
        </is>
      </c>
      <c r="D151" s="24" t="inlineStr">
        <is>
          <t>Casablanca</t>
        </is>
      </c>
      <c r="E151" s="24" t="inlineStr">
        <is>
          <t>Oui</t>
        </is>
      </c>
      <c r="F151" s="25" t="n">
        <v>51000</v>
      </c>
    </row>
    <row r="152">
      <c r="A152" s="23" t="inlineStr">
        <is>
          <t>Acquisition d'une Solution visant l'Automatisation et la Digitalisation de la Gestion des Campagnes Publicitaires ( Annonceurs - Agences- Régie Publicitaire )</t>
        </is>
      </c>
      <c r="B152" s="24" t="inlineStr">
        <is>
          <t>Services</t>
        </is>
      </c>
      <c r="C152" s="24" t="inlineStr">
        <is>
          <t>T2</t>
        </is>
      </c>
      <c r="D152" s="24" t="inlineStr">
        <is>
          <t>Casablanca</t>
        </is>
      </c>
      <c r="E152" s="24" t="inlineStr">
        <is>
          <t>Non</t>
        </is>
      </c>
      <c r="F152" s="25" t="n">
        <v>350000</v>
      </c>
    </row>
    <row r="153">
      <c r="A153" s="23" t="inlineStr">
        <is>
          <t>Refonte de la Solution de publicité digitale pour l'ensemble des plateformes digitales de la SNRT</t>
        </is>
      </c>
      <c r="B153" s="24" t="inlineStr">
        <is>
          <t>Services</t>
        </is>
      </c>
      <c r="C153" s="24" t="inlineStr">
        <is>
          <t>T2</t>
        </is>
      </c>
      <c r="D153" s="24" t="inlineStr">
        <is>
          <t>Casablanca</t>
        </is>
      </c>
      <c r="E153" s="24" t="inlineStr">
        <is>
          <t>Oui</t>
        </is>
      </c>
      <c r="F153" s="25" t="n">
        <v>400000</v>
      </c>
    </row>
    <row r="154">
      <c r="A154" s="23" t="inlineStr">
        <is>
          <t>Réferencement de la plate forme SNRTNEWS et Mise en place de la stratégie digitale</t>
        </is>
      </c>
      <c r="B154" s="24" t="inlineStr">
        <is>
          <t>Services</t>
        </is>
      </c>
      <c r="C154" s="24" t="inlineStr">
        <is>
          <t>T2</t>
        </is>
      </c>
      <c r="D154" s="24" t="inlineStr">
        <is>
          <t>Casablanca</t>
        </is>
      </c>
      <c r="E154" s="24" t="inlineStr">
        <is>
          <t>Oui</t>
        </is>
      </c>
      <c r="F154" s="25" t="n">
        <v>350000</v>
      </c>
    </row>
    <row r="155">
      <c r="A155" s="23" t="inlineStr">
        <is>
          <t>Accompagnement et Sponsoring des plateformes digitales</t>
        </is>
      </c>
      <c r="B155" s="24" t="inlineStr">
        <is>
          <t>Services</t>
        </is>
      </c>
      <c r="C155" s="24" t="inlineStr">
        <is>
          <t>T2</t>
        </is>
      </c>
      <c r="D155" s="24" t="inlineStr">
        <is>
          <t>Casablanca</t>
        </is>
      </c>
      <c r="E155" s="24" t="inlineStr">
        <is>
          <t>Non</t>
        </is>
      </c>
      <c r="F155" s="25" t="n">
        <v>500000</v>
      </c>
    </row>
    <row r="156">
      <c r="A156" s="23" t="inlineStr">
        <is>
          <t>Solutions relatives au projet d'homologation RSSI</t>
        </is>
      </c>
      <c r="B156" s="24" t="inlineStr">
        <is>
          <t>Services</t>
        </is>
      </c>
      <c r="C156" s="24" t="inlineStr">
        <is>
          <t>T2</t>
        </is>
      </c>
      <c r="D156" s="24" t="inlineStr">
        <is>
          <t>Casablanca</t>
        </is>
      </c>
      <c r="E156" s="24" t="inlineStr">
        <is>
          <t>Oui</t>
        </is>
      </c>
      <c r="F156" s="25" t="n">
        <v>300000</v>
      </c>
    </row>
    <row r="157">
      <c r="A157" s="23" t="inlineStr">
        <is>
          <t>Développement de projets digitaux</t>
        </is>
      </c>
      <c r="B157" s="24" t="inlineStr">
        <is>
          <t>Services</t>
        </is>
      </c>
      <c r="C157" s="24" t="inlineStr">
        <is>
          <t>T2</t>
        </is>
      </c>
      <c r="D157" s="24" t="inlineStr">
        <is>
          <t>Casablanca</t>
        </is>
      </c>
      <c r="E157" s="24" t="inlineStr">
        <is>
          <t>Oui</t>
        </is>
      </c>
      <c r="F157" s="25" t="n">
        <v>450000</v>
      </c>
    </row>
    <row r="160">
      <c r="A160" s="20" t="inlineStr">
        <is>
          <t>Direction Financière</t>
        </is>
      </c>
    </row>
    <row r="161">
      <c r="A161" s="21" t="inlineStr">
        <is>
          <t>&lt; Retour à la matrice</t>
        </is>
      </c>
    </row>
    <row r="162">
      <c r="A162" s="22" t="inlineStr">
        <is>
          <t>Nb marchés : 3    |    Montant total estimé : 3 560 000 MAD</t>
        </is>
      </c>
    </row>
    <row r="163">
      <c r="A163" s="10" t="inlineStr">
        <is>
          <t>Nature</t>
        </is>
      </c>
      <c r="B163" s="10" t="inlineStr">
        <is>
          <t>Nb marchés</t>
        </is>
      </c>
      <c r="C163" s="10" t="inlineStr">
        <is>
          <t>Montant estimé (MAD)</t>
        </is>
      </c>
    </row>
    <row r="164">
      <c r="A164" s="11" t="inlineStr">
        <is>
          <t>Fournitures</t>
        </is>
      </c>
      <c r="B164" s="12" t="n">
        <v>0</v>
      </c>
      <c r="C164" s="16" t="n">
        <v>0</v>
      </c>
    </row>
    <row r="165">
      <c r="A165" s="11" t="inlineStr">
        <is>
          <t>Services</t>
        </is>
      </c>
      <c r="B165" s="12" t="n">
        <v>3</v>
      </c>
      <c r="C165" s="16" t="n">
        <v>3560000</v>
      </c>
    </row>
    <row r="166">
      <c r="A166" s="11" t="inlineStr">
        <is>
          <t>Travaux</t>
        </is>
      </c>
      <c r="B166" s="12" t="n">
        <v>0</v>
      </c>
      <c r="C166" s="16" t="n">
        <v>0</v>
      </c>
    </row>
    <row r="168">
      <c r="A168" s="14" t="inlineStr">
        <is>
          <t>Objet</t>
        </is>
      </c>
      <c r="B168" s="14" t="inlineStr">
        <is>
          <t>Nature</t>
        </is>
      </c>
      <c r="C168" s="14" t="inlineStr">
        <is>
          <t>Période</t>
        </is>
      </c>
      <c r="D168" s="14" t="inlineStr">
        <is>
          <t>Lieu d'exécution</t>
        </is>
      </c>
      <c r="E168" s="14" t="inlineStr">
        <is>
          <t>PME</t>
        </is>
      </c>
      <c r="F168" s="14" t="inlineStr">
        <is>
          <t>Estimation (MAD)</t>
        </is>
      </c>
    </row>
    <row r="169">
      <c r="A169" s="23" t="inlineStr">
        <is>
          <t>Commissarit aux apports - Expertise d'évaluation du foncier transféré par l'Etat à la SNRT</t>
        </is>
      </c>
      <c r="B169" s="24" t="inlineStr">
        <is>
          <t>Services</t>
        </is>
      </c>
      <c r="C169" s="24" t="inlineStr">
        <is>
          <t>T2</t>
        </is>
      </c>
      <c r="D169" s="24" t="inlineStr">
        <is>
          <t>Siège SNRT</t>
        </is>
      </c>
      <c r="E169" s="24" t="inlineStr">
        <is>
          <t>Non</t>
        </is>
      </c>
      <c r="F169" s="25" t="n">
        <v>360000</v>
      </c>
    </row>
    <row r="170">
      <c r="A170" s="23" t="inlineStr">
        <is>
          <t>Audit fiscal de la SNRT au titre des exercices non prescrits (2022 - 2025)</t>
        </is>
      </c>
      <c r="B170" s="24" t="inlineStr">
        <is>
          <t>Services</t>
        </is>
      </c>
      <c r="C170" s="24" t="inlineStr">
        <is>
          <t>T2</t>
        </is>
      </c>
      <c r="D170" s="24" t="inlineStr">
        <is>
          <t>Siège SNRT</t>
        </is>
      </c>
      <c r="E170" s="24" t="inlineStr">
        <is>
          <t>Non</t>
        </is>
      </c>
      <c r="F170" s="25" t="n">
        <v>600000</v>
      </c>
    </row>
    <row r="171">
      <c r="A171" s="23" t="inlineStr">
        <is>
          <t>Accompagnement du Groupe SNRT dans la production des comptes en IFRS (trois prix distincts : la production des comptes individuels de la SNRT, la production des comptes individuels des filiales, la production des comptes consolidés du groupe)</t>
        </is>
      </c>
      <c r="B171" s="24" t="inlineStr">
        <is>
          <t>Services</t>
        </is>
      </c>
      <c r="C171" s="24" t="inlineStr">
        <is>
          <t>T2</t>
        </is>
      </c>
      <c r="D171" s="24" t="inlineStr">
        <is>
          <t>SNRT et Filiales</t>
        </is>
      </c>
      <c r="E171" s="24" t="inlineStr">
        <is>
          <t>Non</t>
        </is>
      </c>
      <c r="F171" s="25" t="n">
        <v>2600000</v>
      </c>
    </row>
    <row r="174">
      <c r="A174" s="20" t="inlineStr">
        <is>
          <t>Direction chargée des programmes Amazigh Radio et TV</t>
        </is>
      </c>
    </row>
    <row r="175">
      <c r="A175" s="21" t="inlineStr">
        <is>
          <t>&lt; Retour à la matrice</t>
        </is>
      </c>
    </row>
    <row r="176">
      <c r="A176" s="22" t="inlineStr">
        <is>
          <t>Nb marchés : 3    |    Montant total estimé : 2 600 000 MAD</t>
        </is>
      </c>
    </row>
    <row r="177">
      <c r="A177" s="10" t="inlineStr">
        <is>
          <t>Nature</t>
        </is>
      </c>
      <c r="B177" s="10" t="inlineStr">
        <is>
          <t>Nb marchés</t>
        </is>
      </c>
      <c r="C177" s="10" t="inlineStr">
        <is>
          <t>Montant estimé (MAD)</t>
        </is>
      </c>
    </row>
    <row r="178">
      <c r="A178" s="11" t="inlineStr">
        <is>
          <t>Fournitures</t>
        </is>
      </c>
      <c r="B178" s="12" t="n">
        <v>0</v>
      </c>
      <c r="C178" s="16" t="n">
        <v>0</v>
      </c>
    </row>
    <row r="179">
      <c r="A179" s="11" t="inlineStr">
        <is>
          <t>Services</t>
        </is>
      </c>
      <c r="B179" s="12" t="n">
        <v>3</v>
      </c>
      <c r="C179" s="16" t="n">
        <v>2600000</v>
      </c>
    </row>
    <row r="180">
      <c r="A180" s="11" t="inlineStr">
        <is>
          <t>Travaux</t>
        </is>
      </c>
      <c r="B180" s="12" t="n">
        <v>0</v>
      </c>
      <c r="C180" s="16" t="n">
        <v>0</v>
      </c>
    </row>
    <row r="182">
      <c r="A182" s="14" t="inlineStr">
        <is>
          <t>Objet</t>
        </is>
      </c>
      <c r="B182" s="14" t="inlineStr">
        <is>
          <t>Nature</t>
        </is>
      </c>
      <c r="C182" s="14" t="inlineStr">
        <is>
          <t>Période</t>
        </is>
      </c>
      <c r="D182" s="14" t="inlineStr">
        <is>
          <t>Lieu d'exécution</t>
        </is>
      </c>
      <c r="E182" s="14" t="inlineStr">
        <is>
          <t>PME</t>
        </is>
      </c>
      <c r="F182" s="14" t="inlineStr">
        <is>
          <t>Estimation (MAD)</t>
        </is>
      </c>
    </row>
    <row r="183">
      <c r="A183" s="23" t="inlineStr">
        <is>
          <t>Habillage général de la chaîne Amazighia</t>
        </is>
      </c>
      <c r="B183" s="24" t="inlineStr">
        <is>
          <t>Services</t>
        </is>
      </c>
      <c r="C183" s="24" t="inlineStr">
        <is>
          <t>T2</t>
        </is>
      </c>
      <c r="D183" s="24" t="inlineStr">
        <is>
          <t>Rabat</t>
        </is>
      </c>
      <c r="E183" s="24" t="inlineStr">
        <is>
          <t>Non</t>
        </is>
      </c>
      <c r="F183" s="25" t="n">
        <v>1500000</v>
      </c>
    </row>
    <row r="184">
      <c r="A184" s="23" t="inlineStr">
        <is>
          <t>Conception et fabrication d'un ensemble de décors comprenant une table et cinq chaises dédiées aux émissions de débat télévisé diffusées sur la chaîne TV8.</t>
        </is>
      </c>
      <c r="B184" s="24" t="inlineStr">
        <is>
          <t>Services</t>
        </is>
      </c>
      <c r="C184" s="24" t="inlineStr">
        <is>
          <t>T2</t>
        </is>
      </c>
      <c r="D184" s="24" t="inlineStr">
        <is>
          <t>Rabat</t>
        </is>
      </c>
      <c r="E184" s="24" t="inlineStr">
        <is>
          <t>Oui</t>
        </is>
      </c>
      <c r="F184" s="25" t="n">
        <v>600000</v>
      </c>
    </row>
    <row r="185">
      <c r="A185" s="23" t="inlineStr">
        <is>
          <t>Habillage général de Radio Amazigh</t>
        </is>
      </c>
      <c r="B185" s="24" t="inlineStr">
        <is>
          <t>Services</t>
        </is>
      </c>
      <c r="C185" s="24" t="inlineStr">
        <is>
          <t>T3</t>
        </is>
      </c>
      <c r="D185" s="24" t="inlineStr">
        <is>
          <t>Rabat</t>
        </is>
      </c>
      <c r="E185" s="24" t="inlineStr">
        <is>
          <t>Non</t>
        </is>
      </c>
      <c r="F185" s="25" t="n">
        <v>500000</v>
      </c>
    </row>
    <row r="188">
      <c r="A188" s="20" t="inlineStr">
        <is>
          <t>Direction de l'Information TV</t>
        </is>
      </c>
    </row>
    <row r="189">
      <c r="A189" s="21" t="inlineStr">
        <is>
          <t>&lt; Retour à la matrice</t>
        </is>
      </c>
    </row>
    <row r="190">
      <c r="A190" s="22" t="inlineStr">
        <is>
          <t>Nb marchés : 7    |    Montant total estimé : 2 700 000 MAD</t>
        </is>
      </c>
    </row>
    <row r="191">
      <c r="A191" s="10" t="inlineStr">
        <is>
          <t>Nature</t>
        </is>
      </c>
      <c r="B191" s="10" t="inlineStr">
        <is>
          <t>Nb marchés</t>
        </is>
      </c>
      <c r="C191" s="10" t="inlineStr">
        <is>
          <t>Montant estimé (MAD)</t>
        </is>
      </c>
    </row>
    <row r="192">
      <c r="A192" s="11" t="inlineStr">
        <is>
          <t>Fournitures</t>
        </is>
      </c>
      <c r="B192" s="12" t="n">
        <v>5</v>
      </c>
      <c r="C192" s="16" t="n">
        <v>2100000</v>
      </c>
    </row>
    <row r="193">
      <c r="A193" s="11" t="inlineStr">
        <is>
          <t>Services</t>
        </is>
      </c>
      <c r="B193" s="12" t="n">
        <v>2</v>
      </c>
      <c r="C193" s="16" t="n">
        <v>600000</v>
      </c>
    </row>
    <row r="194">
      <c r="A194" s="11" t="inlineStr">
        <is>
          <t>Travaux</t>
        </is>
      </c>
      <c r="B194" s="12" t="n">
        <v>0</v>
      </c>
      <c r="C194" s="16" t="n">
        <v>0</v>
      </c>
    </row>
    <row r="196">
      <c r="A196" s="14" t="inlineStr">
        <is>
          <t>Objet</t>
        </is>
      </c>
      <c r="B196" s="14" t="inlineStr">
        <is>
          <t>Nature</t>
        </is>
      </c>
      <c r="C196" s="14" t="inlineStr">
        <is>
          <t>Période</t>
        </is>
      </c>
      <c r="D196" s="14" t="inlineStr">
        <is>
          <t>Lieu d'exécution</t>
        </is>
      </c>
      <c r="E196" s="14" t="inlineStr">
        <is>
          <t>PME</t>
        </is>
      </c>
      <c r="F196" s="14" t="inlineStr">
        <is>
          <t>Estimation (MAD)</t>
        </is>
      </c>
    </row>
    <row r="197">
      <c r="A197" s="23" t="inlineStr">
        <is>
          <t>Prestation de blanchisserie du linge et services assiciés au profit des journalistes présentateurs du journal Télévisés (JT) ,</t>
        </is>
      </c>
      <c r="B197" s="24" t="inlineStr">
        <is>
          <t>Services</t>
        </is>
      </c>
      <c r="C197" s="24" t="inlineStr">
        <is>
          <t>T2</t>
        </is>
      </c>
      <c r="D197" s="24" t="inlineStr">
        <is>
          <t>Rabat</t>
        </is>
      </c>
      <c r="E197" s="24" t="inlineStr">
        <is>
          <t>Oui</t>
        </is>
      </c>
      <c r="F197" s="25" t="n">
        <v>100000</v>
      </c>
    </row>
    <row r="198">
      <c r="A198" s="23" t="inlineStr">
        <is>
          <t>Achat d'habillement au profit des journalistes présentateurs des évenements sportifs,</t>
        </is>
      </c>
      <c r="B198" s="24" t="inlineStr">
        <is>
          <t>Fournitures</t>
        </is>
      </c>
      <c r="C198" s="24" t="inlineStr">
        <is>
          <t>T2</t>
        </is>
      </c>
      <c r="D198" s="24" t="inlineStr">
        <is>
          <t>Rabat</t>
        </is>
      </c>
      <c r="E198" s="24" t="inlineStr">
        <is>
          <t>Non</t>
        </is>
      </c>
      <c r="F198" s="25" t="n">
        <v>300000</v>
      </c>
    </row>
    <row r="199">
      <c r="A199" s="23" t="inlineStr">
        <is>
          <t>Achat d'habillement au profit des journalistes présentateurs des JTV ,</t>
        </is>
      </c>
      <c r="B199" s="24" t="inlineStr">
        <is>
          <t>Fournitures</t>
        </is>
      </c>
      <c r="C199" s="24" t="inlineStr">
        <is>
          <t>T2</t>
        </is>
      </c>
      <c r="D199" s="24" t="inlineStr">
        <is>
          <t>Rabat</t>
        </is>
      </c>
      <c r="E199" s="24" t="inlineStr">
        <is>
          <t>Non</t>
        </is>
      </c>
      <c r="F199" s="25" t="n">
        <v>700000</v>
      </c>
    </row>
    <row r="200">
      <c r="A200" s="23" t="inlineStr">
        <is>
          <t>Conception et réalisation d'un décor du plateau de télévision professionnel aux standards internationaux pour la couverture de la CAN 2026 (femmes)</t>
        </is>
      </c>
      <c r="B200" s="24" t="inlineStr">
        <is>
          <t>Fournitures</t>
        </is>
      </c>
      <c r="C200" s="24" t="inlineStr">
        <is>
          <t>T2</t>
        </is>
      </c>
      <c r="D200" s="24" t="inlineStr">
        <is>
          <t>Rabat</t>
        </is>
      </c>
      <c r="E200" s="24" t="inlineStr">
        <is>
          <t>Non</t>
        </is>
      </c>
      <c r="F200" s="25" t="n">
        <v>400000</v>
      </c>
    </row>
    <row r="201">
      <c r="A201" s="23" t="inlineStr">
        <is>
          <t>Réalisation d'un décor plateau de télévision professionnel aux standards internationaux pour l'émission" نقطة الى السطر"</t>
        </is>
      </c>
      <c r="B201" s="24" t="inlineStr">
        <is>
          <t>Services</t>
        </is>
      </c>
      <c r="C201" s="24" t="inlineStr">
        <is>
          <t>T2</t>
        </is>
      </c>
      <c r="D201" s="24" t="inlineStr">
        <is>
          <t>Rabat</t>
        </is>
      </c>
      <c r="E201" s="24" t="inlineStr">
        <is>
          <t>Non</t>
        </is>
      </c>
      <c r="F201" s="25" t="n">
        <v>500000</v>
      </c>
    </row>
    <row r="202">
      <c r="A202" s="23" t="inlineStr">
        <is>
          <t>Conception et fabrication de décor pour une émission grand débat politique 2026</t>
        </is>
      </c>
      <c r="B202" s="24" t="inlineStr">
        <is>
          <t>Fournitures</t>
        </is>
      </c>
      <c r="C202" s="24" t="inlineStr">
        <is>
          <t>T2</t>
        </is>
      </c>
      <c r="D202" s="24" t="inlineStr">
        <is>
          <t>Rabat</t>
        </is>
      </c>
      <c r="E202" s="24" t="inlineStr">
        <is>
          <t>Non</t>
        </is>
      </c>
      <c r="F202" s="25" t="n">
        <v>400000</v>
      </c>
    </row>
    <row r="203">
      <c r="A203" s="23" t="inlineStr">
        <is>
          <t>Acquisition des produits de maquillage pour les présentateurs des JT e t des émissions TV,</t>
        </is>
      </c>
      <c r="B203" s="24" t="inlineStr">
        <is>
          <t>Fournitures</t>
        </is>
      </c>
      <c r="C203" s="24" t="inlineStr">
        <is>
          <t>T2</t>
        </is>
      </c>
      <c r="D203" s="24" t="inlineStr">
        <is>
          <t>Rabat</t>
        </is>
      </c>
      <c r="E203" s="24" t="inlineStr">
        <is>
          <t>Non</t>
        </is>
      </c>
      <c r="F203" s="25" t="n">
        <v>300000</v>
      </c>
    </row>
    <row r="206">
      <c r="A206" s="20" t="inlineStr">
        <is>
          <t>Direction de la Chaîne TV Laayoune</t>
        </is>
      </c>
    </row>
    <row r="207">
      <c r="A207" s="21" t="inlineStr">
        <is>
          <t>&lt; Retour à la matrice</t>
        </is>
      </c>
    </row>
    <row r="208">
      <c r="A208" s="22" t="inlineStr">
        <is>
          <t>Nb marchés : 2    |    Montant total estimé : 600 000 MAD</t>
        </is>
      </c>
    </row>
    <row r="209">
      <c r="A209" s="10" t="inlineStr">
        <is>
          <t>Nature</t>
        </is>
      </c>
      <c r="B209" s="10" t="inlineStr">
        <is>
          <t>Nb marchés</t>
        </is>
      </c>
      <c r="C209" s="10" t="inlineStr">
        <is>
          <t>Montant estimé (MAD)</t>
        </is>
      </c>
    </row>
    <row r="210">
      <c r="A210" s="11" t="inlineStr">
        <is>
          <t>Fournitures</t>
        </is>
      </c>
      <c r="B210" s="12" t="n">
        <v>2</v>
      </c>
      <c r="C210" s="16" t="n">
        <v>600000</v>
      </c>
    </row>
    <row r="211">
      <c r="A211" s="11" t="inlineStr">
        <is>
          <t>Services</t>
        </is>
      </c>
      <c r="B211" s="12" t="n">
        <v>0</v>
      </c>
      <c r="C211" s="16" t="n">
        <v>0</v>
      </c>
    </row>
    <row r="212">
      <c r="A212" s="11" t="inlineStr">
        <is>
          <t>Travaux</t>
        </is>
      </c>
      <c r="B212" s="12" t="n">
        <v>0</v>
      </c>
      <c r="C212" s="16" t="n">
        <v>0</v>
      </c>
    </row>
    <row r="214">
      <c r="A214" s="14" t="inlineStr">
        <is>
          <t>Objet</t>
        </is>
      </c>
      <c r="B214" s="14" t="inlineStr">
        <is>
          <t>Nature</t>
        </is>
      </c>
      <c r="C214" s="14" t="inlineStr">
        <is>
          <t>Période</t>
        </is>
      </c>
      <c r="D214" s="14" t="inlineStr">
        <is>
          <t>Lieu d'exécution</t>
        </is>
      </c>
      <c r="E214" s="14" t="inlineStr">
        <is>
          <t>PME</t>
        </is>
      </c>
      <c r="F214" s="14" t="inlineStr">
        <is>
          <t>Estimation (MAD)</t>
        </is>
      </c>
    </row>
    <row r="215">
      <c r="A215" s="23" t="inlineStr">
        <is>
          <t>Fabrication de décor et conception d'habillage de l'émission "AL FADAA ARIYADI".</t>
        </is>
      </c>
      <c r="B215" s="24" t="inlineStr">
        <is>
          <t>Fournitures</t>
        </is>
      </c>
      <c r="C215" s="24" t="inlineStr">
        <is>
          <t>T2</t>
        </is>
      </c>
      <c r="D215" s="24" t="inlineStr">
        <is>
          <t>Laayoune</t>
        </is>
      </c>
      <c r="E215" s="24" t="inlineStr">
        <is>
          <t>Non</t>
        </is>
      </c>
      <c r="F215" s="25" t="n">
        <v>300000</v>
      </c>
    </row>
    <row r="216">
      <c r="A216" s="23" t="inlineStr">
        <is>
          <t>Fabrication de décor et conception d'habillage de l'émission "AAOYON ALMAGHRIB ".</t>
        </is>
      </c>
      <c r="B216" s="24" t="inlineStr">
        <is>
          <t>Fournitures</t>
        </is>
      </c>
      <c r="C216" s="24" t="inlineStr">
        <is>
          <t>T2</t>
        </is>
      </c>
      <c r="D216" s="24" t="inlineStr">
        <is>
          <t>Laayoune</t>
        </is>
      </c>
      <c r="E216" s="24" t="inlineStr">
        <is>
          <t>Non</t>
        </is>
      </c>
      <c r="F216" s="25" t="n">
        <v>300000</v>
      </c>
    </row>
    <row r="219">
      <c r="A219" s="20" t="inlineStr">
        <is>
          <t>Direction de la Télédiffusion</t>
        </is>
      </c>
    </row>
    <row r="220">
      <c r="A220" s="21" t="inlineStr">
        <is>
          <t>&lt; Retour à la matrice</t>
        </is>
      </c>
    </row>
    <row r="221">
      <c r="A221" s="22" t="inlineStr">
        <is>
          <t>Nb marchés : 40    |    Montant total estimé : 102 039 904 MAD</t>
        </is>
      </c>
    </row>
    <row r="222">
      <c r="A222" s="10" t="inlineStr">
        <is>
          <t>Nature</t>
        </is>
      </c>
      <c r="B222" s="10" t="inlineStr">
        <is>
          <t>Nb marchés</t>
        </is>
      </c>
      <c r="C222" s="10" t="inlineStr">
        <is>
          <t>Montant estimé (MAD)</t>
        </is>
      </c>
    </row>
    <row r="223">
      <c r="A223" s="11" t="inlineStr">
        <is>
          <t>Fournitures</t>
        </is>
      </c>
      <c r="B223" s="12" t="n">
        <v>23</v>
      </c>
      <c r="C223" s="16" t="n">
        <v>70575904</v>
      </c>
    </row>
    <row r="224">
      <c r="A224" s="11" t="inlineStr">
        <is>
          <t>Services</t>
        </is>
      </c>
      <c r="B224" s="12" t="n">
        <v>10</v>
      </c>
      <c r="C224" s="16" t="n">
        <v>11464000</v>
      </c>
    </row>
    <row r="225">
      <c r="A225" s="11" t="inlineStr">
        <is>
          <t>Travaux</t>
        </is>
      </c>
      <c r="B225" s="12" t="n">
        <v>7</v>
      </c>
      <c r="C225" s="16" t="n">
        <v>20000000</v>
      </c>
    </row>
    <row r="227">
      <c r="A227" s="14" t="inlineStr">
        <is>
          <t>Objet</t>
        </is>
      </c>
      <c r="B227" s="14" t="inlineStr">
        <is>
          <t>Nature</t>
        </is>
      </c>
      <c r="C227" s="14" t="inlineStr">
        <is>
          <t>Période</t>
        </is>
      </c>
      <c r="D227" s="14" t="inlineStr">
        <is>
          <t>Lieu d'exécution</t>
        </is>
      </c>
      <c r="E227" s="14" t="inlineStr">
        <is>
          <t>PME</t>
        </is>
      </c>
      <c r="F227" s="14" t="inlineStr">
        <is>
          <t>Estimation (MAD)</t>
        </is>
      </c>
    </row>
    <row r="228">
      <c r="A228" s="23" t="inlineStr">
        <is>
          <t>Fourniture des modules de traitement audio et RDS pour les émetteurs FM</t>
        </is>
      </c>
      <c r="B228" s="24" t="inlineStr">
        <is>
          <t>Fournitures</t>
        </is>
      </c>
      <c r="C228" s="24" t="inlineStr">
        <is>
          <t>T3</t>
        </is>
      </c>
      <c r="D228" s="24" t="inlineStr">
        <is>
          <t>Magasin Temara</t>
        </is>
      </c>
      <c r="E228" s="24" t="inlineStr">
        <is>
          <t>Non</t>
        </is>
      </c>
      <c r="F228" s="25" t="n">
        <v>1800000</v>
      </c>
    </row>
    <row r="229">
      <c r="A229" s="23" t="inlineStr">
        <is>
          <t>Fourniture, installation et mise en service de systèmes de supervision des antennes de diffusion FM et TV</t>
        </is>
      </c>
      <c r="B229" s="24" t="inlineStr">
        <is>
          <t>Fournitures</t>
        </is>
      </c>
      <c r="C229" s="24" t="inlineStr">
        <is>
          <t>T2</t>
        </is>
      </c>
      <c r="D229" s="24" t="inlineStr">
        <is>
          <t>Centres de diffusion de la SNRT</t>
        </is>
      </c>
      <c r="E229" s="24" t="inlineStr">
        <is>
          <t>Non</t>
        </is>
      </c>
      <c r="F229" s="25" t="n">
        <v>2755000</v>
      </c>
    </row>
    <row r="230">
      <c r="A230" s="23" t="inlineStr">
        <is>
          <t>Fourniture et installation des équipements de contrôle audio et vidéo pour les petits centres de diffusion TV/FM</t>
        </is>
      </c>
      <c r="B230" s="24" t="inlineStr">
        <is>
          <t>Fournitures</t>
        </is>
      </c>
      <c r="C230" s="24" t="inlineStr">
        <is>
          <t>T2</t>
        </is>
      </c>
      <c r="D230" s="24" t="inlineStr">
        <is>
          <t>Centres de diffusion de la SNRT</t>
        </is>
      </c>
      <c r="E230" s="24" t="inlineStr">
        <is>
          <t>Non</t>
        </is>
      </c>
      <c r="F230" s="25" t="n">
        <v>1000000</v>
      </c>
    </row>
    <row r="231">
      <c r="A231" s="23" t="inlineStr">
        <is>
          <t>Fourniture, installation et mise en service des climatiseurs aux centres de diffusion de la SNRT</t>
        </is>
      </c>
      <c r="B231" s="24" t="inlineStr">
        <is>
          <t>Fournitures</t>
        </is>
      </c>
      <c r="C231" s="24" t="inlineStr">
        <is>
          <t>T3</t>
        </is>
      </c>
      <c r="D231" s="24" t="inlineStr">
        <is>
          <t>Centres de diffusion de la SNRT</t>
        </is>
      </c>
      <c r="E231" s="24" t="inlineStr">
        <is>
          <t>Oui</t>
        </is>
      </c>
      <c r="F231" s="25" t="n">
        <v>3500000</v>
      </c>
    </row>
    <row r="232">
      <c r="A232" s="23" t="inlineStr">
        <is>
          <t>Fourniture des analyseurs de réseaux électrique et les appareils de mesure électrique</t>
        </is>
      </c>
      <c r="B232" s="24" t="inlineStr">
        <is>
          <t>Fournitures</t>
        </is>
      </c>
      <c r="C232" s="24" t="inlineStr">
        <is>
          <t>T2</t>
        </is>
      </c>
      <c r="D232" s="24" t="inlineStr">
        <is>
          <t>Magasin Temara</t>
        </is>
      </c>
      <c r="E232" s="24" t="inlineStr">
        <is>
          <t>Non</t>
        </is>
      </c>
      <c r="F232" s="25" t="n">
        <v>800000</v>
      </c>
    </row>
    <row r="233">
      <c r="A233" s="23" t="inlineStr">
        <is>
          <t>Fourniture,installation et mise en service des commutateurs et distributeurs des signaux ASI et IP pour les centres de diffusion TNT et FM</t>
        </is>
      </c>
      <c r="B233" s="24" t="inlineStr">
        <is>
          <t>Fournitures</t>
        </is>
      </c>
      <c r="C233" s="24" t="inlineStr">
        <is>
          <t>T3</t>
        </is>
      </c>
      <c r="D233" s="24" t="inlineStr">
        <is>
          <t>Centres de diffusion de la SNRT</t>
        </is>
      </c>
      <c r="E233" s="24" t="inlineStr">
        <is>
          <t>Non</t>
        </is>
      </c>
      <c r="F233" s="25" t="n">
        <v>1000000</v>
      </c>
    </row>
    <row r="234">
      <c r="A234" s="23" t="inlineStr">
        <is>
          <t>Fourniture et installation des sondes FM et TNT pour le contrôle des signaux audios et vidéo des chaines radio et télevision de la SNRT</t>
        </is>
      </c>
      <c r="B234" s="24" t="inlineStr">
        <is>
          <t>Fournitures</t>
        </is>
      </c>
      <c r="C234" s="24" t="inlineStr">
        <is>
          <t>T3</t>
        </is>
      </c>
      <c r="D234" s="24" t="inlineStr">
        <is>
          <t>Magasin Temara</t>
        </is>
      </c>
      <c r="E234" s="24" t="inlineStr">
        <is>
          <t>Non</t>
        </is>
      </c>
      <c r="F234" s="25" t="n">
        <v>1200000</v>
      </c>
    </row>
    <row r="235">
      <c r="A235" s="23" t="inlineStr">
        <is>
          <t>Fourniture des modules et pièces de rechanges des émetteurs TNT de des centres de la SNRT</t>
        </is>
      </c>
      <c r="B235" s="24" t="inlineStr">
        <is>
          <t>Fournitures</t>
        </is>
      </c>
      <c r="C235" s="24" t="inlineStr">
        <is>
          <t>T2</t>
        </is>
      </c>
      <c r="D235" s="24" t="inlineStr">
        <is>
          <t>Magasin Temara</t>
        </is>
      </c>
      <c r="E235" s="24" t="inlineStr">
        <is>
          <t>Non</t>
        </is>
      </c>
      <c r="F235" s="25" t="n">
        <v>6500000</v>
      </c>
    </row>
    <row r="236">
      <c r="A236" s="23" t="inlineStr">
        <is>
          <t>Fourniture des modules et pièces de rechanges des émetteurs FM des centres de la SNRT</t>
        </is>
      </c>
      <c r="B236" s="24" t="inlineStr">
        <is>
          <t>Fournitures</t>
        </is>
      </c>
      <c r="C236" s="24" t="inlineStr">
        <is>
          <t>T2</t>
        </is>
      </c>
      <c r="D236" s="24" t="inlineStr">
        <is>
          <t>Magasin Temara</t>
        </is>
      </c>
      <c r="E236" s="24" t="inlineStr">
        <is>
          <t>Non</t>
        </is>
      </c>
      <c r="F236" s="25" t="n">
        <v>6500000</v>
      </c>
    </row>
    <row r="237">
      <c r="A237" s="23" t="inlineStr">
        <is>
          <t>Fourniture des duplexeurs, filtres, patchs panel , commutateurs RF et adaptateurs</t>
        </is>
      </c>
      <c r="B237" s="24" t="inlineStr">
        <is>
          <t>Fournitures</t>
        </is>
      </c>
      <c r="C237" s="24" t="inlineStr">
        <is>
          <t>T3</t>
        </is>
      </c>
      <c r="D237" s="24" t="inlineStr">
        <is>
          <t>Magasin Temara</t>
        </is>
      </c>
      <c r="E237" s="24" t="inlineStr">
        <is>
          <t>Non</t>
        </is>
      </c>
      <c r="F237" s="25" t="n">
        <v>1600000</v>
      </c>
    </row>
    <row r="238">
      <c r="A238" s="23" t="inlineStr">
        <is>
          <t>Fourniture des distributeurs de puissance UHF et FM, combiners, feeders et antennes</t>
        </is>
      </c>
      <c r="B238" s="24" t="inlineStr">
        <is>
          <t>Fournitures</t>
        </is>
      </c>
      <c r="C238" s="24" t="inlineStr">
        <is>
          <t>T3</t>
        </is>
      </c>
      <c r="D238" s="24" t="inlineStr">
        <is>
          <t>Magasin Temara</t>
        </is>
      </c>
      <c r="E238" s="24" t="inlineStr">
        <is>
          <t>Non</t>
        </is>
      </c>
      <c r="F238" s="25" t="n">
        <v>3500000</v>
      </c>
    </row>
    <row r="239">
      <c r="A239" s="23" t="inlineStr">
        <is>
          <t>Fourniture des modules et pièces de rechanges hydrauliques et électriques pour les émetteurs de diffusion TNT et FM</t>
        </is>
      </c>
      <c r="B239" s="24" t="inlineStr">
        <is>
          <t>Fournitures</t>
        </is>
      </c>
      <c r="C239" s="24" t="inlineStr">
        <is>
          <t>T2</t>
        </is>
      </c>
      <c r="D239" s="24" t="inlineStr">
        <is>
          <t>Magasin Temara</t>
        </is>
      </c>
      <c r="E239" s="24" t="inlineStr">
        <is>
          <t>Non</t>
        </is>
      </c>
      <c r="F239" s="25" t="n">
        <v>1100000</v>
      </c>
    </row>
    <row r="240">
      <c r="A240" s="23" t="inlineStr">
        <is>
          <t>L'entretien et la remise en état des systèmes de balisage aux pylônes des centres de diffusion TV/FM</t>
        </is>
      </c>
      <c r="B240" s="24" t="inlineStr">
        <is>
          <t>Services</t>
        </is>
      </c>
      <c r="C240" s="24" t="inlineStr">
        <is>
          <t>T2</t>
        </is>
      </c>
      <c r="D240" s="24" t="inlineStr">
        <is>
          <t>centres de diffusion de la SNRT</t>
        </is>
      </c>
      <c r="E240" s="24" t="inlineStr">
        <is>
          <t>Oui</t>
        </is>
      </c>
      <c r="F240" s="25" t="n">
        <v>500000</v>
      </c>
    </row>
    <row r="241">
      <c r="A241" s="23" t="inlineStr">
        <is>
          <t>Entretien et maintenance du syteme d'antennes du centre radio AM d'Ait Melloul</t>
        </is>
      </c>
      <c r="B241" s="24" t="inlineStr">
        <is>
          <t>Services</t>
        </is>
      </c>
      <c r="C241" s="24" t="inlineStr">
        <is>
          <t>T2</t>
        </is>
      </c>
      <c r="D241" s="24" t="inlineStr">
        <is>
          <t>Ait Melloul</t>
        </is>
      </c>
      <c r="E241" s="24" t="inlineStr">
        <is>
          <t>Oui</t>
        </is>
      </c>
      <c r="F241" s="25" t="n">
        <v>2600000</v>
      </c>
    </row>
    <row r="242">
      <c r="A242" s="23" t="inlineStr">
        <is>
          <t>Entretien et remise en état du système de verouillage et de protection des cabines d'antennes de centres AM</t>
        </is>
      </c>
      <c r="B242" s="24" t="inlineStr">
        <is>
          <t>Services</t>
        </is>
      </c>
      <c r="C242" s="24" t="inlineStr">
        <is>
          <t>T3</t>
        </is>
      </c>
      <c r="D242" s="24" t="inlineStr">
        <is>
          <t>centres de diffusion de la SNRT</t>
        </is>
      </c>
      <c r="E242" s="24" t="inlineStr">
        <is>
          <t>Oui</t>
        </is>
      </c>
      <c r="F242" s="25" t="n">
        <v>1800000</v>
      </c>
    </row>
    <row r="243">
      <c r="A243" s="23" t="inlineStr">
        <is>
          <t>Entretien des systèmes de la télésurveillance des centres radio AM.</t>
        </is>
      </c>
      <c r="B243" s="24" t="inlineStr">
        <is>
          <t>Services</t>
        </is>
      </c>
      <c r="C243" s="24" t="inlineStr">
        <is>
          <t>T2</t>
        </is>
      </c>
      <c r="D243" s="24" t="inlineStr">
        <is>
          <t>Centre de diffusion AM</t>
        </is>
      </c>
      <c r="E243" s="24" t="inlineStr">
        <is>
          <t>Oui</t>
        </is>
      </c>
      <c r="F243" s="25" t="n">
        <v>180000</v>
      </c>
    </row>
    <row r="244">
      <c r="A244" s="23" t="inlineStr">
        <is>
          <t>Entretien et maintenance des équipements électriques, électroniques des climatiseurs aux centres de diffusion, y compris la fourniture des pièces de rechange.</t>
        </is>
      </c>
      <c r="B244" s="24" t="inlineStr">
        <is>
          <t>Services</t>
        </is>
      </c>
      <c r="C244" s="24" t="inlineStr">
        <is>
          <t>T2</t>
        </is>
      </c>
      <c r="D244" s="24" t="inlineStr">
        <is>
          <t>Centres de diffusion TV/FM</t>
        </is>
      </c>
      <c r="E244" s="24" t="inlineStr">
        <is>
          <t>Oui</t>
        </is>
      </c>
      <c r="F244" s="25" t="n">
        <v>4500000</v>
      </c>
    </row>
    <row r="245">
      <c r="A245" s="23" t="inlineStr">
        <is>
          <t>Fourniture, installation et mise en service des émetteurs DVB-T/T2 avec combiners pour quelques sites de diffusion</t>
        </is>
      </c>
      <c r="B245" s="24" t="inlineStr">
        <is>
          <t>Fournitures</t>
        </is>
      </c>
      <c r="C245" s="24" t="inlineStr">
        <is>
          <t>T2</t>
        </is>
      </c>
      <c r="D245" s="24" t="inlineStr">
        <is>
          <t>Laayoune, Palomas, Tazerkount</t>
        </is>
      </c>
      <c r="E245" s="24" t="inlineStr">
        <is>
          <t>Non</t>
        </is>
      </c>
      <c r="F245" s="25" t="n">
        <v>4000000</v>
      </c>
    </row>
    <row r="246">
      <c r="A246" s="23" t="inlineStr">
        <is>
          <t>Fourniture, installation et mise en service des émetteurs FM avec combiners et systèmes d'antennes FM pour quelques sites de diffusion</t>
        </is>
      </c>
      <c r="B246" s="24" t="inlineStr">
        <is>
          <t>Fournitures</t>
        </is>
      </c>
      <c r="C246" s="24" t="inlineStr">
        <is>
          <t>T2</t>
        </is>
      </c>
      <c r="D246" s="24" t="inlineStr">
        <is>
          <t>Azougar, Bouarfa, Figuig, Palomas, Tizi Azza</t>
        </is>
      </c>
      <c r="E246" s="24" t="inlineStr">
        <is>
          <t>Non</t>
        </is>
      </c>
      <c r="F246" s="25" t="n">
        <v>4400000</v>
      </c>
    </row>
    <row r="247">
      <c r="A247" s="23" t="inlineStr">
        <is>
          <t>Fourniture, installation et mise en service de nouvelles liaisons de faisceaux hertzien pour un Trafic MPEG-TS/IP et IP.</t>
        </is>
      </c>
      <c r="B247" s="24" t="inlineStr">
        <is>
          <t>Fournitures</t>
        </is>
      </c>
      <c r="C247" s="24" t="inlineStr">
        <is>
          <t>T3</t>
        </is>
      </c>
      <c r="D247" s="24" t="inlineStr">
        <is>
          <t>Zerhoun - Azougar - Tiguelmamine - Takka Tissoufra - Izeft - Errachidia - Rich Rabat - Zaers - Témara.</t>
        </is>
      </c>
      <c r="E247" s="24" t="inlineStr">
        <is>
          <t>Non</t>
        </is>
      </c>
      <c r="F247" s="25" t="n">
        <v>8000000</v>
      </c>
    </row>
    <row r="248">
      <c r="A248" s="23" t="inlineStr">
        <is>
          <t>Fourniture de combiners/upconverters.</t>
        </is>
      </c>
      <c r="B248" s="24" t="inlineStr">
        <is>
          <t>Fournitures</t>
        </is>
      </c>
      <c r="C248" s="24" t="inlineStr">
        <is>
          <t>T1</t>
        </is>
      </c>
      <c r="D248" s="24" t="inlineStr">
        <is>
          <t>Rabat</t>
        </is>
      </c>
      <c r="E248" s="24" t="inlineStr">
        <is>
          <t>Non</t>
        </is>
      </c>
      <c r="F248" s="25" t="n">
        <v>979200</v>
      </c>
    </row>
    <row r="249">
      <c r="A249" s="23" t="inlineStr">
        <is>
          <t>Fourniture, installation et mise en service des onduleurs 2x150 KVA type modulaires et d’un système de climatisation au centre SNRT de ZAER (RABAT).</t>
        </is>
      </c>
      <c r="B249" s="24" t="inlineStr">
        <is>
          <t>Fournitures</t>
        </is>
      </c>
      <c r="C249" s="24" t="inlineStr">
        <is>
          <t>T1</t>
        </is>
      </c>
      <c r="D249" s="24" t="inlineStr">
        <is>
          <t>Rabat zaer</t>
        </is>
      </c>
      <c r="E249" s="24" t="inlineStr">
        <is>
          <t>Oui</t>
        </is>
      </c>
      <c r="F249" s="25" t="n">
        <v>3301704</v>
      </c>
    </row>
    <row r="250">
      <c r="A250" s="23" t="inlineStr">
        <is>
          <t>Acquisition de matériel technique et informatique pour l'extension de l'outil digital de gestion des ressources techniques et humaines de l'exploitation et de la maintenance.</t>
        </is>
      </c>
      <c r="B250" s="24" t="inlineStr">
        <is>
          <t>Fournitures</t>
        </is>
      </c>
      <c r="C250" s="24" t="inlineStr">
        <is>
          <t>T1</t>
        </is>
      </c>
      <c r="D250" s="24" t="inlineStr">
        <is>
          <t>Témara</t>
        </is>
      </c>
      <c r="E250" s="24" t="inlineStr">
        <is>
          <t>Non</t>
        </is>
      </c>
      <c r="F250" s="25" t="n">
        <v>540000</v>
      </c>
    </row>
    <row r="251">
      <c r="A251" s="23" t="inlineStr">
        <is>
          <t>Fourniture installation et mise en service d’un nouveau groupe électrogène de puissance 200 KW/PRP pour le centre SNRT de PALOMAS (P.EL HOCEIMA), ainsi que le transfert de quelques groupes électrogènes entre des centres SNRT y compris leurs mise à niveau.</t>
        </is>
      </c>
      <c r="B251" s="24" t="inlineStr">
        <is>
          <t>Travaux</t>
        </is>
      </c>
      <c r="C251" s="24" t="inlineStr">
        <is>
          <t>T1</t>
        </is>
      </c>
      <c r="D251" s="24" t="inlineStr">
        <is>
          <t>Al Houceima</t>
        </is>
      </c>
      <c r="E251" s="24" t="inlineStr">
        <is>
          <t>Oui</t>
        </is>
      </c>
      <c r="F251" s="25" t="n">
        <v>1200000</v>
      </c>
    </row>
    <row r="252">
      <c r="A252" s="23" t="inlineStr">
        <is>
          <t>Fourniture, installation et mise en service de nouveaux onduleurs dans quelques sites de diffusion.</t>
        </is>
      </c>
      <c r="B252" s="24" t="inlineStr">
        <is>
          <t>Fournitures</t>
        </is>
      </c>
      <c r="C252" s="24" t="inlineStr">
        <is>
          <t>T2</t>
        </is>
      </c>
      <c r="D252" s="24" t="inlineStr">
        <is>
          <t>JBEL LAHDID (ESSAOUIRA) - ZERHOUNE - OUKEIMEDEN</t>
        </is>
      </c>
      <c r="E252" s="24" t="inlineStr">
        <is>
          <t>Oui</t>
        </is>
      </c>
      <c r="F252" s="25" t="n">
        <v>4000000</v>
      </c>
    </row>
    <row r="253">
      <c r="A253" s="23" t="inlineStr">
        <is>
          <t>Fourniture, installation et mise en service des groupes électrogènes dans quelques sites de diffusion.</t>
        </is>
      </c>
      <c r="B253" s="24" t="inlineStr">
        <is>
          <t>Travaux</t>
        </is>
      </c>
      <c r="C253" s="24" t="inlineStr">
        <is>
          <t>T2</t>
        </is>
      </c>
      <c r="D253" s="24" t="inlineStr">
        <is>
          <t>Tarfaya - Akhfennir - Abtih - Sidi IfniI - Sidi Bounouara</t>
        </is>
      </c>
      <c r="E253" s="24" t="inlineStr">
        <is>
          <t>Oui</t>
        </is>
      </c>
      <c r="F253" s="25" t="n">
        <v>3000000</v>
      </c>
    </row>
    <row r="254">
      <c r="A254" s="23" t="inlineStr">
        <is>
          <t>Electricafication/augmentation MT/BT 2éme reseau de quelques sites de diffusion SNRT.</t>
        </is>
      </c>
      <c r="B254" s="24" t="inlineStr">
        <is>
          <t>Travaux</t>
        </is>
      </c>
      <c r="C254" s="24" t="inlineStr">
        <is>
          <t>T3</t>
        </is>
      </c>
      <c r="D254" s="24" t="inlineStr">
        <is>
          <t>Fogo (Guelmim) - Akka Ighan (Tata) - Arfoud (Errachidia)</t>
        </is>
      </c>
      <c r="E254" s="24" t="inlineStr">
        <is>
          <t>Oui</t>
        </is>
      </c>
      <c r="F254" s="25" t="n">
        <v>4000000</v>
      </c>
    </row>
    <row r="255">
      <c r="A255" s="23" t="inlineStr">
        <is>
          <t>Fourniture de matériel électrique et pièces de rechange pour les installations MT/BT, groupes électrogènes et onduleurs. batteries de compensation, batteries des groupes, batteries pour onduleurs et gazoil pour Groupes électrogènes, et pour les équipements de diffusion et des réseaux de transmission.</t>
        </is>
      </c>
      <c r="B255" s="24" t="inlineStr">
        <is>
          <t>Fournitures</t>
        </is>
      </c>
      <c r="C255" s="24" t="inlineStr">
        <is>
          <t>T2</t>
        </is>
      </c>
      <c r="D255" s="24" t="inlineStr">
        <is>
          <t>Magasin Témara</t>
        </is>
      </c>
      <c r="E255" s="24" t="inlineStr">
        <is>
          <t>Oui</t>
        </is>
      </c>
      <c r="F255" s="25" t="n">
        <v>900000</v>
      </c>
    </row>
    <row r="256">
      <c r="A256" s="23" t="inlineStr">
        <is>
          <t>Acquisition de climatiseurs</t>
        </is>
      </c>
      <c r="B256" s="24" t="inlineStr">
        <is>
          <t>Fournitures</t>
        </is>
      </c>
      <c r="C256" s="24" t="inlineStr">
        <is>
          <t>T4</t>
        </is>
      </c>
      <c r="D256" s="24" t="inlineStr">
        <is>
          <t>Akka Ighan + tout besoin ponctuel</t>
        </is>
      </c>
      <c r="E256" s="24" t="inlineStr">
        <is>
          <t>Oui</t>
        </is>
      </c>
      <c r="F256" s="25" t="n">
        <v>200000</v>
      </c>
    </row>
    <row r="257">
      <c r="A257" s="23" t="inlineStr">
        <is>
          <t>Construction et achèvement d'installation des pylônes auto-stable aux sites SNRT TANAKOUBE ( P.CHEFCHAOUEN) et TAOURIRT</t>
        </is>
      </c>
      <c r="B257" s="24" t="inlineStr">
        <is>
          <t>Travaux</t>
        </is>
      </c>
      <c r="C257" s="24" t="inlineStr">
        <is>
          <t>T3</t>
        </is>
      </c>
      <c r="D257" s="24" t="inlineStr">
        <is>
          <t>Tanakoube ( (P,Chefchaouen) et Taourirt)</t>
        </is>
      </c>
      <c r="E257" s="24" t="inlineStr">
        <is>
          <t>Oui</t>
        </is>
      </c>
      <c r="F257" s="25" t="n">
        <v>2000000</v>
      </c>
    </row>
    <row r="258">
      <c r="A258" s="23" t="inlineStr">
        <is>
          <t>Elaboration des études technique et le suivi des travaux pour la construction et achèvement d'installation des pylônes auto-stable aux sites SNRT TANAKOUBE ( P.CHEFCHAOUEN) et TAOURIRT</t>
        </is>
      </c>
      <c r="B258" s="24" t="inlineStr">
        <is>
          <t>Services</t>
        </is>
      </c>
      <c r="C258" s="24" t="inlineStr">
        <is>
          <t>T2</t>
        </is>
      </c>
      <c r="D258" s="24" t="inlineStr">
        <is>
          <t>Tanakoube ( P,Chefchaouen) et Taourirt</t>
        </is>
      </c>
      <c r="E258" s="24" t="inlineStr">
        <is>
          <t>Non</t>
        </is>
      </c>
      <c r="F258" s="25" t="n">
        <v>120000</v>
      </c>
    </row>
    <row r="259">
      <c r="A259" s="23" t="inlineStr">
        <is>
          <t>Etudes architecturales et le suivi des travaux pour la construction des nouveau sites de diffusion de la SNRT à RICH et MSISSI</t>
        </is>
      </c>
      <c r="B259" s="24" t="inlineStr">
        <is>
          <t>Services</t>
        </is>
      </c>
      <c r="C259" s="24" t="inlineStr">
        <is>
          <t>T2</t>
        </is>
      </c>
      <c r="D259" s="24" t="inlineStr">
        <is>
          <t>Rich et Msissi</t>
        </is>
      </c>
      <c r="E259" s="24" t="inlineStr">
        <is>
          <t>Non</t>
        </is>
      </c>
      <c r="F259" s="25" t="n">
        <v>180000</v>
      </c>
    </row>
    <row r="260">
      <c r="A260" s="23" t="inlineStr">
        <is>
          <t>Elaboration des études technique et le suivi des travaux pour la construction des nouveau sites de diffusion à RICH et MSISSI</t>
        </is>
      </c>
      <c r="B260" s="24" t="inlineStr">
        <is>
          <t>Services</t>
        </is>
      </c>
      <c r="C260" s="24" t="inlineStr">
        <is>
          <t>T2</t>
        </is>
      </c>
      <c r="D260" s="24" t="inlineStr">
        <is>
          <t>Rich et Msissi</t>
        </is>
      </c>
      <c r="E260" s="24" t="inlineStr">
        <is>
          <t>Non</t>
        </is>
      </c>
      <c r="F260" s="25" t="n">
        <v>150000</v>
      </c>
    </row>
    <row r="261">
      <c r="A261" s="23" t="inlineStr">
        <is>
          <t>Travaux de construction de nouveaux sites à RICH et MSISSI</t>
        </is>
      </c>
      <c r="B261" s="24" t="inlineStr">
        <is>
          <t>Travaux</t>
        </is>
      </c>
      <c r="C261" s="24" t="inlineStr">
        <is>
          <t>T3</t>
        </is>
      </c>
      <c r="D261" s="24" t="inlineStr">
        <is>
          <t>Rich et Msissi</t>
        </is>
      </c>
      <c r="E261" s="24" t="inlineStr">
        <is>
          <t>Oui</t>
        </is>
      </c>
      <c r="F261" s="25" t="n">
        <v>3000000</v>
      </c>
    </row>
    <row r="262">
      <c r="A262" s="23" t="inlineStr">
        <is>
          <t>Travaux d'aménagement des sites de diffusion.</t>
        </is>
      </c>
      <c r="B262" s="24" t="inlineStr">
        <is>
          <t>Travaux</t>
        </is>
      </c>
      <c r="C262" s="24" t="inlineStr">
        <is>
          <t>T2 - T3 - T4</t>
        </is>
      </c>
      <c r="D262" s="24" t="inlineStr">
        <is>
          <t>Hafa Safa, Zerhoune, Figuig, Izeft, Safi</t>
        </is>
      </c>
      <c r="E262" s="24" t="inlineStr">
        <is>
          <t>Oui</t>
        </is>
      </c>
      <c r="F262" s="25" t="n">
        <v>4800000</v>
      </c>
    </row>
    <row r="263">
      <c r="A263" s="23" t="inlineStr">
        <is>
          <t>Entretien des pylônes et tours dessites de diffusion</t>
        </is>
      </c>
      <c r="B263" s="24" t="inlineStr">
        <is>
          <t>Travaux</t>
        </is>
      </c>
      <c r="C263" s="24" t="inlineStr">
        <is>
          <t>T3</t>
        </is>
      </c>
      <c r="D263" s="24" t="inlineStr">
        <is>
          <t>Cap Spartel, Hafa Safa, Zerhoune, Safi, Ain Chock, Mirchich et Lakhiar</t>
        </is>
      </c>
      <c r="E263" s="24" t="inlineStr">
        <is>
          <t>Oui</t>
        </is>
      </c>
      <c r="F263" s="25" t="n">
        <v>2000000</v>
      </c>
    </row>
    <row r="264">
      <c r="A264" s="23" t="inlineStr">
        <is>
          <t>Fourniture, installation et mise en service de plateformes d'encodage et de multiplexage/Mise à niveau des platformes existantes.</t>
        </is>
      </c>
      <c r="B264" s="24" t="inlineStr">
        <is>
          <t>Fournitures</t>
        </is>
      </c>
      <c r="C264" s="24" t="inlineStr">
        <is>
          <t>T2</t>
        </is>
      </c>
      <c r="D264" s="24" t="inlineStr">
        <is>
          <t>Rabat - Casablanca</t>
        </is>
      </c>
      <c r="E264" s="24" t="inlineStr">
        <is>
          <t>Non</t>
        </is>
      </c>
      <c r="F264" s="25" t="n">
        <v>5000000</v>
      </c>
    </row>
    <row r="265">
      <c r="A265" s="23" t="inlineStr">
        <is>
          <t>Fourniture des équipements de transmission pour les réseaux FH, satellite, contribution, tête réseau et NMS des stations terriennes.</t>
        </is>
      </c>
      <c r="B265" s="24" t="inlineStr">
        <is>
          <t>Fournitures</t>
        </is>
      </c>
      <c r="C265" s="24" t="inlineStr">
        <is>
          <t>T2</t>
        </is>
      </c>
      <c r="D265" s="24" t="inlineStr">
        <is>
          <t>Rabat - Casablanca - Témara</t>
        </is>
      </c>
      <c r="E265" s="24" t="inlineStr">
        <is>
          <t>Non</t>
        </is>
      </c>
      <c r="F265" s="25" t="n">
        <v>8000000</v>
      </c>
    </row>
    <row r="266">
      <c r="A266" s="23" t="inlineStr">
        <is>
          <t>Formation dans les réseaux informatiques et réseaux de transmission.</t>
        </is>
      </c>
      <c r="B266" s="24" t="inlineStr">
        <is>
          <t>Services</t>
        </is>
      </c>
      <c r="C266" s="24" t="inlineStr">
        <is>
          <t>T4</t>
        </is>
      </c>
      <c r="D266" s="24" t="inlineStr">
        <is>
          <t>Rabat</t>
        </is>
      </c>
      <c r="E266" s="24" t="inlineStr">
        <is>
          <t>Non</t>
        </is>
      </c>
      <c r="F266" s="25" t="n">
        <v>500000</v>
      </c>
    </row>
    <row r="267">
      <c r="A267" s="23" t="inlineStr">
        <is>
          <t>Entretien, réparation et maintenance des équipements de transmission.</t>
        </is>
      </c>
      <c r="B267" s="24" t="inlineStr">
        <is>
          <t>Services</t>
        </is>
      </c>
      <c r="C267" s="24" t="inlineStr">
        <is>
          <t>T2</t>
        </is>
      </c>
      <c r="D267" s="24" t="inlineStr">
        <is>
          <t>Sites de Transmission</t>
        </is>
      </c>
      <c r="E267" s="24" t="inlineStr">
        <is>
          <t>Non</t>
        </is>
      </c>
      <c r="F267" s="25" t="n">
        <v>934000</v>
      </c>
    </row>
    <row r="270">
      <c r="A270" s="20" t="inlineStr">
        <is>
          <t>Direction des Ressources Humaines</t>
        </is>
      </c>
    </row>
    <row r="271">
      <c r="A271" s="21" t="inlineStr">
        <is>
          <t>&lt; Retour à la matrice</t>
        </is>
      </c>
    </row>
    <row r="272">
      <c r="A272" s="22" t="inlineStr">
        <is>
          <t>Nb marchés : 1    |    Montant total estimé : 1 208 041 MAD</t>
        </is>
      </c>
    </row>
    <row r="273">
      <c r="A273" s="10" t="inlineStr">
        <is>
          <t>Nature</t>
        </is>
      </c>
      <c r="B273" s="10" t="inlineStr">
        <is>
          <t>Nb marchés</t>
        </is>
      </c>
      <c r="C273" s="10" t="inlineStr">
        <is>
          <t>Montant estimé (MAD)</t>
        </is>
      </c>
    </row>
    <row r="274">
      <c r="A274" s="11" t="inlineStr">
        <is>
          <t>Fournitures</t>
        </is>
      </c>
      <c r="B274" s="12" t="n">
        <v>0</v>
      </c>
      <c r="C274" s="16" t="n">
        <v>0</v>
      </c>
    </row>
    <row r="275">
      <c r="A275" s="11" t="inlineStr">
        <is>
          <t>Services</t>
        </is>
      </c>
      <c r="B275" s="12" t="n">
        <v>1</v>
      </c>
      <c r="C275" s="16" t="n">
        <v>1208041.4</v>
      </c>
    </row>
    <row r="276">
      <c r="A276" s="11" t="inlineStr">
        <is>
          <t>Travaux</t>
        </is>
      </c>
      <c r="B276" s="12" t="n">
        <v>0</v>
      </c>
      <c r="C276" s="16" t="n">
        <v>0</v>
      </c>
    </row>
    <row r="278">
      <c r="A278" s="14" t="inlineStr">
        <is>
          <t>Objet</t>
        </is>
      </c>
      <c r="B278" s="14" t="inlineStr">
        <is>
          <t>Nature</t>
        </is>
      </c>
      <c r="C278" s="14" t="inlineStr">
        <is>
          <t>Période</t>
        </is>
      </c>
      <c r="D278" s="14" t="inlineStr">
        <is>
          <t>Lieu d'exécution</t>
        </is>
      </c>
      <c r="E278" s="14" t="inlineStr">
        <is>
          <t>PME</t>
        </is>
      </c>
      <c r="F278" s="14" t="inlineStr">
        <is>
          <t>Estimation (MAD)</t>
        </is>
      </c>
    </row>
    <row r="279">
      <c r="A279" s="23" t="inlineStr">
        <is>
          <t>Programmes de formation au profit du personnel de la SNRT</t>
        </is>
      </c>
      <c r="B279" s="24" t="inlineStr">
        <is>
          <t>Services</t>
        </is>
      </c>
      <c r="C279" s="24" t="inlineStr">
        <is>
          <t>T2</t>
        </is>
      </c>
      <c r="D279" s="24" t="inlineStr">
        <is>
          <t>Rabat</t>
        </is>
      </c>
      <c r="E279" s="24" t="inlineStr">
        <is>
          <t>Non</t>
        </is>
      </c>
      <c r="F279" s="25" t="n">
        <v>1208041.4</v>
      </c>
    </row>
    <row r="282">
      <c r="A282" s="20" t="inlineStr">
        <is>
          <t>Direction du Patrimoine et Moyens Généraux</t>
        </is>
      </c>
    </row>
    <row r="283">
      <c r="A283" s="21" t="inlineStr">
        <is>
          <t>&lt; Retour à la matrice</t>
        </is>
      </c>
    </row>
    <row r="284">
      <c r="A284" s="22" t="inlineStr">
        <is>
          <t>Nb marchés : 37    |    Montant total estimé : 61 716 710 MAD</t>
        </is>
      </c>
    </row>
    <row r="285">
      <c r="A285" s="10" t="inlineStr">
        <is>
          <t>Nature</t>
        </is>
      </c>
      <c r="B285" s="10" t="inlineStr">
        <is>
          <t>Nb marchés</t>
        </is>
      </c>
      <c r="C285" s="10" t="inlineStr">
        <is>
          <t>Montant estimé (MAD)</t>
        </is>
      </c>
    </row>
    <row r="286">
      <c r="A286" s="11" t="inlineStr">
        <is>
          <t>Fournitures</t>
        </is>
      </c>
      <c r="B286" s="12" t="n">
        <v>9</v>
      </c>
      <c r="C286" s="16" t="n">
        <v>16967072</v>
      </c>
    </row>
    <row r="287">
      <c r="A287" s="11" t="inlineStr">
        <is>
          <t>Services</t>
        </is>
      </c>
      <c r="B287" s="12" t="n">
        <v>9</v>
      </c>
      <c r="C287" s="16" t="n">
        <v>14324049.6</v>
      </c>
    </row>
    <row r="288">
      <c r="A288" s="11" t="inlineStr">
        <is>
          <t>Travaux</t>
        </is>
      </c>
      <c r="B288" s="12" t="n">
        <v>19</v>
      </c>
      <c r="C288" s="16" t="n">
        <v>30425588</v>
      </c>
    </row>
    <row r="290">
      <c r="A290" s="14" t="inlineStr">
        <is>
          <t>Objet</t>
        </is>
      </c>
      <c r="B290" s="14" t="inlineStr">
        <is>
          <t>Nature</t>
        </is>
      </c>
      <c r="C290" s="14" t="inlineStr">
        <is>
          <t>Période</t>
        </is>
      </c>
      <c r="D290" s="14" t="inlineStr">
        <is>
          <t>Lieu d'exécution</t>
        </is>
      </c>
      <c r="E290" s="14" t="inlineStr">
        <is>
          <t>PME</t>
        </is>
      </c>
      <c r="F290" s="14" t="inlineStr">
        <is>
          <t>Estimation (MAD)</t>
        </is>
      </c>
    </row>
    <row r="291">
      <c r="A291" s="23" t="inlineStr">
        <is>
          <t>Acquisition et installation des caméras dans les locaux de la SNRT y compris serveurs et baie de stockage</t>
        </is>
      </c>
      <c r="B291" s="24" t="inlineStr">
        <is>
          <t>Fournitures</t>
        </is>
      </c>
      <c r="C291" s="24" t="inlineStr">
        <is>
          <t>T1-T2</t>
        </is>
      </c>
      <c r="D291" s="24" t="inlineStr">
        <is>
          <t>Annexes SNRT</t>
        </is>
      </c>
      <c r="E291" s="24" t="inlineStr">
        <is>
          <t>Oui</t>
        </is>
      </c>
      <c r="F291" s="25" t="n">
        <v>6838480</v>
      </c>
    </row>
    <row r="292">
      <c r="A292" s="23" t="inlineStr">
        <is>
          <t>Travaux d'aménagement des locaux d'archive TV de la SNRT à Témara.</t>
        </is>
      </c>
      <c r="B292" s="24" t="inlineStr">
        <is>
          <t>Travaux</t>
        </is>
      </c>
      <c r="C292" s="24" t="inlineStr">
        <is>
          <t>T2</t>
        </is>
      </c>
      <c r="D292" s="24" t="inlineStr">
        <is>
          <t>Rabat</t>
        </is>
      </c>
      <c r="E292" s="24" t="inlineStr">
        <is>
          <t>Oui</t>
        </is>
      </c>
      <c r="F292" s="25" t="n">
        <v>600000</v>
      </c>
    </row>
    <row r="293">
      <c r="A293" s="23" t="inlineStr">
        <is>
          <t>Travaux d'aménagement des locaux de la SNRT à Rabat.</t>
        </is>
      </c>
      <c r="B293" s="24" t="inlineStr">
        <is>
          <t>Travaux</t>
        </is>
      </c>
      <c r="C293" s="24" t="inlineStr">
        <is>
          <t>T3</t>
        </is>
      </c>
      <c r="D293" s="24" t="inlineStr">
        <is>
          <t>Rabat</t>
        </is>
      </c>
      <c r="E293" s="24" t="inlineStr">
        <is>
          <t>Oui</t>
        </is>
      </c>
      <c r="F293" s="25" t="n">
        <v>3000000</v>
      </c>
    </row>
    <row r="294">
      <c r="A294" s="23" t="inlineStr">
        <is>
          <t>Travaux d'aménagement de la station régionale Radio de Marrakech</t>
        </is>
      </c>
      <c r="B294" s="24" t="inlineStr">
        <is>
          <t>Travaux</t>
        </is>
      </c>
      <c r="C294" s="24" t="inlineStr">
        <is>
          <t>T2</t>
        </is>
      </c>
      <c r="D294" s="24" t="inlineStr">
        <is>
          <t>Marrakech</t>
        </is>
      </c>
      <c r="E294" s="24" t="inlineStr">
        <is>
          <t>Oui</t>
        </is>
      </c>
      <c r="F294" s="25" t="n">
        <v>1400000</v>
      </c>
    </row>
    <row r="295">
      <c r="A295" s="23" t="inlineStr">
        <is>
          <t>Travaux d'aménagement de la station régionale Radio d'AL Houceima</t>
        </is>
      </c>
      <c r="B295" s="24" t="inlineStr">
        <is>
          <t>Travaux</t>
        </is>
      </c>
      <c r="C295" s="24" t="inlineStr">
        <is>
          <t>T3</t>
        </is>
      </c>
      <c r="D295" s="24" t="inlineStr">
        <is>
          <t>Al Houceima</t>
        </is>
      </c>
      <c r="E295" s="24" t="inlineStr">
        <is>
          <t>Oui</t>
        </is>
      </c>
      <c r="F295" s="25" t="n">
        <v>800000</v>
      </c>
    </row>
    <row r="296">
      <c r="A296" s="23" t="inlineStr">
        <is>
          <t>Travaux d'aménagement de la station régionale Radio de Tetouane,</t>
        </is>
      </c>
      <c r="B296" s="24" t="inlineStr">
        <is>
          <t>Travaux</t>
        </is>
      </c>
      <c r="C296" s="24" t="inlineStr">
        <is>
          <t>T2</t>
        </is>
      </c>
      <c r="D296" s="24" t="inlineStr">
        <is>
          <t>Al Houceima</t>
        </is>
      </c>
      <c r="E296" s="24" t="inlineStr">
        <is>
          <t>Oui</t>
        </is>
      </c>
      <c r="F296" s="25" t="n">
        <v>1000000</v>
      </c>
    </row>
    <row r="297">
      <c r="A297" s="23" t="inlineStr">
        <is>
          <t>Travaux d'installation électrique au bâtiment administratif de la SNRT à Rabat</t>
        </is>
      </c>
      <c r="B297" s="24" t="inlineStr">
        <is>
          <t>Travaux</t>
        </is>
      </c>
      <c r="C297" s="24" t="inlineStr">
        <is>
          <t>T2</t>
        </is>
      </c>
      <c r="D297" s="24" t="inlineStr">
        <is>
          <t>Rabat</t>
        </is>
      </c>
      <c r="E297" s="24" t="inlineStr">
        <is>
          <t>Non</t>
        </is>
      </c>
      <c r="F297" s="25" t="n">
        <v>450000</v>
      </c>
    </row>
    <row r="298">
      <c r="A298" s="23" t="inlineStr">
        <is>
          <t>Travaux de plomberie au niveau des locaux de la SNRT Rabat</t>
        </is>
      </c>
      <c r="B298" s="24" t="inlineStr">
        <is>
          <t>Travaux</t>
        </is>
      </c>
      <c r="C298" s="24" t="inlineStr">
        <is>
          <t>T3</t>
        </is>
      </c>
      <c r="D298" s="24" t="inlineStr">
        <is>
          <t>Rabat</t>
        </is>
      </c>
      <c r="E298" s="24" t="inlineStr">
        <is>
          <t>Oui</t>
        </is>
      </c>
      <c r="F298" s="25" t="n">
        <v>600000</v>
      </c>
    </row>
    <row r="299">
      <c r="A299" s="23" t="inlineStr">
        <is>
          <t>Peinture extérieure pour les façades des bâtiments de la SNRT à Rabat.</t>
        </is>
      </c>
      <c r="B299" s="24" t="inlineStr">
        <is>
          <t>Travaux</t>
        </is>
      </c>
      <c r="C299" s="24" t="inlineStr">
        <is>
          <t>T2</t>
        </is>
      </c>
      <c r="D299" s="24" t="inlineStr">
        <is>
          <t>Rabat</t>
        </is>
      </c>
      <c r="E299" s="24" t="inlineStr">
        <is>
          <t>Oui</t>
        </is>
      </c>
      <c r="F299" s="25" t="n">
        <v>650000</v>
      </c>
    </row>
    <row r="300">
      <c r="A300" s="23" t="inlineStr">
        <is>
          <t>Aménagement des locaux Techniques (salles machines) des stations régionales radio de la SNRT.</t>
        </is>
      </c>
      <c r="B300" s="24" t="inlineStr">
        <is>
          <t>Travaux</t>
        </is>
      </c>
      <c r="C300" s="24" t="inlineStr">
        <is>
          <t>T2</t>
        </is>
      </c>
      <c r="D300" s="24" t="inlineStr">
        <is>
          <t>Stations régionales Radio</t>
        </is>
      </c>
      <c r="E300" s="24" t="inlineStr">
        <is>
          <t>Non</t>
        </is>
      </c>
      <c r="F300" s="25" t="n">
        <v>1000000</v>
      </c>
    </row>
    <row r="301">
      <c r="A301" s="23" t="inlineStr">
        <is>
          <t>Acquisition et installation de climatiseurs au niveau des locaux techniques des stations regionales radio.</t>
        </is>
      </c>
      <c r="B301" s="24" t="inlineStr">
        <is>
          <t>Travaux</t>
        </is>
      </c>
      <c r="C301" s="24" t="inlineStr">
        <is>
          <t>T2</t>
        </is>
      </c>
      <c r="D301" s="24" t="inlineStr">
        <is>
          <t>Stations régionales Radio</t>
        </is>
      </c>
      <c r="E301" s="24" t="inlineStr">
        <is>
          <t>Non</t>
        </is>
      </c>
      <c r="F301" s="25" t="n">
        <v>2420000</v>
      </c>
    </row>
    <row r="302">
      <c r="A302" s="23" t="inlineStr">
        <is>
          <t>Etanchéité des terrasses des locaux de la SNRT à Rabat et Casablanca.</t>
        </is>
      </c>
      <c r="B302" s="24" t="inlineStr">
        <is>
          <t>Travaux</t>
        </is>
      </c>
      <c r="C302" s="24" t="inlineStr">
        <is>
          <t>T2</t>
        </is>
      </c>
      <c r="D302" s="24" t="inlineStr">
        <is>
          <t>Rabat et Casablanca</t>
        </is>
      </c>
      <c r="E302" s="24" t="inlineStr">
        <is>
          <t>Oui</t>
        </is>
      </c>
      <c r="F302" s="25" t="n">
        <v>400000</v>
      </c>
    </row>
    <row r="303">
      <c r="A303" s="23" t="inlineStr">
        <is>
          <t>Aménagement du studio virtuel de la station TV Laayoune.</t>
        </is>
      </c>
      <c r="B303" s="24" t="inlineStr">
        <is>
          <t>Travaux</t>
        </is>
      </c>
      <c r="C303" s="24" t="inlineStr">
        <is>
          <t>T3</t>
        </is>
      </c>
      <c r="D303" s="24" t="inlineStr">
        <is>
          <t>Laayoune</t>
        </is>
      </c>
      <c r="E303" s="24" t="inlineStr">
        <is>
          <t>Non</t>
        </is>
      </c>
      <c r="F303" s="25" t="n">
        <v>1000000</v>
      </c>
    </row>
    <row r="304">
      <c r="A304" s="23" t="inlineStr">
        <is>
          <t>Prestations de désherbage.</t>
        </is>
      </c>
      <c r="B304" s="24" t="inlineStr">
        <is>
          <t>Services</t>
        </is>
      </c>
      <c r="C304" s="24" t="inlineStr">
        <is>
          <t>T1</t>
        </is>
      </c>
      <c r="D304" s="24" t="inlineStr">
        <is>
          <t>Rabat Temara casablanca</t>
        </is>
      </c>
      <c r="E304" s="24" t="inlineStr">
        <is>
          <t>Oui</t>
        </is>
      </c>
      <c r="F304" s="25" t="n">
        <v>400000</v>
      </c>
    </row>
    <row r="305">
      <c r="A305" s="23" t="inlineStr">
        <is>
          <t>Maintenance des ascenseurs.</t>
        </is>
      </c>
      <c r="B305" s="24" t="inlineStr">
        <is>
          <t>Services</t>
        </is>
      </c>
      <c r="C305" s="24" t="inlineStr">
        <is>
          <t>T4</t>
        </is>
      </c>
      <c r="D305" s="24" t="inlineStr">
        <is>
          <t>Rabat- Casablanca</t>
        </is>
      </c>
      <c r="E305" s="24" t="inlineStr">
        <is>
          <t>Non</t>
        </is>
      </c>
      <c r="F305" s="25" t="n">
        <v>200000</v>
      </c>
    </row>
    <row r="306">
      <c r="A306" s="23" t="inlineStr">
        <is>
          <t>Maintenance des extincteurs.</t>
        </is>
      </c>
      <c r="B306" s="24" t="inlineStr">
        <is>
          <t>Services</t>
        </is>
      </c>
      <c r="C306" s="24" t="inlineStr">
        <is>
          <t>T4</t>
        </is>
      </c>
      <c r="D306" s="24" t="inlineStr">
        <is>
          <t>Anexes SNRT</t>
        </is>
      </c>
      <c r="E306" s="24" t="inlineStr">
        <is>
          <t>Oui</t>
        </is>
      </c>
      <c r="F306" s="25" t="n">
        <v>150000</v>
      </c>
    </row>
    <row r="307">
      <c r="A307" s="23" t="inlineStr">
        <is>
          <t>Maintenance des onduleurs.</t>
        </is>
      </c>
      <c r="B307" s="24" t="inlineStr">
        <is>
          <t>Services</t>
        </is>
      </c>
      <c r="C307" s="24" t="inlineStr">
        <is>
          <t>T2</t>
        </is>
      </c>
      <c r="D307" s="24" t="inlineStr">
        <is>
          <t>Rabat et Casablanca</t>
        </is>
      </c>
      <c r="E307" s="24" t="inlineStr">
        <is>
          <t>Non</t>
        </is>
      </c>
      <c r="F307" s="25" t="n">
        <v>600000</v>
      </c>
    </row>
    <row r="308">
      <c r="A308" s="23" t="inlineStr">
        <is>
          <t>Maintenance des installations de détection et d'extinction automatique d'incendie .</t>
        </is>
      </c>
      <c r="B308" s="24" t="inlineStr">
        <is>
          <t>Services</t>
        </is>
      </c>
      <c r="C308" s="24" t="inlineStr">
        <is>
          <t>T2</t>
        </is>
      </c>
      <c r="D308" s="24" t="inlineStr">
        <is>
          <t>Rabat et Casablanca</t>
        </is>
      </c>
      <c r="E308" s="24" t="inlineStr">
        <is>
          <t>Oui</t>
        </is>
      </c>
      <c r="F308" s="25" t="n">
        <v>650000</v>
      </c>
    </row>
    <row r="309">
      <c r="A309" s="23" t="inlineStr">
        <is>
          <t>Maintenance des installations de climatisation: Rabat Casablanca</t>
        </is>
      </c>
      <c r="B309" s="24" t="inlineStr">
        <is>
          <t>Services</t>
        </is>
      </c>
      <c r="C309" s="24" t="inlineStr">
        <is>
          <t>T2</t>
        </is>
      </c>
      <c r="D309" s="24" t="inlineStr">
        <is>
          <t>Anexes SNRT</t>
        </is>
      </c>
      <c r="E309" s="24" t="inlineStr">
        <is>
          <t>Non</t>
        </is>
      </c>
      <c r="F309" s="25" t="n">
        <v>590000</v>
      </c>
    </row>
    <row r="310">
      <c r="A310" s="23" t="inlineStr">
        <is>
          <t>Mise à jour de la solution de pointage et de contrôle d'accès</t>
        </is>
      </c>
      <c r="B310" s="24" t="inlineStr">
        <is>
          <t>Services</t>
        </is>
      </c>
      <c r="C310" s="24" t="inlineStr">
        <is>
          <t>T3</t>
        </is>
      </c>
      <c r="D310" s="24" t="inlineStr">
        <is>
          <t>Rabat, Casablanca et Laayoune</t>
        </is>
      </c>
      <c r="E310" s="24" t="inlineStr">
        <is>
          <t>Non</t>
        </is>
      </c>
      <c r="F310" s="25" t="n">
        <v>500000</v>
      </c>
    </row>
    <row r="311">
      <c r="A311" s="23" t="inlineStr">
        <is>
          <t>Fourniture Matériel Electrique Siége et Annexes</t>
        </is>
      </c>
      <c r="B311" s="24" t="inlineStr">
        <is>
          <t>Fournitures</t>
        </is>
      </c>
      <c r="C311" s="24" t="inlineStr">
        <is>
          <t>T3</t>
        </is>
      </c>
      <c r="D311" s="24" t="inlineStr">
        <is>
          <t>Anexes SNRT</t>
        </is>
      </c>
      <c r="E311" s="24" t="inlineStr">
        <is>
          <t>Oui</t>
        </is>
      </c>
      <c r="F311" s="25" t="n">
        <v>200000</v>
      </c>
    </row>
    <row r="312">
      <c r="A312" s="23" t="inlineStr">
        <is>
          <t>Installation extracteurs et détection incendie locaux Archives Finances et Achats</t>
        </is>
      </c>
      <c r="B312" s="24" t="inlineStr">
        <is>
          <t>Fournitures</t>
        </is>
      </c>
      <c r="C312" s="24" t="inlineStr">
        <is>
          <t>T2</t>
        </is>
      </c>
      <c r="D312" s="24" t="inlineStr">
        <is>
          <t>Rabat</t>
        </is>
      </c>
      <c r="E312" s="24" t="inlineStr">
        <is>
          <t>Oui</t>
        </is>
      </c>
      <c r="F312" s="25" t="n">
        <v>800000</v>
      </c>
    </row>
    <row r="313">
      <c r="A313" s="23" t="inlineStr">
        <is>
          <t>Acquisition de climatiseurs</t>
        </is>
      </c>
      <c r="B313" s="24" t="inlineStr">
        <is>
          <t>Fournitures</t>
        </is>
      </c>
      <c r="C313" s="24" t="inlineStr">
        <is>
          <t>T3</t>
        </is>
      </c>
      <c r="D313" s="24" t="inlineStr">
        <is>
          <t>Anexes SNRT</t>
        </is>
      </c>
      <c r="E313" s="24" t="inlineStr">
        <is>
          <t>Oui</t>
        </is>
      </c>
      <c r="F313" s="25" t="n">
        <v>1500000</v>
      </c>
    </row>
    <row r="314">
      <c r="A314" s="23" t="inlineStr">
        <is>
          <t>Travaux d'aménagement de la régie et du Studio N°5 de la Radio</t>
        </is>
      </c>
      <c r="B314" s="24" t="inlineStr">
        <is>
          <t>Travaux</t>
        </is>
      </c>
      <c r="C314" s="24" t="inlineStr">
        <is>
          <t>T3</t>
        </is>
      </c>
      <c r="D314" s="24" t="inlineStr">
        <is>
          <t>Rabat</t>
        </is>
      </c>
      <c r="E314" s="24" t="inlineStr">
        <is>
          <t>Non</t>
        </is>
      </c>
      <c r="F314" s="25" t="n">
        <v>800000</v>
      </c>
    </row>
    <row r="315">
      <c r="A315" s="23" t="inlineStr">
        <is>
          <t>Acquisition et travaux d'installation de deux ascenseurs aux bâtiments de la Radio SNRT-Rabat et de Radio-TV coranique Assadissa</t>
        </is>
      </c>
      <c r="B315" s="24" t="inlineStr">
        <is>
          <t>Travaux</t>
        </is>
      </c>
      <c r="C315" s="24" t="inlineStr">
        <is>
          <t>T2</t>
        </is>
      </c>
      <c r="D315" s="24" t="inlineStr">
        <is>
          <t>Rabat</t>
        </is>
      </c>
      <c r="E315" s="24" t="inlineStr">
        <is>
          <t>Oui</t>
        </is>
      </c>
      <c r="F315" s="25" t="n">
        <v>1076000</v>
      </c>
    </row>
    <row r="316">
      <c r="A316" s="23" t="inlineStr">
        <is>
          <t>la location de longue durée à la SNRT de véhicules neufs sans option d'achat ainsi que les prestations qui lui sont accessoires et complémentaire</t>
        </is>
      </c>
      <c r="B316" s="24" t="inlineStr">
        <is>
          <t>Services</t>
        </is>
      </c>
      <c r="C316" s="24" t="inlineStr">
        <is>
          <t>T1</t>
        </is>
      </c>
      <c r="D316" s="24" t="inlineStr">
        <is>
          <t>Rabat</t>
        </is>
      </c>
      <c r="E316" s="24" t="inlineStr">
        <is>
          <t>Non</t>
        </is>
      </c>
      <c r="F316" s="25" t="n">
        <v>8234049.6</v>
      </c>
    </row>
    <row r="317">
      <c r="A317" s="23" t="inlineStr">
        <is>
          <t>Acquisition de mobilier de bureau</t>
        </is>
      </c>
      <c r="B317" s="24" t="inlineStr">
        <is>
          <t>Fournitures</t>
        </is>
      </c>
      <c r="C317" s="24" t="inlineStr">
        <is>
          <t>T2</t>
        </is>
      </c>
      <c r="D317" s="24" t="inlineStr">
        <is>
          <t>Rabat</t>
        </is>
      </c>
      <c r="E317" s="24" t="inlineStr">
        <is>
          <t>Non</t>
        </is>
      </c>
      <c r="F317" s="25" t="n">
        <v>2000000</v>
      </c>
    </row>
    <row r="318">
      <c r="A318" s="23" t="inlineStr">
        <is>
          <t>Acquisition de Matériel de Bureau (photocopieurs, Fax, Destructeur Tonners et drums )</t>
        </is>
      </c>
      <c r="B318" s="24" t="inlineStr">
        <is>
          <t>Fournitures</t>
        </is>
      </c>
      <c r="C318" s="24" t="inlineStr">
        <is>
          <t>T1-T4</t>
        </is>
      </c>
      <c r="D318" s="24" t="inlineStr">
        <is>
          <t>Rabat</t>
        </is>
      </c>
      <c r="E318" s="24" t="inlineStr">
        <is>
          <t>Oui</t>
        </is>
      </c>
      <c r="F318" s="25" t="n">
        <v>2028592</v>
      </c>
    </row>
    <row r="319">
      <c r="A319" s="23" t="inlineStr">
        <is>
          <t>Achat Fournitures de Bureau</t>
        </is>
      </c>
      <c r="B319" s="24" t="inlineStr">
        <is>
          <t>Fournitures</t>
        </is>
      </c>
      <c r="C319" s="24" t="inlineStr">
        <is>
          <t>T1</t>
        </is>
      </c>
      <c r="D319" s="24" t="inlineStr">
        <is>
          <t>Rabat</t>
        </is>
      </c>
      <c r="E319" s="24" t="inlineStr">
        <is>
          <t>Oui</t>
        </is>
      </c>
      <c r="F319" s="25" t="n">
        <v>300000</v>
      </c>
    </row>
    <row r="320">
      <c r="A320" s="23" t="inlineStr">
        <is>
          <t>Achat Papier Fort A4</t>
        </is>
      </c>
      <c r="B320" s="24" t="inlineStr">
        <is>
          <t>Fournitures</t>
        </is>
      </c>
      <c r="C320" s="24" t="inlineStr">
        <is>
          <t>T1</t>
        </is>
      </c>
      <c r="D320" s="24" t="inlineStr">
        <is>
          <t>Rabat</t>
        </is>
      </c>
      <c r="E320" s="24" t="inlineStr">
        <is>
          <t>Oui</t>
        </is>
      </c>
      <c r="F320" s="25" t="n">
        <v>3000000</v>
      </c>
    </row>
    <row r="321">
      <c r="A321" s="23" t="inlineStr">
        <is>
          <t>Inventaire physique et fiabilisation du fichier comptable des immobilisations de la SNRT,</t>
        </is>
      </c>
      <c r="B321" s="24" t="inlineStr">
        <is>
          <t>Services</t>
        </is>
      </c>
      <c r="C321" s="24" t="inlineStr">
        <is>
          <t>T2</t>
        </is>
      </c>
      <c r="D321" s="24" t="inlineStr">
        <is>
          <t>Sites de la SNRT</t>
        </is>
      </c>
      <c r="E321" s="24" t="inlineStr">
        <is>
          <t>Non</t>
        </is>
      </c>
      <c r="F321" s="25" t="n">
        <v>3000000</v>
      </c>
    </row>
    <row r="322">
      <c r="A322" s="23" t="inlineStr">
        <is>
          <t>Extension de l'abri des cars régies à Témara</t>
        </is>
      </c>
      <c r="B322" s="24" t="inlineStr">
        <is>
          <t>Travaux</t>
        </is>
      </c>
      <c r="C322" s="24" t="inlineStr">
        <is>
          <t>T2</t>
        </is>
      </c>
      <c r="D322" s="24" t="inlineStr">
        <is>
          <t>Témara</t>
        </is>
      </c>
      <c r="E322" s="24" t="inlineStr">
        <is>
          <t>Oui</t>
        </is>
      </c>
      <c r="F322" s="25" t="n">
        <v>7792000</v>
      </c>
    </row>
    <row r="323">
      <c r="A323" s="23" t="inlineStr">
        <is>
          <t>Travaux de démolition et de reconstruction d'un mur de cloture de la station Régionale Radio à Oujda</t>
        </is>
      </c>
      <c r="B323" s="24" t="inlineStr">
        <is>
          <t>Travaux</t>
        </is>
      </c>
      <c r="C323" s="24" t="inlineStr">
        <is>
          <t>T1</t>
        </is>
      </c>
      <c r="D323" s="24" t="inlineStr">
        <is>
          <t>Oujda</t>
        </is>
      </c>
      <c r="E323" s="24" t="inlineStr">
        <is>
          <t>Oui</t>
        </is>
      </c>
      <c r="F323" s="25" t="n">
        <v>1050000</v>
      </c>
    </row>
    <row r="324">
      <c r="A324" s="23" t="inlineStr">
        <is>
          <t>Travaux d'aménagement et d'agencement de la régie publicitaire et des solutions digitales</t>
        </is>
      </c>
      <c r="B324" s="24" t="inlineStr">
        <is>
          <t>Travaux</t>
        </is>
      </c>
      <c r="C324" s="24" t="inlineStr">
        <is>
          <t>T2</t>
        </is>
      </c>
      <c r="D324" s="24" t="inlineStr">
        <is>
          <t>Casablanca</t>
        </is>
      </c>
      <c r="E324" s="24" t="inlineStr">
        <is>
          <t>Oui</t>
        </is>
      </c>
      <c r="F324" s="25" t="n">
        <v>2551240.8</v>
      </c>
    </row>
    <row r="325">
      <c r="A325" s="23" t="inlineStr">
        <is>
          <t>Travaux d'aménagement des locaux techniques à Rabat Aménagement et Agencement</t>
        </is>
      </c>
      <c r="B325" s="24" t="inlineStr">
        <is>
          <t>Travaux</t>
        </is>
      </c>
      <c r="C325" s="24" t="inlineStr">
        <is>
          <t>T2</t>
        </is>
      </c>
      <c r="D325" s="24" t="inlineStr">
        <is>
          <t>Rabat</t>
        </is>
      </c>
      <c r="E325" s="24" t="inlineStr">
        <is>
          <t>Oui</t>
        </is>
      </c>
      <c r="F325" s="25" t="n">
        <v>3248928</v>
      </c>
    </row>
    <row r="326">
      <c r="A326" s="23" t="inlineStr">
        <is>
          <t>Travaux d'aménagement des locaux techniques à Rabat Electricité-Lustreries-Climatisation</t>
        </is>
      </c>
      <c r="B326" s="24" t="inlineStr">
        <is>
          <t>Travaux</t>
        </is>
      </c>
      <c r="C326" s="24" t="inlineStr">
        <is>
          <t>T2</t>
        </is>
      </c>
      <c r="D326" s="24" t="inlineStr">
        <is>
          <t>Rabat</t>
        </is>
      </c>
      <c r="E326" s="24" t="inlineStr">
        <is>
          <t>Oui</t>
        </is>
      </c>
      <c r="F326" s="25" t="n">
        <v>587419.2</v>
      </c>
    </row>
    <row r="327">
      <c r="A327" s="23" t="inlineStr">
        <is>
          <t>Fourniture et installation des Panneaux de signatlisation Bâtiments SNRT</t>
        </is>
      </c>
      <c r="B327" s="24" t="inlineStr">
        <is>
          <t>Fournitures</t>
        </is>
      </c>
      <c r="C327" s="24" t="inlineStr">
        <is>
          <t>T3</t>
        </is>
      </c>
      <c r="D327" s="24" t="inlineStr">
        <is>
          <t>Sites SNRT</t>
        </is>
      </c>
      <c r="E327" s="24" t="inlineStr">
        <is>
          <t>Non</t>
        </is>
      </c>
      <c r="F327" s="25" t="n">
        <v>300000</v>
      </c>
    </row>
    <row r="330">
      <c r="A330" s="20" t="inlineStr">
        <is>
          <t>Responsable de la Sécurité des Systèmes d’Information (RSSI)</t>
        </is>
      </c>
    </row>
    <row r="331">
      <c r="A331" s="21" t="inlineStr">
        <is>
          <t>&lt; Retour à la matrice</t>
        </is>
      </c>
    </row>
    <row r="332">
      <c r="A332" s="22" t="inlineStr">
        <is>
          <t>Nb marchés : 6    |    Montant total estimé : 4 850 000 MAD</t>
        </is>
      </c>
    </row>
    <row r="333">
      <c r="A333" s="10" t="inlineStr">
        <is>
          <t>Nature</t>
        </is>
      </c>
      <c r="B333" s="10" t="inlineStr">
        <is>
          <t>Nb marchés</t>
        </is>
      </c>
      <c r="C333" s="10" t="inlineStr">
        <is>
          <t>Montant estimé (MAD)</t>
        </is>
      </c>
    </row>
    <row r="334">
      <c r="A334" s="11" t="inlineStr">
        <is>
          <t>Fournitures</t>
        </is>
      </c>
      <c r="B334" s="12" t="n">
        <v>0</v>
      </c>
      <c r="C334" s="16" t="n">
        <v>0</v>
      </c>
    </row>
    <row r="335">
      <c r="A335" s="11" t="inlineStr">
        <is>
          <t>Services</t>
        </is>
      </c>
      <c r="B335" s="12" t="n">
        <v>6</v>
      </c>
      <c r="C335" s="16" t="n">
        <v>4850000</v>
      </c>
    </row>
    <row r="336">
      <c r="A336" s="11" t="inlineStr">
        <is>
          <t>Travaux</t>
        </is>
      </c>
      <c r="B336" s="12" t="n">
        <v>0</v>
      </c>
      <c r="C336" s="16" t="n">
        <v>0</v>
      </c>
    </row>
    <row r="338">
      <c r="A338" s="14" t="inlineStr">
        <is>
          <t>Objet</t>
        </is>
      </c>
      <c r="B338" s="14" t="inlineStr">
        <is>
          <t>Nature</t>
        </is>
      </c>
      <c r="C338" s="14" t="inlineStr">
        <is>
          <t>Période</t>
        </is>
      </c>
      <c r="D338" s="14" t="inlineStr">
        <is>
          <t>Lieu d'exécution</t>
        </is>
      </c>
      <c r="E338" s="14" t="inlineStr">
        <is>
          <t>PME</t>
        </is>
      </c>
      <c r="F338" s="14" t="inlineStr">
        <is>
          <t>Estimation (MAD)</t>
        </is>
      </c>
    </row>
    <row r="339">
      <c r="A339" s="23" t="inlineStr">
        <is>
          <t>Acquisition, installation, mise en service et exploitation d'un système de gestion des informations et des événements de Cybersécurité, dans le cadre de la mise en place du centre opérationnel de cybersécurité interne (CyberSOC &amp; CyberCERT) de la SNRT.</t>
        </is>
      </c>
      <c r="B339" s="24" t="inlineStr">
        <is>
          <t>Services</t>
        </is>
      </c>
      <c r="C339" s="24" t="inlineStr">
        <is>
          <t>T2</t>
        </is>
      </c>
      <c r="D339" s="24" t="inlineStr">
        <is>
          <t>Rabat</t>
        </is>
      </c>
      <c r="E339" s="24" t="inlineStr">
        <is>
          <t>Non</t>
        </is>
      </c>
      <c r="F339" s="25" t="n">
        <v>1800000</v>
      </c>
    </row>
    <row r="340">
      <c r="A340" s="23" t="inlineStr">
        <is>
          <t>Souscription au service de "Cyber Threat Intelligence (CTI)" pour les besoins des équipes CyberSOC et CyberCERT, dans le cadre de la mise en place du centre opérationnel de cybersécurité interne (CyberSOC &amp; CyberCERT) de la SNRT.</t>
        </is>
      </c>
      <c r="B340" s="24" t="inlineStr">
        <is>
          <t>Services</t>
        </is>
      </c>
      <c r="C340" s="24" t="inlineStr">
        <is>
          <t>T2</t>
        </is>
      </c>
      <c r="D340" s="24" t="inlineStr">
        <is>
          <t>Rabat</t>
        </is>
      </c>
      <c r="E340" s="24" t="inlineStr">
        <is>
          <t>Non</t>
        </is>
      </c>
      <c r="F340" s="25" t="n">
        <v>750000</v>
      </c>
    </row>
    <row r="341">
      <c r="A341" s="23" t="inlineStr">
        <is>
          <t>Acquisition, installation et mise en service d’une solution de cybersécurité intégrant des capacités d’intelligence artificielle, permettant la détection en temps réel de comportements suspects et de menaces sophistiquées et complexes, pour les besoins des équipes CyberSOC et CyberCERT, dans le cadre de la mise en place du centre opérationnel de cybersécurité interne (CyberSOC &amp; CyberCERT) de la SNRT.</t>
        </is>
      </c>
      <c r="B341" s="24" t="inlineStr">
        <is>
          <t>Services</t>
        </is>
      </c>
      <c r="C341" s="24" t="inlineStr">
        <is>
          <t>T2</t>
        </is>
      </c>
      <c r="D341" s="24" t="inlineStr">
        <is>
          <t>Rabat</t>
        </is>
      </c>
      <c r="E341" s="24" t="inlineStr">
        <is>
          <t>Non</t>
        </is>
      </c>
      <c r="F341" s="25" t="n">
        <v>850000</v>
      </c>
    </row>
    <row r="342">
      <c r="A342" s="23" t="inlineStr">
        <is>
          <t>Réalisation de prestations d’audit de sécurité des systèmes d’information de la SNRT, relevant des classes « A », « B », « C » et « D ». Audit organisationnel et physique Audit d’architecture Audit de configuration Audit de code source Test d’intrusion Audit des systèmes industriels</t>
        </is>
      </c>
      <c r="B342" s="24" t="inlineStr">
        <is>
          <t>Services</t>
        </is>
      </c>
      <c r="C342" s="24" t="inlineStr">
        <is>
          <t>T4</t>
        </is>
      </c>
      <c r="D342" s="24" t="inlineStr">
        <is>
          <t>Rabat</t>
        </is>
      </c>
      <c r="E342" s="24" t="inlineStr">
        <is>
          <t>Non</t>
        </is>
      </c>
      <c r="F342" s="25" t="n">
        <v>800000</v>
      </c>
    </row>
    <row r="343">
      <c r="A343" s="23" t="inlineStr">
        <is>
          <t>Accompagnement à la transition vers la nouvelle version ISO/IEC 27001:2022 et extension du domaine d'application du SMSI pour couvrir l'ensemble des systèmes d'information de la SNRT.</t>
        </is>
      </c>
      <c r="B343" s="24" t="inlineStr">
        <is>
          <t>Services</t>
        </is>
      </c>
      <c r="C343" s="24" t="inlineStr">
        <is>
          <t>T4</t>
        </is>
      </c>
      <c r="D343" s="24" t="inlineStr">
        <is>
          <t>Rabat</t>
        </is>
      </c>
      <c r="E343" s="24" t="inlineStr">
        <is>
          <t>Non</t>
        </is>
      </c>
      <c r="F343" s="25" t="n">
        <v>450000</v>
      </c>
    </row>
    <row r="344">
      <c r="A344" s="23" t="inlineStr">
        <is>
          <t>Réalisation de prestations d'audits de certification et de surveillance annuels du Système de Management de la Sécurité de l'Information (SMSI) selon la norme ISO/IEC 27001:2022</t>
        </is>
      </c>
      <c r="B344" s="24" t="inlineStr">
        <is>
          <t>Services</t>
        </is>
      </c>
      <c r="C344" s="24" t="inlineStr">
        <is>
          <t>T4</t>
        </is>
      </c>
      <c r="D344" s="24" t="inlineStr">
        <is>
          <t>Rabat</t>
        </is>
      </c>
      <c r="E344" s="24" t="inlineStr">
        <is>
          <t>Non</t>
        </is>
      </c>
      <c r="F344" s="25" t="n">
        <v>200000</v>
      </c>
    </row>
  </sheetData>
  <mergeCells count="17">
    <mergeCell ref="A59:I59"/>
    <mergeCell ref="A174:I174"/>
    <mergeCell ref="A47:I47"/>
    <mergeCell ref="A160:I160"/>
    <mergeCell ref="A330:I330"/>
    <mergeCell ref="A282:I282"/>
    <mergeCell ref="A1:I1"/>
    <mergeCell ref="A188:I188"/>
    <mergeCell ref="A219:I219"/>
    <mergeCell ref="A3:I3"/>
    <mergeCell ref="A122:I122"/>
    <mergeCell ref="A22:I22"/>
    <mergeCell ref="A136:I136"/>
    <mergeCell ref="A35:I35"/>
    <mergeCell ref="A78:I78"/>
    <mergeCell ref="A270:I270"/>
    <mergeCell ref="A206:I206"/>
  </mergeCells>
  <hyperlinks>
    <hyperlink xmlns:r="http://schemas.openxmlformats.org/officeDocument/2006/relationships" ref="A5" r:id="rId1"/>
    <hyperlink xmlns:r="http://schemas.openxmlformats.org/officeDocument/2006/relationships" ref="A6" r:id="rId2"/>
    <hyperlink xmlns:r="http://schemas.openxmlformats.org/officeDocument/2006/relationships" ref="A7" r:id="rId3"/>
    <hyperlink xmlns:r="http://schemas.openxmlformats.org/officeDocument/2006/relationships" ref="A8" r:id="rId4"/>
    <hyperlink xmlns:r="http://schemas.openxmlformats.org/officeDocument/2006/relationships" ref="A9" r:id="rId5"/>
    <hyperlink xmlns:r="http://schemas.openxmlformats.org/officeDocument/2006/relationships" ref="A10" r:id="rId6"/>
    <hyperlink xmlns:r="http://schemas.openxmlformats.org/officeDocument/2006/relationships" ref="A11" r:id="rId7"/>
    <hyperlink xmlns:r="http://schemas.openxmlformats.org/officeDocument/2006/relationships" ref="A12" r:id="rId8"/>
    <hyperlink xmlns:r="http://schemas.openxmlformats.org/officeDocument/2006/relationships" ref="A13" r:id="rId9"/>
    <hyperlink xmlns:r="http://schemas.openxmlformats.org/officeDocument/2006/relationships" ref="A14" r:id="rId10"/>
    <hyperlink xmlns:r="http://schemas.openxmlformats.org/officeDocument/2006/relationships" ref="A15" r:id="rId11"/>
    <hyperlink xmlns:r="http://schemas.openxmlformats.org/officeDocument/2006/relationships" ref="A16" r:id="rId12"/>
    <hyperlink xmlns:r="http://schemas.openxmlformats.org/officeDocument/2006/relationships" ref="A17" r:id="rId13"/>
    <hyperlink xmlns:r="http://schemas.openxmlformats.org/officeDocument/2006/relationships" ref="A18" r:id="rId14"/>
    <hyperlink xmlns:r="http://schemas.openxmlformats.org/officeDocument/2006/relationships" ref="A19" r:id="rId15"/>
    <hyperlink xmlns:r="http://schemas.openxmlformats.org/officeDocument/2006/relationships" ref="A23" r:id="rId16"/>
    <hyperlink xmlns:r="http://schemas.openxmlformats.org/officeDocument/2006/relationships" ref="A36" r:id="rId17"/>
    <hyperlink xmlns:r="http://schemas.openxmlformats.org/officeDocument/2006/relationships" ref="A48" r:id="rId18"/>
    <hyperlink xmlns:r="http://schemas.openxmlformats.org/officeDocument/2006/relationships" ref="A60" r:id="rId19"/>
    <hyperlink xmlns:r="http://schemas.openxmlformats.org/officeDocument/2006/relationships" ref="A79" r:id="rId20"/>
    <hyperlink xmlns:r="http://schemas.openxmlformats.org/officeDocument/2006/relationships" ref="A123" r:id="rId21"/>
    <hyperlink xmlns:r="http://schemas.openxmlformats.org/officeDocument/2006/relationships" ref="A137" r:id="rId22"/>
    <hyperlink xmlns:r="http://schemas.openxmlformats.org/officeDocument/2006/relationships" ref="A161" r:id="rId23"/>
    <hyperlink xmlns:r="http://schemas.openxmlformats.org/officeDocument/2006/relationships" ref="A175" r:id="rId24"/>
    <hyperlink xmlns:r="http://schemas.openxmlformats.org/officeDocument/2006/relationships" ref="A189" r:id="rId25"/>
    <hyperlink xmlns:r="http://schemas.openxmlformats.org/officeDocument/2006/relationships" ref="A207" r:id="rId26"/>
    <hyperlink xmlns:r="http://schemas.openxmlformats.org/officeDocument/2006/relationships" ref="A220" r:id="rId27"/>
    <hyperlink xmlns:r="http://schemas.openxmlformats.org/officeDocument/2006/relationships" ref="A271" r:id="rId28"/>
    <hyperlink xmlns:r="http://schemas.openxmlformats.org/officeDocument/2006/relationships" ref="A283" r:id="rId29"/>
    <hyperlink xmlns:r="http://schemas.openxmlformats.org/officeDocument/2006/relationships" ref="A331" r:id="rId30"/>
  </hyperlink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2026-07-17T18:59:50Z</dcterms:created>
  <dcterms:modified xsi:type="dcterms:W3CDTF">2026-07-17T18:59:50Z</dcterms:modified>
</cp:coreProperties>
</file>